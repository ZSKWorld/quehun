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57A984C2-9831-447B-BF01-02DA9AB86E35}" xr6:coauthVersionLast="47" xr6:coauthVersionMax="47" xr10:uidLastSave="{00000000-0000-0000-0000-000000000000}"/>
  <bookViews>
    <workbookView xWindow="28680" yWindow="-120" windowWidth="29040" windowHeight="15840" firstSheet="1" activeTab="9" xr2:uid="{00000000-000D-0000-FFFF-FFFF00000000}"/>
  </bookViews>
  <sheets>
    <sheet name="export" sheetId="1" r:id="rId1"/>
    <sheet name="chest" sheetId="2" r:id="rId2"/>
    <sheet name="chest_shop" sheetId="4" r:id="rId3"/>
    <sheet name="item_pool" sheetId="8" r:id="rId4"/>
    <sheet name="pool" sheetId="9" r:id="rId5"/>
    <sheet name="up" sheetId="7" r:id="rId6"/>
    <sheet name="replace_up" sheetId="11" r:id="rId7"/>
    <sheet name="replace_pool" sheetId="12" r:id="rId8"/>
    <sheet name="pool_seq" sheetId="6" r:id="rId9"/>
    <sheet name="preview" sheetId="5" r:id="rId10"/>
    <sheet name="item_price" sheetId="10" r:id="rId11"/>
    <sheet name="pool——back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12" i="3" l="1"/>
  <c r="M3086" i="3" l="1"/>
  <c r="M3085" i="3"/>
  <c r="M3084" i="3"/>
  <c r="M3083" i="3"/>
  <c r="M3082" i="3"/>
  <c r="M3081" i="3"/>
  <c r="M3080" i="3"/>
  <c r="M3079" i="3"/>
  <c r="M3078" i="3"/>
  <c r="M3077" i="3"/>
  <c r="M3076" i="3"/>
  <c r="M3075" i="3"/>
  <c r="M3074" i="3"/>
  <c r="M3073" i="3"/>
  <c r="M3072" i="3"/>
  <c r="M3071" i="3"/>
  <c r="M3070" i="3"/>
  <c r="M3069" i="3"/>
  <c r="M3068" i="3"/>
  <c r="M3067" i="3"/>
  <c r="M3066" i="3"/>
  <c r="M3065" i="3"/>
  <c r="M3064" i="3"/>
  <c r="M3063" i="3"/>
  <c r="M3062" i="3"/>
  <c r="M3061" i="3"/>
  <c r="M3060" i="3"/>
  <c r="M3059" i="3"/>
  <c r="M3058" i="3"/>
  <c r="M3057" i="3"/>
  <c r="M3056" i="3"/>
  <c r="M3055" i="3"/>
  <c r="M3054" i="3"/>
  <c r="M3053" i="3"/>
  <c r="M3052" i="3"/>
  <c r="M3051" i="3"/>
  <c r="M3050" i="3"/>
  <c r="M3049" i="3"/>
  <c r="M3048" i="3"/>
  <c r="M3047" i="3"/>
  <c r="M3046" i="3"/>
  <c r="M3045" i="3"/>
  <c r="M3044" i="3"/>
  <c r="M3043" i="3"/>
  <c r="M3042" i="3"/>
  <c r="M3041" i="3"/>
  <c r="M3040" i="3"/>
  <c r="M3039" i="3"/>
  <c r="M3038" i="3"/>
  <c r="M3037" i="3"/>
  <c r="M3036" i="3"/>
  <c r="M3035" i="3"/>
  <c r="M3034" i="3"/>
  <c r="M3033" i="3"/>
  <c r="M3032" i="3"/>
  <c r="M3031" i="3"/>
  <c r="M3030" i="3"/>
  <c r="M3029" i="3"/>
  <c r="M3028" i="3"/>
  <c r="M3027" i="3"/>
  <c r="M3026" i="3"/>
  <c r="M3025" i="3"/>
  <c r="M3024" i="3"/>
  <c r="M3023" i="3"/>
  <c r="M3022" i="3"/>
  <c r="M3021" i="3"/>
  <c r="M3020" i="3"/>
  <c r="M3019" i="3"/>
  <c r="M3018" i="3"/>
  <c r="M3017" i="3"/>
  <c r="M3016" i="3"/>
  <c r="M3015" i="3"/>
  <c r="M3014" i="3"/>
  <c r="M3013" i="3"/>
  <c r="M3012" i="3"/>
  <c r="M3011" i="3"/>
  <c r="M3010" i="3"/>
  <c r="M3009" i="3"/>
  <c r="M3008" i="3"/>
  <c r="M3007" i="3"/>
  <c r="M3006" i="3"/>
  <c r="M3005" i="3"/>
  <c r="M3004" i="3"/>
  <c r="M3003" i="3"/>
  <c r="M3002" i="3"/>
  <c r="M3001" i="3"/>
  <c r="M3000" i="3"/>
  <c r="M2999" i="3"/>
  <c r="M2998" i="3"/>
  <c r="M2997" i="3"/>
  <c r="M2996" i="3"/>
  <c r="M2995" i="3"/>
  <c r="M2994" i="3"/>
  <c r="M2993" i="3"/>
  <c r="M2992" i="3"/>
  <c r="M2991" i="3"/>
  <c r="M2990" i="3"/>
  <c r="M2989" i="3"/>
  <c r="M2988" i="3"/>
  <c r="M2987" i="3"/>
  <c r="M2986" i="3"/>
  <c r="M2985" i="3"/>
  <c r="M2984" i="3"/>
  <c r="M2983" i="3"/>
  <c r="M2982" i="3"/>
  <c r="M2981" i="3"/>
  <c r="M2980" i="3"/>
  <c r="M2979" i="3"/>
  <c r="M2978" i="3"/>
  <c r="M2977" i="3"/>
  <c r="M2976" i="3"/>
  <c r="M2975" i="3"/>
  <c r="M2974" i="3"/>
  <c r="M2973" i="3"/>
  <c r="M2972" i="3"/>
  <c r="M2971" i="3"/>
  <c r="M2970" i="3"/>
  <c r="M2969" i="3"/>
  <c r="M2968" i="3"/>
  <c r="M2967" i="3"/>
  <c r="M2966" i="3"/>
  <c r="M2965" i="3"/>
  <c r="M2964" i="3"/>
  <c r="M2963" i="3"/>
  <c r="M2962" i="3"/>
  <c r="M2961" i="3"/>
  <c r="M2960" i="3"/>
  <c r="M2959" i="3"/>
  <c r="M2958" i="3"/>
  <c r="M2957" i="3"/>
  <c r="M2956" i="3"/>
  <c r="M2955" i="3"/>
  <c r="M2954" i="3"/>
  <c r="M2953" i="3"/>
  <c r="M2952" i="3"/>
  <c r="M2951" i="3"/>
  <c r="M2950" i="3"/>
  <c r="M2949" i="3"/>
  <c r="M2948" i="3"/>
  <c r="M2947" i="3"/>
  <c r="M2946" i="3"/>
  <c r="M2945" i="3"/>
  <c r="M2944" i="3"/>
  <c r="M2943" i="3"/>
  <c r="M2942" i="3"/>
  <c r="M2941" i="3"/>
  <c r="M2940" i="3"/>
  <c r="M2939" i="3"/>
  <c r="M2938" i="3"/>
  <c r="M2937" i="3"/>
  <c r="M2936" i="3"/>
  <c r="M2935" i="3"/>
  <c r="M2934" i="3"/>
  <c r="M2933" i="3"/>
  <c r="M2932" i="3"/>
  <c r="M2931" i="3"/>
  <c r="M2930" i="3"/>
  <c r="M2929" i="3"/>
  <c r="M2928" i="3"/>
  <c r="M2927" i="3"/>
  <c r="M2926" i="3"/>
  <c r="M2925" i="3"/>
  <c r="M2924" i="3"/>
  <c r="M2923" i="3"/>
  <c r="M2922" i="3"/>
  <c r="M2921" i="3"/>
  <c r="M2920" i="3"/>
  <c r="M2919" i="3"/>
  <c r="M2918" i="3"/>
  <c r="M2917" i="3"/>
  <c r="M2916" i="3"/>
  <c r="M2915" i="3"/>
  <c r="M2914" i="3"/>
  <c r="M2913" i="3"/>
  <c r="M2912" i="3"/>
  <c r="M2911" i="3"/>
  <c r="M2910" i="3"/>
  <c r="M2909" i="3"/>
  <c r="M2908" i="3"/>
  <c r="M2907" i="3"/>
  <c r="M2906" i="3"/>
  <c r="M2905" i="3"/>
  <c r="M2904" i="3"/>
  <c r="M2903" i="3"/>
  <c r="M2902" i="3"/>
  <c r="M2901" i="3"/>
  <c r="M2900" i="3"/>
  <c r="M2899" i="3"/>
  <c r="M2898" i="3"/>
  <c r="M2897" i="3"/>
  <c r="M2896" i="3"/>
  <c r="M2895" i="3"/>
  <c r="M2894" i="3"/>
  <c r="M2893" i="3"/>
  <c r="M2892" i="3"/>
  <c r="M2891" i="3"/>
  <c r="M2890" i="3"/>
  <c r="M2889" i="3"/>
  <c r="M2888" i="3"/>
  <c r="M2887" i="3"/>
  <c r="M2886" i="3"/>
  <c r="M2885" i="3"/>
  <c r="M2884" i="3"/>
  <c r="M2883" i="3"/>
  <c r="M2882" i="3"/>
  <c r="M2881" i="3"/>
  <c r="M2880" i="3"/>
  <c r="M2879" i="3"/>
  <c r="M2878" i="3"/>
  <c r="M2877" i="3"/>
  <c r="M2876" i="3"/>
  <c r="M2875" i="3"/>
  <c r="M2874" i="3"/>
  <c r="M2873" i="3"/>
  <c r="M2872" i="3"/>
  <c r="M2871" i="3"/>
  <c r="M2870" i="3"/>
  <c r="M2869" i="3"/>
  <c r="M2868" i="3"/>
  <c r="M2867" i="3"/>
  <c r="M2866" i="3"/>
  <c r="M2865" i="3"/>
  <c r="M2864" i="3"/>
  <c r="M2863" i="3"/>
  <c r="M2862" i="3"/>
  <c r="M2861" i="3"/>
  <c r="M2860" i="3"/>
  <c r="M2859" i="3"/>
  <c r="M2858" i="3"/>
  <c r="M2857" i="3"/>
  <c r="M2856" i="3"/>
  <c r="M2855" i="3"/>
  <c r="M2854" i="3"/>
  <c r="M2853" i="3"/>
  <c r="M2852" i="3"/>
  <c r="M2851" i="3"/>
  <c r="M2850" i="3"/>
  <c r="M2849" i="3"/>
  <c r="M2848" i="3"/>
  <c r="M2847" i="3"/>
  <c r="M2846" i="3"/>
  <c r="M2845" i="3"/>
  <c r="M2844" i="3"/>
  <c r="M2843" i="3"/>
  <c r="M2842" i="3"/>
  <c r="M2841" i="3"/>
  <c r="M2840" i="3"/>
  <c r="M2839" i="3"/>
  <c r="M2838" i="3"/>
  <c r="M2837" i="3"/>
  <c r="M2836" i="3"/>
  <c r="M2835" i="3"/>
  <c r="M2834" i="3"/>
  <c r="M2833" i="3"/>
  <c r="M2832" i="3"/>
  <c r="M2831" i="3"/>
  <c r="M2830" i="3"/>
  <c r="M2829" i="3"/>
  <c r="M2828" i="3"/>
  <c r="M2827" i="3"/>
  <c r="M2826" i="3"/>
  <c r="M2825" i="3"/>
  <c r="M2824" i="3"/>
  <c r="M2823" i="3"/>
  <c r="M2822" i="3"/>
  <c r="M2821" i="3"/>
  <c r="M2820" i="3"/>
  <c r="M2819" i="3"/>
  <c r="M2818" i="3"/>
  <c r="M2817" i="3"/>
  <c r="M2816" i="3"/>
  <c r="M2815" i="3"/>
  <c r="M2814" i="3"/>
  <c r="M2813" i="3"/>
  <c r="M2812" i="3"/>
  <c r="M2811" i="3"/>
  <c r="M2810" i="3"/>
  <c r="M2809" i="3"/>
  <c r="M2808" i="3"/>
  <c r="M2807" i="3"/>
  <c r="M2806" i="3"/>
  <c r="M2805" i="3"/>
  <c r="M2804" i="3"/>
  <c r="M2803" i="3"/>
  <c r="M2802" i="3"/>
  <c r="M2801" i="3"/>
  <c r="M2800" i="3"/>
  <c r="M2799" i="3"/>
  <c r="M2798" i="3"/>
  <c r="M2797" i="3"/>
  <c r="M2796" i="3"/>
  <c r="M2795" i="3"/>
  <c r="M2794" i="3"/>
  <c r="M2793" i="3"/>
  <c r="M2792" i="3"/>
  <c r="M2791" i="3"/>
  <c r="M2790" i="3"/>
  <c r="M2789" i="3"/>
  <c r="M2788" i="3"/>
  <c r="M2787" i="3"/>
  <c r="M2786" i="3"/>
  <c r="M2785" i="3"/>
  <c r="M2784" i="3"/>
  <c r="M2783" i="3"/>
  <c r="M2782" i="3"/>
  <c r="M2781" i="3"/>
  <c r="M2780" i="3"/>
  <c r="M2779" i="3"/>
  <c r="M2778" i="3"/>
  <c r="M2777" i="3"/>
  <c r="M2776" i="3"/>
  <c r="M2775" i="3"/>
  <c r="M2774" i="3"/>
  <c r="M2773" i="3"/>
  <c r="M2772" i="3"/>
  <c r="M2771" i="3"/>
  <c r="M2770" i="3"/>
  <c r="M2769" i="3"/>
  <c r="M2768" i="3"/>
  <c r="M2767" i="3"/>
  <c r="M2766" i="3"/>
  <c r="M2765" i="3"/>
  <c r="M2764" i="3"/>
  <c r="M2763" i="3"/>
  <c r="M2762" i="3"/>
  <c r="M2761" i="3"/>
  <c r="M2760" i="3"/>
  <c r="M2759" i="3"/>
  <c r="M2758" i="3"/>
  <c r="M2757" i="3"/>
  <c r="M2756" i="3"/>
  <c r="M2755" i="3"/>
  <c r="M2754" i="3"/>
  <c r="M2753" i="3"/>
  <c r="M2752" i="3"/>
  <c r="M2751" i="3"/>
  <c r="M2750" i="3"/>
  <c r="M2749" i="3"/>
  <c r="M2748" i="3"/>
  <c r="M2747" i="3"/>
  <c r="M2746" i="3"/>
  <c r="M2745" i="3"/>
  <c r="M2744" i="3"/>
  <c r="M2743" i="3"/>
  <c r="M2742" i="3"/>
  <c r="M2741" i="3"/>
  <c r="M2740" i="3"/>
  <c r="M2739" i="3"/>
  <c r="M2738" i="3"/>
  <c r="M2737" i="3"/>
  <c r="M2736" i="3"/>
  <c r="M2735" i="3"/>
  <c r="M2734" i="3"/>
  <c r="M2733" i="3"/>
  <c r="M2732" i="3"/>
  <c r="M2731" i="3"/>
  <c r="M2730" i="3"/>
  <c r="M2729" i="3"/>
  <c r="M2728" i="3"/>
  <c r="M2727" i="3"/>
  <c r="M2726" i="3"/>
  <c r="M2725" i="3"/>
  <c r="M2724" i="3"/>
  <c r="M2723" i="3"/>
  <c r="M2722" i="3"/>
  <c r="M2721" i="3"/>
  <c r="M2720" i="3"/>
  <c r="M2719" i="3"/>
  <c r="M2718" i="3"/>
  <c r="M2717" i="3"/>
  <c r="M2716" i="3"/>
  <c r="M2715" i="3"/>
  <c r="M2714" i="3"/>
  <c r="M2713" i="3"/>
  <c r="M2712" i="3"/>
  <c r="M2711" i="3"/>
  <c r="M2710" i="3"/>
  <c r="M2709" i="3"/>
  <c r="M2708" i="3"/>
  <c r="M2707" i="3"/>
  <c r="M2706" i="3"/>
  <c r="M2705" i="3"/>
  <c r="M2704" i="3"/>
  <c r="M2703" i="3"/>
  <c r="M2702" i="3"/>
  <c r="M2701" i="3"/>
  <c r="M2700" i="3"/>
  <c r="M2699" i="3"/>
  <c r="M2698" i="3"/>
  <c r="M2697" i="3"/>
  <c r="M2696" i="3"/>
  <c r="M2695" i="3"/>
  <c r="M2694" i="3"/>
  <c r="M2693" i="3"/>
  <c r="M2692" i="3"/>
  <c r="M2691" i="3"/>
  <c r="M2690" i="3"/>
  <c r="M2689" i="3"/>
  <c r="M2688" i="3"/>
  <c r="M2687" i="3"/>
  <c r="M2686" i="3"/>
  <c r="M2685" i="3"/>
  <c r="M2684" i="3"/>
  <c r="M2683" i="3"/>
  <c r="M2682" i="3"/>
  <c r="M2681" i="3"/>
  <c r="M2680" i="3"/>
  <c r="M2679" i="3"/>
  <c r="M2678" i="3"/>
  <c r="M2677" i="3"/>
  <c r="M2676" i="3"/>
  <c r="M2675" i="3"/>
  <c r="M2674" i="3"/>
  <c r="M2673" i="3"/>
  <c r="M2672" i="3"/>
  <c r="M2671" i="3"/>
  <c r="M2670" i="3"/>
  <c r="M2669" i="3"/>
  <c r="M2668" i="3"/>
  <c r="M2667" i="3"/>
  <c r="M2666" i="3"/>
  <c r="M2665" i="3"/>
  <c r="M2664" i="3"/>
  <c r="M2663" i="3"/>
  <c r="M2662" i="3"/>
  <c r="M2661" i="3"/>
  <c r="M2660" i="3"/>
  <c r="M2659" i="3"/>
  <c r="M2658" i="3"/>
  <c r="M2657" i="3"/>
  <c r="M2656" i="3"/>
  <c r="M2655" i="3"/>
  <c r="M2654" i="3"/>
  <c r="M2653" i="3"/>
  <c r="M2652" i="3"/>
  <c r="M2651" i="3"/>
  <c r="M2650" i="3"/>
  <c r="M2649" i="3"/>
  <c r="M2648" i="3"/>
  <c r="M2647" i="3"/>
  <c r="M2646" i="3"/>
  <c r="M2645" i="3"/>
  <c r="M2644" i="3"/>
  <c r="M2643" i="3"/>
  <c r="M2642" i="3"/>
  <c r="M2641" i="3"/>
  <c r="M2640" i="3"/>
  <c r="M2639" i="3"/>
  <c r="M2638" i="3"/>
  <c r="M2637" i="3"/>
  <c r="M2636" i="3"/>
  <c r="M2635" i="3"/>
  <c r="M2634" i="3"/>
  <c r="M2633" i="3"/>
  <c r="M2632" i="3"/>
  <c r="M2631" i="3"/>
  <c r="M2630" i="3"/>
  <c r="M2629" i="3"/>
  <c r="M2628" i="3"/>
  <c r="M2627" i="3"/>
  <c r="M2626" i="3"/>
  <c r="M2625" i="3"/>
  <c r="M2624" i="3"/>
  <c r="M2623" i="3"/>
  <c r="M2622" i="3"/>
  <c r="M2621" i="3"/>
  <c r="M2620" i="3"/>
  <c r="M2619" i="3"/>
  <c r="M2618" i="3"/>
  <c r="M2617" i="3"/>
  <c r="M2616" i="3"/>
  <c r="M2615" i="3"/>
  <c r="M2614" i="3"/>
  <c r="M2613" i="3"/>
  <c r="M2612" i="3"/>
  <c r="M2611" i="3"/>
  <c r="M2610" i="3"/>
  <c r="M2609" i="3"/>
  <c r="M2608" i="3"/>
  <c r="M2607" i="3"/>
  <c r="M2606" i="3"/>
  <c r="M2605" i="3"/>
  <c r="M2604" i="3"/>
  <c r="M2603" i="3"/>
  <c r="M2602" i="3"/>
  <c r="M2601" i="3"/>
  <c r="M2600" i="3"/>
  <c r="M2599" i="3"/>
  <c r="M2598" i="3"/>
  <c r="M2597" i="3"/>
  <c r="M2596" i="3"/>
  <c r="M2595" i="3"/>
  <c r="M2594" i="3"/>
  <c r="M2593" i="3"/>
  <c r="M2592" i="3"/>
  <c r="M2591" i="3"/>
  <c r="M2590" i="3"/>
  <c r="M2589" i="3"/>
  <c r="M2588" i="3"/>
  <c r="M2587" i="3"/>
  <c r="M2586" i="3"/>
  <c r="M2585" i="3"/>
  <c r="M2584" i="3"/>
  <c r="M2583" i="3"/>
  <c r="M2582" i="3"/>
  <c r="M2581" i="3"/>
  <c r="M2580" i="3"/>
  <c r="M2579" i="3"/>
  <c r="M2578" i="3"/>
  <c r="M2577" i="3"/>
  <c r="M2576" i="3"/>
  <c r="M2575" i="3"/>
  <c r="M2574" i="3"/>
  <c r="M2573" i="3"/>
  <c r="M2572" i="3"/>
  <c r="M2571" i="3"/>
  <c r="M2570" i="3"/>
  <c r="M2569" i="3"/>
  <c r="M2568" i="3"/>
  <c r="M2567" i="3"/>
  <c r="M2566" i="3"/>
  <c r="M2565" i="3"/>
  <c r="M2564" i="3"/>
  <c r="M2563" i="3"/>
  <c r="M2562" i="3"/>
  <c r="M2561" i="3"/>
  <c r="M2560" i="3"/>
  <c r="M2559" i="3"/>
  <c r="M2558" i="3"/>
  <c r="M2557" i="3"/>
  <c r="M2556" i="3"/>
  <c r="M2555" i="3"/>
  <c r="M2554" i="3"/>
  <c r="M2553" i="3"/>
  <c r="M2552" i="3"/>
  <c r="M2551" i="3"/>
  <c r="M2550" i="3"/>
  <c r="M2549" i="3"/>
  <c r="M2548" i="3"/>
  <c r="M2547" i="3"/>
  <c r="M2546" i="3"/>
  <c r="M2545" i="3"/>
  <c r="M2544" i="3"/>
  <c r="M2543" i="3"/>
  <c r="M2542" i="3"/>
  <c r="M2541" i="3"/>
  <c r="M2540" i="3"/>
  <c r="M2539" i="3"/>
  <c r="M2538" i="3"/>
  <c r="M2537" i="3"/>
  <c r="M2536" i="3"/>
  <c r="M2535" i="3"/>
  <c r="M2534" i="3"/>
  <c r="M2533" i="3"/>
  <c r="M2532" i="3"/>
  <c r="M2531" i="3"/>
  <c r="M2530" i="3"/>
  <c r="M2529" i="3"/>
  <c r="M2528" i="3"/>
  <c r="M2527" i="3"/>
  <c r="M2526" i="3"/>
  <c r="M2525" i="3"/>
  <c r="M2524" i="3"/>
  <c r="M2523" i="3"/>
  <c r="M2522" i="3"/>
  <c r="M2521" i="3"/>
  <c r="M2520" i="3"/>
  <c r="M2519" i="3"/>
  <c r="M2518" i="3"/>
  <c r="M2517" i="3"/>
  <c r="M2516" i="3"/>
  <c r="M2515" i="3"/>
  <c r="M2514" i="3"/>
  <c r="M2513" i="3"/>
  <c r="M2512" i="3"/>
  <c r="M2511" i="3"/>
  <c r="M2510" i="3"/>
  <c r="M2509" i="3"/>
  <c r="M2508" i="3"/>
  <c r="M2507" i="3"/>
  <c r="M2506" i="3"/>
  <c r="M2505" i="3"/>
  <c r="M2504" i="3"/>
  <c r="M2503" i="3"/>
  <c r="M2502" i="3"/>
  <c r="M2501" i="3"/>
  <c r="M2500" i="3"/>
  <c r="M2499" i="3"/>
  <c r="M2498" i="3"/>
  <c r="M2497" i="3"/>
  <c r="M2496" i="3"/>
  <c r="M2495" i="3"/>
  <c r="M2494" i="3"/>
  <c r="M2493" i="3"/>
  <c r="M2492" i="3"/>
  <c r="M2491" i="3"/>
  <c r="M2490" i="3"/>
  <c r="M2489" i="3"/>
  <c r="M2488" i="3"/>
  <c r="M2487" i="3"/>
  <c r="M2486" i="3"/>
  <c r="M2485" i="3"/>
  <c r="M2484" i="3"/>
  <c r="M2483" i="3"/>
  <c r="M2482" i="3"/>
  <c r="M2481" i="3"/>
  <c r="M2480" i="3"/>
  <c r="M2479" i="3"/>
  <c r="M2478" i="3"/>
  <c r="M2477" i="3"/>
  <c r="M2476" i="3"/>
  <c r="M2475" i="3"/>
  <c r="M2474" i="3"/>
  <c r="M2473" i="3"/>
  <c r="M2472" i="3"/>
  <c r="M2471" i="3"/>
  <c r="M2470" i="3"/>
  <c r="M2469" i="3"/>
  <c r="M2468" i="3"/>
  <c r="M2467" i="3"/>
  <c r="M2466" i="3"/>
  <c r="M2465" i="3"/>
  <c r="M2464" i="3"/>
  <c r="M2463" i="3"/>
  <c r="M2462" i="3"/>
  <c r="M2461" i="3"/>
  <c r="M2460" i="3"/>
  <c r="M2459" i="3"/>
  <c r="M2458" i="3"/>
  <c r="M2457" i="3"/>
  <c r="M2456" i="3"/>
  <c r="M2455" i="3"/>
  <c r="M2454" i="3"/>
  <c r="M2453" i="3"/>
  <c r="M2452" i="3"/>
  <c r="M2451" i="3"/>
  <c r="M2450" i="3"/>
  <c r="M2449" i="3"/>
  <c r="M2448" i="3"/>
  <c r="M2447" i="3"/>
  <c r="M2446" i="3"/>
  <c r="M2445" i="3"/>
  <c r="M2444" i="3"/>
  <c r="M2443" i="3"/>
  <c r="M2442" i="3"/>
  <c r="M2441" i="3"/>
  <c r="M2440" i="3"/>
  <c r="M2439" i="3"/>
  <c r="M2438" i="3"/>
  <c r="M2437" i="3"/>
  <c r="M2436" i="3"/>
  <c r="M2435" i="3"/>
  <c r="M2434" i="3"/>
  <c r="M2433" i="3"/>
  <c r="M2432" i="3"/>
  <c r="M2431" i="3"/>
  <c r="M2430" i="3"/>
  <c r="M2429" i="3"/>
  <c r="M2428" i="3"/>
  <c r="M2427" i="3"/>
  <c r="M2426" i="3"/>
  <c r="M2425" i="3"/>
  <c r="M2424" i="3"/>
  <c r="M2423" i="3"/>
  <c r="M2422" i="3"/>
  <c r="M2421" i="3"/>
  <c r="M2420" i="3"/>
  <c r="M2419" i="3"/>
  <c r="M2418" i="3"/>
  <c r="M2417" i="3"/>
  <c r="M2416" i="3"/>
  <c r="M2415" i="3"/>
  <c r="M2414" i="3"/>
  <c r="M2413" i="3"/>
  <c r="M2412" i="3"/>
  <c r="M2411" i="3"/>
  <c r="M2410" i="3"/>
  <c r="M2409" i="3"/>
  <c r="M2408" i="3"/>
  <c r="M2407" i="3"/>
  <c r="M2406" i="3"/>
  <c r="M2405" i="3"/>
  <c r="M2404" i="3"/>
  <c r="M2403" i="3"/>
  <c r="M2402" i="3"/>
  <c r="M2401" i="3"/>
  <c r="M2400" i="3"/>
  <c r="M2399" i="3"/>
  <c r="M2398" i="3"/>
  <c r="M2397" i="3"/>
  <c r="M2396" i="3"/>
  <c r="M2395" i="3"/>
  <c r="M2394" i="3"/>
  <c r="M2393" i="3"/>
  <c r="M2392" i="3"/>
  <c r="M2391" i="3"/>
  <c r="M2390" i="3"/>
  <c r="M2389" i="3"/>
  <c r="M2388" i="3"/>
  <c r="M2387" i="3"/>
  <c r="M2386" i="3"/>
  <c r="M2385" i="3"/>
  <c r="M2384" i="3"/>
  <c r="M2383" i="3"/>
  <c r="M2382" i="3"/>
  <c r="M2381" i="3"/>
  <c r="M2380" i="3"/>
  <c r="M2379" i="3"/>
  <c r="M2378" i="3"/>
  <c r="M2377" i="3"/>
  <c r="M2376" i="3"/>
  <c r="M2375" i="3"/>
  <c r="M2374" i="3"/>
  <c r="M2373" i="3"/>
  <c r="M2372" i="3"/>
  <c r="M2371" i="3"/>
  <c r="M2370" i="3"/>
  <c r="M2369" i="3"/>
  <c r="M2368" i="3"/>
  <c r="M2367" i="3"/>
  <c r="M2366" i="3"/>
  <c r="M2365" i="3"/>
  <c r="M2364" i="3"/>
  <c r="M2363" i="3"/>
  <c r="M2362" i="3"/>
  <c r="M2361" i="3"/>
  <c r="M2360" i="3"/>
  <c r="M2359" i="3"/>
  <c r="M2358" i="3"/>
  <c r="M2357" i="3"/>
  <c r="M2356" i="3"/>
  <c r="M2355" i="3"/>
  <c r="M2354" i="3"/>
  <c r="M2353" i="3"/>
  <c r="M2352" i="3"/>
  <c r="M2351" i="3"/>
  <c r="M2350" i="3"/>
  <c r="M2349" i="3"/>
  <c r="M2348" i="3"/>
  <c r="M2347" i="3"/>
  <c r="M2346" i="3"/>
  <c r="M2345" i="3"/>
  <c r="M2344" i="3"/>
  <c r="M2343" i="3"/>
  <c r="M2342" i="3"/>
  <c r="M2341" i="3"/>
  <c r="M2340" i="3"/>
  <c r="M2339" i="3"/>
  <c r="M2338" i="3"/>
  <c r="M2337" i="3"/>
  <c r="M2336" i="3"/>
  <c r="M2335" i="3"/>
  <c r="M2334" i="3"/>
  <c r="M2333" i="3"/>
  <c r="M2332" i="3"/>
  <c r="M2331" i="3"/>
  <c r="M2330" i="3"/>
  <c r="M2329" i="3"/>
  <c r="M2328" i="3"/>
  <c r="M2327" i="3"/>
  <c r="M2326" i="3"/>
  <c r="M2325" i="3"/>
  <c r="M2324" i="3"/>
  <c r="M2323" i="3"/>
  <c r="M2322" i="3"/>
  <c r="M2321" i="3"/>
  <c r="M2320" i="3"/>
  <c r="M2319" i="3"/>
  <c r="M2318" i="3"/>
  <c r="M2317" i="3"/>
  <c r="M2316" i="3"/>
  <c r="M2315" i="3"/>
  <c r="M2314" i="3"/>
  <c r="M2313" i="3"/>
  <c r="M2312" i="3"/>
  <c r="M2311" i="3"/>
  <c r="M2310" i="3"/>
  <c r="M2309" i="3"/>
  <c r="M2308" i="3"/>
  <c r="M2307" i="3"/>
  <c r="M2306" i="3"/>
  <c r="M2305" i="3"/>
  <c r="M2304" i="3"/>
  <c r="M2303" i="3"/>
  <c r="M2302" i="3"/>
  <c r="M2301" i="3"/>
  <c r="M2300" i="3"/>
  <c r="M2299" i="3"/>
  <c r="M2298" i="3"/>
  <c r="M2297" i="3"/>
  <c r="M2296" i="3"/>
  <c r="M2295" i="3"/>
  <c r="M2294" i="3"/>
  <c r="M2293" i="3"/>
  <c r="M2292" i="3"/>
  <c r="M2291" i="3"/>
  <c r="M2290" i="3"/>
  <c r="M2289" i="3"/>
  <c r="M2288" i="3"/>
  <c r="M2287" i="3"/>
  <c r="M2286" i="3"/>
  <c r="M2285" i="3"/>
  <c r="M2284" i="3"/>
  <c r="M2283" i="3"/>
  <c r="M2282" i="3"/>
  <c r="M2281" i="3"/>
  <c r="M2280" i="3"/>
  <c r="M2279" i="3"/>
  <c r="M2278" i="3"/>
  <c r="M2277" i="3"/>
  <c r="M2276" i="3"/>
  <c r="M2275" i="3"/>
  <c r="M2274" i="3"/>
  <c r="M2273" i="3"/>
  <c r="M2272" i="3"/>
  <c r="M2271" i="3"/>
  <c r="M2270" i="3"/>
  <c r="M2269" i="3"/>
  <c r="M2268" i="3"/>
  <c r="M2267" i="3"/>
  <c r="M2266" i="3"/>
  <c r="M2265" i="3"/>
  <c r="M2264" i="3"/>
  <c r="M2263" i="3"/>
  <c r="M2262" i="3"/>
  <c r="M2261" i="3"/>
  <c r="M2260" i="3"/>
  <c r="M2259" i="3"/>
  <c r="M2258" i="3"/>
  <c r="M2257" i="3"/>
  <c r="M2256" i="3"/>
  <c r="M2255" i="3"/>
  <c r="M2254" i="3"/>
  <c r="M2253" i="3"/>
  <c r="M2252" i="3"/>
  <c r="M2251" i="3"/>
  <c r="M2250" i="3"/>
  <c r="M2249" i="3"/>
  <c r="M2248" i="3"/>
  <c r="M2247" i="3"/>
  <c r="M2246" i="3"/>
  <c r="M2245" i="3"/>
  <c r="M2244" i="3"/>
  <c r="M2243" i="3"/>
  <c r="M2242" i="3"/>
  <c r="M2241" i="3"/>
  <c r="M2240" i="3"/>
  <c r="M2239" i="3"/>
  <c r="M2238" i="3"/>
  <c r="M2237" i="3"/>
  <c r="M2236" i="3"/>
  <c r="M2235" i="3"/>
  <c r="M2234" i="3"/>
  <c r="M2233" i="3"/>
  <c r="M2232" i="3"/>
  <c r="M2231" i="3"/>
  <c r="M2230" i="3"/>
  <c r="M2229" i="3"/>
  <c r="M2228" i="3"/>
  <c r="M2227" i="3"/>
  <c r="M2226" i="3"/>
  <c r="M2225" i="3"/>
  <c r="M2224" i="3"/>
  <c r="M2223" i="3"/>
  <c r="M2222" i="3"/>
  <c r="M2221" i="3"/>
  <c r="M2220" i="3"/>
  <c r="M2219" i="3"/>
  <c r="M2218" i="3"/>
  <c r="M2217" i="3"/>
  <c r="M2216" i="3"/>
  <c r="M2215" i="3"/>
  <c r="M2214" i="3"/>
  <c r="M2213" i="3"/>
  <c r="M2212" i="3"/>
  <c r="M2211" i="3"/>
  <c r="M2210" i="3"/>
  <c r="M2209" i="3"/>
  <c r="M2208" i="3"/>
  <c r="M2207" i="3"/>
  <c r="M2206" i="3"/>
  <c r="M2205" i="3"/>
  <c r="M2204" i="3"/>
  <c r="M2203" i="3"/>
  <c r="M2202" i="3"/>
  <c r="M2201" i="3"/>
  <c r="M2200" i="3"/>
  <c r="M2199" i="3"/>
  <c r="M2198" i="3"/>
  <c r="M2197" i="3"/>
  <c r="M2196" i="3"/>
  <c r="M2195" i="3"/>
  <c r="M2194" i="3"/>
  <c r="M2193" i="3"/>
  <c r="M2192" i="3"/>
  <c r="M2191" i="3"/>
  <c r="M2190" i="3"/>
  <c r="M2189" i="3"/>
  <c r="M2188" i="3"/>
  <c r="M2187" i="3"/>
  <c r="M2186" i="3"/>
  <c r="M2185" i="3"/>
  <c r="M2184" i="3"/>
  <c r="M2183" i="3"/>
  <c r="M2182" i="3"/>
  <c r="M2181" i="3"/>
  <c r="M2180" i="3"/>
  <c r="M2179" i="3"/>
  <c r="M2178" i="3"/>
  <c r="M2177" i="3"/>
  <c r="M2176" i="3"/>
  <c r="M2175" i="3"/>
  <c r="M2174" i="3"/>
  <c r="M2173" i="3"/>
  <c r="M2172" i="3"/>
  <c r="M2171" i="3"/>
  <c r="M2170" i="3"/>
  <c r="M2169" i="3"/>
  <c r="M2168" i="3"/>
  <c r="M2167" i="3"/>
  <c r="M2166" i="3"/>
  <c r="M2165" i="3"/>
  <c r="M2164" i="3"/>
  <c r="M2163" i="3"/>
  <c r="M2162" i="3"/>
  <c r="M2161" i="3"/>
  <c r="M2160" i="3"/>
  <c r="M2159" i="3"/>
  <c r="M2158" i="3"/>
  <c r="M2157" i="3"/>
  <c r="M2156" i="3"/>
  <c r="M2155" i="3"/>
  <c r="M2154" i="3"/>
  <c r="M2153" i="3"/>
  <c r="M2152" i="3"/>
  <c r="M2151" i="3"/>
  <c r="M2150" i="3"/>
  <c r="M2149" i="3"/>
  <c r="M2148" i="3"/>
  <c r="M2147" i="3"/>
  <c r="M2146" i="3"/>
  <c r="M2145" i="3"/>
  <c r="M2144" i="3"/>
  <c r="M2143" i="3"/>
  <c r="M2142" i="3"/>
  <c r="M2141" i="3"/>
  <c r="M2140" i="3"/>
  <c r="M2139" i="3"/>
  <c r="M2138" i="3"/>
  <c r="M2137" i="3"/>
  <c r="M2136" i="3"/>
  <c r="M2135" i="3"/>
  <c r="M2134" i="3"/>
  <c r="M2133" i="3"/>
  <c r="M2132" i="3"/>
  <c r="M2131" i="3"/>
  <c r="M2130" i="3"/>
  <c r="M2129" i="3"/>
  <c r="M2128" i="3"/>
  <c r="M2127" i="3"/>
  <c r="M2126" i="3"/>
  <c r="M2125" i="3"/>
  <c r="M2124" i="3"/>
  <c r="M2123" i="3"/>
  <c r="M2122" i="3"/>
  <c r="M2121" i="3"/>
  <c r="M2120" i="3"/>
  <c r="M2119" i="3"/>
  <c r="M2118" i="3"/>
  <c r="M2117" i="3"/>
  <c r="M2116" i="3"/>
  <c r="M2115" i="3"/>
  <c r="M2114" i="3"/>
  <c r="M2113" i="3"/>
  <c r="M2112" i="3"/>
  <c r="M2111" i="3"/>
  <c r="M2110" i="3"/>
  <c r="M2109" i="3"/>
  <c r="M2108" i="3"/>
  <c r="M2107" i="3"/>
  <c r="M2106" i="3"/>
  <c r="M2105" i="3"/>
  <c r="M2104" i="3"/>
  <c r="M2103" i="3"/>
  <c r="M2102" i="3"/>
  <c r="M2101" i="3"/>
  <c r="M2100" i="3"/>
  <c r="M2099" i="3"/>
  <c r="M2098" i="3"/>
  <c r="M2097" i="3"/>
  <c r="M2096" i="3"/>
  <c r="M2095" i="3"/>
  <c r="M2094" i="3"/>
  <c r="M2093" i="3"/>
  <c r="M2092" i="3"/>
  <c r="M2091" i="3"/>
  <c r="M2090" i="3"/>
  <c r="M2089" i="3"/>
  <c r="M2088" i="3"/>
  <c r="M2087" i="3"/>
  <c r="M2086" i="3"/>
  <c r="M2085" i="3"/>
  <c r="M2084" i="3"/>
  <c r="M2083" i="3"/>
  <c r="M2082" i="3"/>
  <c r="M2081" i="3"/>
  <c r="M2080" i="3"/>
  <c r="M2079" i="3"/>
  <c r="M2078" i="3"/>
  <c r="M2077" i="3"/>
  <c r="M2076" i="3"/>
  <c r="M2075" i="3"/>
  <c r="M2074" i="3"/>
  <c r="M2073" i="3"/>
  <c r="M2072" i="3"/>
  <c r="M2071" i="3"/>
  <c r="M2070" i="3"/>
  <c r="M2069" i="3"/>
  <c r="M2068" i="3"/>
  <c r="M2067" i="3"/>
  <c r="M2066" i="3"/>
  <c r="M2065" i="3"/>
  <c r="M2064" i="3"/>
  <c r="M2063" i="3"/>
  <c r="M2062" i="3"/>
  <c r="M2061" i="3"/>
  <c r="M2060" i="3"/>
  <c r="M2059" i="3"/>
  <c r="M2058" i="3"/>
  <c r="M2057" i="3"/>
  <c r="M2056" i="3"/>
  <c r="M2055" i="3"/>
  <c r="M2054" i="3"/>
  <c r="M2053" i="3"/>
  <c r="M2052" i="3"/>
  <c r="M2051" i="3"/>
  <c r="M2050" i="3"/>
  <c r="M2049" i="3"/>
  <c r="M2048" i="3"/>
  <c r="M2047" i="3"/>
  <c r="M2046" i="3"/>
  <c r="M2045" i="3"/>
  <c r="M2044" i="3"/>
  <c r="M2043" i="3"/>
  <c r="M2042" i="3"/>
  <c r="M2041" i="3"/>
  <c r="M2040" i="3"/>
  <c r="M2039" i="3"/>
  <c r="M2038" i="3"/>
  <c r="M2037" i="3"/>
  <c r="M2036" i="3"/>
  <c r="M2035" i="3"/>
  <c r="M2034" i="3"/>
  <c r="M2033" i="3"/>
  <c r="M2032" i="3"/>
  <c r="M2031" i="3"/>
  <c r="M2030" i="3"/>
  <c r="M2029" i="3"/>
  <c r="M2028" i="3"/>
  <c r="M2027" i="3"/>
  <c r="M2026" i="3"/>
  <c r="M2025" i="3"/>
  <c r="M2024" i="3"/>
  <c r="M2023" i="3"/>
  <c r="M2022" i="3"/>
  <c r="M2021" i="3"/>
  <c r="M2020" i="3"/>
  <c r="M2019" i="3"/>
  <c r="M2018" i="3"/>
  <c r="M2017" i="3"/>
  <c r="M2016" i="3"/>
  <c r="M2015" i="3"/>
  <c r="M2014" i="3"/>
  <c r="M2013" i="3"/>
  <c r="M2012" i="3"/>
  <c r="M2011" i="3"/>
  <c r="M2010" i="3"/>
  <c r="M2009" i="3"/>
  <c r="M2008" i="3"/>
  <c r="M2007" i="3"/>
  <c r="M2006" i="3"/>
  <c r="M2005" i="3"/>
  <c r="M2004" i="3"/>
  <c r="M2003" i="3"/>
  <c r="M2002" i="3"/>
  <c r="M2001" i="3"/>
  <c r="M2000" i="3"/>
  <c r="M1999" i="3"/>
  <c r="M1998" i="3"/>
  <c r="M1997" i="3"/>
  <c r="M1996" i="3"/>
  <c r="M1995" i="3"/>
  <c r="M1994" i="3"/>
  <c r="M1993" i="3"/>
  <c r="M1992" i="3"/>
  <c r="M1991" i="3"/>
  <c r="M1990" i="3"/>
  <c r="M1989" i="3"/>
  <c r="M1988" i="3"/>
  <c r="M1987" i="3"/>
  <c r="M1986" i="3"/>
  <c r="M1985" i="3"/>
  <c r="M1984" i="3"/>
  <c r="M1983" i="3"/>
  <c r="M1982" i="3"/>
  <c r="M1981" i="3"/>
  <c r="M1980" i="3"/>
  <c r="M1979" i="3"/>
  <c r="M1978" i="3"/>
  <c r="M1977" i="3"/>
  <c r="M1976" i="3"/>
  <c r="M1975" i="3"/>
  <c r="M1974" i="3"/>
  <c r="M1973" i="3"/>
  <c r="M1972" i="3"/>
  <c r="M1971" i="3"/>
  <c r="M1970" i="3"/>
  <c r="M1969" i="3"/>
  <c r="M1968" i="3"/>
  <c r="M1967" i="3"/>
  <c r="M1966" i="3"/>
  <c r="M1965" i="3"/>
  <c r="M1964" i="3"/>
  <c r="M1963" i="3"/>
  <c r="M1962" i="3"/>
  <c r="M1961" i="3"/>
  <c r="M1960" i="3"/>
  <c r="M1959" i="3"/>
  <c r="M1958" i="3"/>
  <c r="M1957" i="3"/>
  <c r="M1956" i="3"/>
  <c r="M1955" i="3"/>
  <c r="M1954" i="3"/>
  <c r="M1953" i="3"/>
  <c r="M1952" i="3"/>
  <c r="M1951" i="3"/>
  <c r="M1950" i="3"/>
  <c r="M1949" i="3"/>
  <c r="M1948" i="3"/>
  <c r="M1947" i="3"/>
  <c r="M1946" i="3"/>
  <c r="M1945" i="3"/>
  <c r="M1944" i="3"/>
  <c r="M1943" i="3"/>
  <c r="M1942" i="3"/>
  <c r="M1941" i="3"/>
  <c r="M1940" i="3"/>
  <c r="M1939" i="3"/>
  <c r="M1938" i="3"/>
  <c r="M1937" i="3"/>
  <c r="M1936" i="3"/>
  <c r="M1935" i="3"/>
  <c r="M1934" i="3"/>
  <c r="M1933" i="3"/>
  <c r="M1932" i="3"/>
  <c r="M1931" i="3"/>
  <c r="M1930" i="3"/>
  <c r="M1929" i="3"/>
  <c r="M1928" i="3"/>
  <c r="M1927" i="3"/>
  <c r="M1926" i="3"/>
  <c r="M1925" i="3"/>
  <c r="M1924" i="3"/>
  <c r="M1923" i="3"/>
  <c r="M1922" i="3"/>
  <c r="M1921" i="3"/>
  <c r="M1920" i="3"/>
  <c r="M1919" i="3"/>
  <c r="M1918" i="3"/>
  <c r="M1917" i="3"/>
  <c r="M1916" i="3"/>
  <c r="M1915" i="3"/>
  <c r="M1914" i="3"/>
  <c r="M1913" i="3"/>
  <c r="M1912" i="3"/>
  <c r="M1911" i="3"/>
  <c r="M1910" i="3"/>
  <c r="M1909" i="3"/>
  <c r="M1908" i="3"/>
  <c r="M1907" i="3"/>
  <c r="M1906" i="3"/>
  <c r="M1905" i="3"/>
  <c r="M1904" i="3"/>
  <c r="M1903" i="3"/>
  <c r="M1902" i="3"/>
  <c r="M1901" i="3"/>
  <c r="M1900" i="3"/>
  <c r="M1899" i="3"/>
  <c r="M1898" i="3"/>
  <c r="M1897" i="3"/>
  <c r="M1896" i="3"/>
  <c r="M1895" i="3"/>
  <c r="M1894" i="3"/>
  <c r="M1893" i="3"/>
  <c r="M1892" i="3"/>
  <c r="M1891" i="3"/>
  <c r="M1890" i="3"/>
  <c r="M1889" i="3"/>
  <c r="M1888" i="3"/>
  <c r="M1887" i="3"/>
  <c r="M1886" i="3"/>
  <c r="M1885" i="3"/>
  <c r="M1884" i="3"/>
  <c r="M1883" i="3"/>
  <c r="M1882" i="3"/>
  <c r="M1881" i="3"/>
  <c r="M1880" i="3"/>
  <c r="M1879" i="3"/>
  <c r="M1878" i="3"/>
  <c r="M1877" i="3"/>
  <c r="M1876" i="3"/>
  <c r="M1875" i="3"/>
  <c r="M1874" i="3"/>
  <c r="M1873" i="3"/>
  <c r="M1872" i="3"/>
  <c r="M1871" i="3"/>
  <c r="M1870" i="3"/>
  <c r="M1869" i="3"/>
  <c r="M1868" i="3"/>
  <c r="M1867" i="3"/>
  <c r="M1866" i="3"/>
  <c r="M1865" i="3"/>
  <c r="M1864" i="3"/>
  <c r="M1863" i="3"/>
  <c r="M1862" i="3"/>
  <c r="M1861" i="3"/>
  <c r="M1860" i="3"/>
  <c r="M1859" i="3"/>
  <c r="M1858" i="3"/>
  <c r="M1857" i="3"/>
  <c r="M1856" i="3"/>
  <c r="M1855" i="3"/>
  <c r="M1854" i="3"/>
  <c r="M1853" i="3"/>
  <c r="M1852" i="3"/>
  <c r="M1851" i="3"/>
  <c r="M1850" i="3"/>
  <c r="M1849" i="3"/>
  <c r="M1848" i="3"/>
  <c r="M1847" i="3"/>
  <c r="M1846" i="3"/>
  <c r="M1845" i="3"/>
  <c r="M1844" i="3"/>
  <c r="M1843" i="3"/>
  <c r="M1842" i="3"/>
  <c r="M1841" i="3"/>
  <c r="M1840" i="3"/>
  <c r="M1839" i="3"/>
  <c r="M1838" i="3"/>
  <c r="M1837" i="3"/>
  <c r="M1836" i="3"/>
  <c r="M1835" i="3"/>
  <c r="M1834" i="3"/>
  <c r="M1833" i="3"/>
  <c r="M1832" i="3"/>
  <c r="M1831" i="3"/>
  <c r="M1830" i="3"/>
  <c r="M1829" i="3"/>
  <c r="M1828" i="3"/>
  <c r="M1827" i="3"/>
  <c r="M1826" i="3"/>
  <c r="M1825" i="3"/>
  <c r="M1824" i="3"/>
  <c r="M1823" i="3"/>
  <c r="M1822" i="3"/>
  <c r="M1821" i="3"/>
  <c r="M1820" i="3"/>
  <c r="M1819" i="3"/>
  <c r="M1818" i="3"/>
  <c r="M1817" i="3"/>
  <c r="M1816" i="3"/>
  <c r="M1815" i="3"/>
  <c r="M1814" i="3"/>
  <c r="M1813" i="3"/>
  <c r="M1812" i="3"/>
  <c r="M1811" i="3"/>
  <c r="M1810" i="3"/>
  <c r="M1809" i="3"/>
  <c r="M1808" i="3"/>
  <c r="M1807" i="3"/>
  <c r="M1806" i="3"/>
  <c r="M1805" i="3"/>
  <c r="M1804" i="3"/>
  <c r="M1803" i="3"/>
  <c r="M1802" i="3"/>
  <c r="M1801" i="3"/>
  <c r="M1800" i="3"/>
  <c r="M1799" i="3"/>
  <c r="M1798" i="3"/>
  <c r="M1797" i="3"/>
  <c r="M1796" i="3"/>
  <c r="M1795" i="3"/>
  <c r="M1794" i="3"/>
  <c r="M1793" i="3"/>
  <c r="M1792" i="3"/>
  <c r="M1791" i="3"/>
  <c r="M1790" i="3"/>
  <c r="M1789" i="3"/>
  <c r="M1788" i="3"/>
  <c r="M1787" i="3"/>
  <c r="M1786" i="3"/>
  <c r="M1785" i="3"/>
  <c r="M1784" i="3"/>
  <c r="M1783" i="3"/>
  <c r="M1782" i="3"/>
  <c r="M1781" i="3"/>
  <c r="M1780" i="3"/>
  <c r="M1779" i="3"/>
  <c r="M1778" i="3"/>
  <c r="M1777" i="3"/>
  <c r="M1776" i="3"/>
  <c r="M1775" i="3"/>
  <c r="M1774" i="3"/>
  <c r="M1773" i="3"/>
  <c r="M1772" i="3"/>
  <c r="M1771" i="3"/>
  <c r="M1770" i="3"/>
  <c r="M1769" i="3"/>
  <c r="M1768" i="3"/>
  <c r="M1767" i="3"/>
  <c r="M1766" i="3"/>
  <c r="M1765" i="3"/>
  <c r="M1764" i="3"/>
  <c r="M1763" i="3"/>
  <c r="M1762" i="3"/>
  <c r="M1761" i="3"/>
  <c r="M1760" i="3"/>
  <c r="M1759" i="3"/>
  <c r="M1758" i="3"/>
  <c r="M1757" i="3"/>
  <c r="M1756" i="3"/>
  <c r="M1755" i="3"/>
  <c r="M1754" i="3"/>
  <c r="M1753" i="3"/>
  <c r="M1752" i="3"/>
  <c r="M1751" i="3"/>
  <c r="M1750" i="3"/>
  <c r="M1749" i="3"/>
  <c r="M1748" i="3"/>
  <c r="M1747" i="3"/>
  <c r="M1746" i="3"/>
  <c r="M1745" i="3"/>
  <c r="M1744" i="3"/>
  <c r="M1743" i="3"/>
  <c r="M1742" i="3"/>
  <c r="M1741" i="3"/>
  <c r="M1740" i="3"/>
  <c r="M1739" i="3"/>
  <c r="M1738" i="3"/>
  <c r="M1737" i="3"/>
  <c r="M1736" i="3"/>
  <c r="M1735" i="3"/>
  <c r="M1734" i="3"/>
  <c r="M1733" i="3"/>
  <c r="M1732" i="3"/>
  <c r="M1731" i="3"/>
  <c r="M1730" i="3"/>
  <c r="M1729" i="3"/>
  <c r="M1728" i="3"/>
  <c r="M1727" i="3"/>
  <c r="M1726" i="3"/>
  <c r="M1725" i="3"/>
  <c r="M1724" i="3"/>
  <c r="M1723" i="3"/>
  <c r="M1722" i="3"/>
  <c r="M1721" i="3"/>
  <c r="M1720" i="3"/>
  <c r="M1719" i="3"/>
  <c r="M1718" i="3"/>
  <c r="M1717" i="3"/>
  <c r="M1716" i="3"/>
  <c r="M1715" i="3"/>
  <c r="M1714" i="3"/>
  <c r="M1713" i="3"/>
  <c r="M1712" i="3"/>
  <c r="M1711" i="3"/>
  <c r="M1710" i="3"/>
  <c r="M1709" i="3"/>
  <c r="M1708" i="3"/>
  <c r="M1707" i="3"/>
  <c r="M1706" i="3"/>
  <c r="M1705" i="3"/>
  <c r="M1704" i="3"/>
  <c r="M1703" i="3"/>
  <c r="M1702" i="3"/>
  <c r="M1701" i="3"/>
  <c r="M1700" i="3"/>
  <c r="M1699" i="3"/>
  <c r="M1698" i="3"/>
  <c r="M1697" i="3"/>
  <c r="M1696" i="3"/>
  <c r="M1695" i="3"/>
  <c r="M1694" i="3"/>
  <c r="M1693" i="3"/>
  <c r="M1692" i="3"/>
  <c r="M1691" i="3"/>
  <c r="M1690" i="3"/>
  <c r="M1689" i="3"/>
  <c r="M1688" i="3"/>
  <c r="M1687" i="3"/>
  <c r="M1686" i="3"/>
  <c r="M1685" i="3"/>
  <c r="M1684" i="3"/>
  <c r="M1683" i="3"/>
  <c r="M1682" i="3"/>
  <c r="M1681" i="3"/>
  <c r="M1680" i="3"/>
  <c r="M1679" i="3"/>
  <c r="M1678" i="3"/>
  <c r="M1677" i="3"/>
  <c r="M1676" i="3"/>
  <c r="M1675" i="3"/>
  <c r="M1674" i="3"/>
  <c r="M1673" i="3"/>
  <c r="M1672" i="3"/>
  <c r="M1671" i="3"/>
  <c r="M1670" i="3"/>
  <c r="M1669" i="3"/>
  <c r="M1668" i="3"/>
  <c r="M1667" i="3"/>
  <c r="M1666" i="3"/>
  <c r="M1665" i="3"/>
  <c r="M1664" i="3"/>
  <c r="M1663" i="3"/>
  <c r="M1662" i="3"/>
  <c r="M1661" i="3"/>
  <c r="M1660" i="3"/>
  <c r="M1659" i="3"/>
  <c r="M1658" i="3"/>
  <c r="M1657" i="3"/>
  <c r="M1656" i="3"/>
  <c r="M1655" i="3"/>
  <c r="M1654" i="3"/>
  <c r="M1653" i="3"/>
  <c r="M1652" i="3"/>
  <c r="M1651" i="3"/>
  <c r="M1650" i="3"/>
  <c r="M1649" i="3"/>
  <c r="M1648" i="3"/>
  <c r="M1647" i="3"/>
  <c r="M1646" i="3"/>
  <c r="M1645" i="3"/>
  <c r="M1644" i="3"/>
  <c r="M1643" i="3"/>
  <c r="M1642" i="3"/>
  <c r="M1641" i="3"/>
  <c r="M1640" i="3"/>
  <c r="M1639" i="3"/>
  <c r="M1638" i="3"/>
  <c r="M1637" i="3"/>
  <c r="M1636" i="3"/>
  <c r="M1635" i="3"/>
  <c r="M1634" i="3"/>
  <c r="M1633" i="3"/>
  <c r="M1632" i="3"/>
  <c r="M1631" i="3"/>
  <c r="M1630" i="3"/>
  <c r="M1629" i="3"/>
  <c r="M1628" i="3"/>
  <c r="M1627" i="3"/>
  <c r="M1626" i="3"/>
  <c r="M1625" i="3"/>
  <c r="M1624" i="3"/>
  <c r="M1623" i="3"/>
  <c r="M1622" i="3"/>
  <c r="M1621" i="3"/>
  <c r="M1620" i="3"/>
  <c r="M1619" i="3"/>
  <c r="M1618" i="3"/>
  <c r="M1617" i="3"/>
  <c r="M1616" i="3"/>
  <c r="M1615" i="3"/>
  <c r="M1614" i="3"/>
  <c r="M1613" i="3"/>
  <c r="M1612" i="3"/>
  <c r="M1611" i="3"/>
  <c r="M1610" i="3"/>
  <c r="M1609" i="3"/>
  <c r="M1608" i="3"/>
  <c r="M1607" i="3"/>
  <c r="M1606" i="3"/>
  <c r="M1605" i="3"/>
  <c r="M1604" i="3"/>
  <c r="M1603" i="3"/>
  <c r="M1602" i="3"/>
  <c r="M1601" i="3"/>
  <c r="M1600" i="3"/>
  <c r="M1599" i="3"/>
  <c r="M1598" i="3"/>
  <c r="M1597" i="3"/>
  <c r="M1596" i="3"/>
  <c r="M1595" i="3"/>
  <c r="M1594" i="3"/>
  <c r="M1593" i="3"/>
  <c r="M1592" i="3"/>
  <c r="M1591" i="3"/>
  <c r="M1590" i="3"/>
  <c r="M1589" i="3"/>
  <c r="M1588" i="3"/>
  <c r="M1587" i="3"/>
  <c r="M1586" i="3"/>
  <c r="M1585" i="3"/>
  <c r="M1584" i="3"/>
  <c r="M1583" i="3"/>
  <c r="M1582" i="3"/>
  <c r="M1581" i="3"/>
  <c r="M1580" i="3"/>
  <c r="M1579" i="3"/>
  <c r="M1578" i="3"/>
  <c r="M1577" i="3"/>
  <c r="M1576" i="3"/>
  <c r="M1575" i="3"/>
  <c r="M1574" i="3"/>
  <c r="M1573" i="3"/>
  <c r="M1572" i="3"/>
  <c r="M1571" i="3"/>
  <c r="M1570" i="3"/>
  <c r="M1569" i="3"/>
  <c r="M1568" i="3"/>
  <c r="M1567" i="3"/>
  <c r="M1566" i="3"/>
  <c r="M1565" i="3"/>
  <c r="M1564" i="3"/>
  <c r="M1563" i="3"/>
  <c r="M1562" i="3"/>
  <c r="M1561" i="3"/>
  <c r="M1560" i="3"/>
  <c r="M1559" i="3"/>
  <c r="M1558" i="3"/>
  <c r="M1557" i="3"/>
  <c r="M1556" i="3"/>
  <c r="M1555" i="3"/>
  <c r="M1554" i="3"/>
  <c r="M1553" i="3"/>
  <c r="M1552" i="3"/>
  <c r="M1551" i="3"/>
  <c r="M1550" i="3"/>
  <c r="M1549" i="3"/>
  <c r="M1548" i="3"/>
  <c r="M1547" i="3"/>
  <c r="M1546" i="3"/>
  <c r="H1546" i="3"/>
  <c r="M1545" i="3"/>
  <c r="H1545" i="3"/>
  <c r="M1544" i="3"/>
  <c r="H1544" i="3"/>
  <c r="M1543" i="3"/>
  <c r="H1543" i="3"/>
  <c r="M1542" i="3"/>
  <c r="H1542" i="3"/>
  <c r="M1541" i="3"/>
  <c r="H1541" i="3"/>
  <c r="M1540" i="3"/>
  <c r="H1540" i="3"/>
  <c r="M1539" i="3"/>
  <c r="H1539" i="3"/>
  <c r="M1538" i="3"/>
  <c r="H1538" i="3"/>
  <c r="M1537" i="3"/>
  <c r="H1537" i="3"/>
  <c r="M1536" i="3"/>
  <c r="H1536" i="3"/>
  <c r="M1535" i="3"/>
  <c r="H1535" i="3"/>
  <c r="M1534" i="3"/>
  <c r="H1534" i="3"/>
  <c r="M1533" i="3"/>
  <c r="H1533" i="3"/>
  <c r="M1532" i="3"/>
  <c r="H1532" i="3"/>
  <c r="M1531" i="3"/>
  <c r="H1531" i="3"/>
  <c r="M1530" i="3"/>
  <c r="H1530" i="3"/>
  <c r="M1529" i="3"/>
  <c r="H1529" i="3"/>
  <c r="M1528" i="3"/>
  <c r="H1528" i="3"/>
  <c r="M1527" i="3"/>
  <c r="H1527" i="3"/>
  <c r="M1526" i="3"/>
  <c r="H1526" i="3"/>
  <c r="M1525" i="3"/>
  <c r="H1525" i="3"/>
  <c r="M1524" i="3"/>
  <c r="H1524" i="3"/>
  <c r="M1523" i="3"/>
  <c r="H1523" i="3"/>
  <c r="M1522" i="3"/>
  <c r="H1522" i="3"/>
  <c r="M1521" i="3"/>
  <c r="H1521" i="3"/>
  <c r="M1520" i="3"/>
  <c r="H1520" i="3"/>
  <c r="M1519" i="3"/>
  <c r="H1519" i="3"/>
  <c r="M1518" i="3"/>
  <c r="H1518" i="3"/>
  <c r="M1517" i="3"/>
  <c r="H1517" i="3"/>
  <c r="M1516" i="3"/>
  <c r="H1516" i="3"/>
  <c r="M1515" i="3"/>
  <c r="H1515" i="3"/>
  <c r="M1514" i="3"/>
  <c r="H1514" i="3"/>
  <c r="M1513" i="3"/>
  <c r="H1513" i="3"/>
  <c r="M1512" i="3"/>
  <c r="H1512" i="3"/>
  <c r="M1511" i="3"/>
  <c r="H1511" i="3"/>
  <c r="M1510" i="3"/>
  <c r="H1510" i="3"/>
  <c r="M1509" i="3"/>
  <c r="H1509" i="3"/>
  <c r="M1508" i="3"/>
  <c r="H1508" i="3"/>
  <c r="M1507" i="3"/>
  <c r="H1507" i="3"/>
  <c r="M1506" i="3"/>
  <c r="H1506" i="3"/>
  <c r="M1505" i="3"/>
  <c r="H1505" i="3"/>
  <c r="M1504" i="3"/>
  <c r="H1504" i="3"/>
  <c r="M1503" i="3"/>
  <c r="H1503" i="3"/>
  <c r="M1502" i="3"/>
  <c r="H1502" i="3"/>
  <c r="M1501" i="3"/>
  <c r="H1501" i="3"/>
  <c r="M1500" i="3"/>
  <c r="H1500" i="3"/>
  <c r="M1499" i="3"/>
  <c r="H1499" i="3"/>
  <c r="M1498" i="3"/>
  <c r="H1498" i="3"/>
  <c r="M1497" i="3"/>
  <c r="H1497" i="3"/>
  <c r="M1496" i="3"/>
  <c r="H1496" i="3"/>
  <c r="M1495" i="3"/>
  <c r="H1495" i="3"/>
  <c r="M1494" i="3"/>
  <c r="H1494" i="3"/>
  <c r="M1493" i="3"/>
  <c r="H1493" i="3"/>
  <c r="M1492" i="3"/>
  <c r="H1492" i="3"/>
  <c r="M1491" i="3"/>
  <c r="H1491" i="3"/>
  <c r="M1490" i="3"/>
  <c r="H1490" i="3"/>
  <c r="M1489" i="3"/>
  <c r="H1489" i="3"/>
  <c r="M1488" i="3"/>
  <c r="H1488" i="3"/>
  <c r="M1487" i="3"/>
  <c r="H1487" i="3"/>
  <c r="M1486" i="3"/>
  <c r="H1486" i="3"/>
  <c r="M1485" i="3"/>
  <c r="H1485" i="3"/>
  <c r="M1484" i="3"/>
  <c r="H1484" i="3"/>
  <c r="M1483" i="3"/>
  <c r="H1483" i="3"/>
  <c r="M1482" i="3"/>
  <c r="H1482" i="3"/>
  <c r="M1481" i="3"/>
  <c r="H1481" i="3"/>
  <c r="M1480" i="3"/>
  <c r="H1480" i="3"/>
  <c r="M1479" i="3"/>
  <c r="H1479" i="3"/>
  <c r="M1478" i="3"/>
  <c r="H1478" i="3"/>
  <c r="M1477" i="3"/>
  <c r="M1476" i="3"/>
  <c r="M1475" i="3"/>
  <c r="M1474" i="3"/>
  <c r="M1473" i="3"/>
  <c r="M1472" i="3"/>
  <c r="M1471" i="3"/>
  <c r="M1470" i="3"/>
  <c r="M1469" i="3"/>
  <c r="M1468" i="3"/>
  <c r="M1467" i="3"/>
  <c r="M1466" i="3"/>
  <c r="M1465" i="3"/>
  <c r="M1464" i="3"/>
  <c r="M1463" i="3"/>
  <c r="M1462" i="3"/>
  <c r="M1461" i="3"/>
  <c r="M1460" i="3"/>
  <c r="M1459" i="3"/>
  <c r="M1458" i="3"/>
  <c r="M1457" i="3"/>
  <c r="M1456" i="3"/>
  <c r="M1455" i="3"/>
  <c r="M1454" i="3"/>
  <c r="M1453" i="3"/>
  <c r="M1452" i="3"/>
  <c r="M1451" i="3"/>
  <c r="M1450" i="3"/>
  <c r="M1449" i="3"/>
  <c r="M1448" i="3"/>
  <c r="M1447" i="3"/>
  <c r="M1446" i="3"/>
  <c r="M1445" i="3"/>
  <c r="M1444" i="3"/>
  <c r="M1443" i="3"/>
  <c r="M1442" i="3"/>
  <c r="M1441" i="3"/>
  <c r="M1440" i="3"/>
  <c r="M1439" i="3"/>
  <c r="M1438" i="3"/>
  <c r="M1437" i="3"/>
  <c r="M1436" i="3"/>
  <c r="M1435" i="3"/>
  <c r="M1434" i="3"/>
  <c r="M1433" i="3"/>
  <c r="M1432" i="3"/>
  <c r="M1431" i="3"/>
  <c r="M1430" i="3"/>
  <c r="M1429" i="3"/>
  <c r="M1428" i="3"/>
  <c r="M1427" i="3"/>
  <c r="M1426" i="3"/>
  <c r="M1425" i="3"/>
  <c r="M1424" i="3"/>
  <c r="M1423" i="3"/>
  <c r="M1422" i="3"/>
  <c r="M1421" i="3"/>
  <c r="M1420" i="3"/>
  <c r="M1419" i="3"/>
  <c r="M1418" i="3"/>
  <c r="M1417" i="3"/>
  <c r="M1416" i="3"/>
  <c r="M1415" i="3"/>
  <c r="M1414" i="3"/>
  <c r="M1413" i="3"/>
  <c r="M1412" i="3"/>
  <c r="M1411" i="3"/>
  <c r="M1410" i="3"/>
  <c r="M1409" i="3"/>
  <c r="M1408" i="3"/>
  <c r="M1407" i="3"/>
  <c r="M1406" i="3"/>
  <c r="M1405" i="3"/>
  <c r="M1404" i="3"/>
  <c r="M1403" i="3"/>
  <c r="M1402" i="3"/>
  <c r="M1401" i="3"/>
  <c r="M1400" i="3"/>
  <c r="M1399" i="3"/>
  <c r="M1398" i="3"/>
  <c r="M1397" i="3"/>
  <c r="M1396" i="3"/>
  <c r="M1395" i="3"/>
  <c r="M1394" i="3"/>
  <c r="M1393" i="3"/>
  <c r="M1392" i="3"/>
  <c r="M1391" i="3"/>
  <c r="M1390" i="3"/>
  <c r="M1389" i="3"/>
  <c r="M1388" i="3"/>
  <c r="M1387" i="3"/>
  <c r="M1386" i="3"/>
  <c r="M1385" i="3"/>
  <c r="M1384" i="3"/>
  <c r="M1383" i="3"/>
  <c r="M1382" i="3"/>
  <c r="M1381" i="3"/>
  <c r="M1380" i="3"/>
  <c r="M1379" i="3"/>
  <c r="M1378" i="3"/>
  <c r="M1377" i="3"/>
  <c r="M1376" i="3"/>
  <c r="M1375" i="3"/>
  <c r="M1374" i="3"/>
  <c r="M1373" i="3"/>
  <c r="M1372" i="3"/>
  <c r="M1371" i="3"/>
  <c r="M1370" i="3"/>
  <c r="M1369" i="3"/>
  <c r="M1368" i="3"/>
  <c r="M1367" i="3"/>
  <c r="M1366" i="3"/>
  <c r="M1365" i="3"/>
  <c r="M1364" i="3"/>
  <c r="M1363" i="3"/>
  <c r="M1362" i="3"/>
  <c r="M1361" i="3"/>
  <c r="M1360" i="3"/>
  <c r="M1359" i="3"/>
  <c r="M1358" i="3"/>
  <c r="M1357" i="3"/>
  <c r="M1356" i="3"/>
  <c r="M1355" i="3"/>
  <c r="M1354" i="3"/>
  <c r="M1353" i="3"/>
  <c r="M1352" i="3"/>
  <c r="M1351" i="3"/>
  <c r="M1350" i="3"/>
  <c r="M1349" i="3"/>
  <c r="M1348" i="3"/>
  <c r="M1347" i="3"/>
  <c r="M1346" i="3"/>
  <c r="M1345" i="3"/>
  <c r="M1344" i="3"/>
  <c r="M1343" i="3"/>
  <c r="M1342" i="3"/>
  <c r="M1341" i="3"/>
  <c r="M1340" i="3"/>
  <c r="M1339" i="3"/>
  <c r="M1338" i="3"/>
  <c r="M1337" i="3"/>
  <c r="M1336" i="3"/>
  <c r="M1335" i="3"/>
  <c r="M1334" i="3"/>
  <c r="M1333" i="3"/>
  <c r="M1332" i="3"/>
  <c r="M1331" i="3"/>
  <c r="M1330" i="3"/>
  <c r="M1329" i="3"/>
  <c r="M1328" i="3"/>
  <c r="M1327" i="3"/>
  <c r="M1326" i="3"/>
  <c r="M1325" i="3"/>
  <c r="M1324" i="3"/>
  <c r="M1323" i="3"/>
  <c r="M1322" i="3"/>
  <c r="M1321" i="3"/>
  <c r="M1320" i="3"/>
  <c r="M1319" i="3"/>
  <c r="M1318" i="3"/>
  <c r="M1317" i="3"/>
  <c r="M1316" i="3"/>
  <c r="M1315" i="3"/>
  <c r="M1314" i="3"/>
  <c r="M1313" i="3"/>
  <c r="M1312" i="3"/>
  <c r="M1311" i="3"/>
  <c r="M1310" i="3"/>
  <c r="M1309" i="3"/>
  <c r="M1308" i="3"/>
  <c r="M1307" i="3"/>
  <c r="M1306" i="3"/>
  <c r="M1305" i="3"/>
  <c r="M1304" i="3"/>
  <c r="M1303" i="3"/>
  <c r="M1302" i="3"/>
  <c r="M1301" i="3"/>
  <c r="M1300" i="3"/>
  <c r="M1299" i="3"/>
  <c r="M1298" i="3"/>
  <c r="M1297" i="3"/>
  <c r="M1296" i="3"/>
  <c r="M1295" i="3"/>
  <c r="M1294" i="3"/>
  <c r="M1293" i="3"/>
  <c r="M1292" i="3"/>
  <c r="M1291" i="3"/>
  <c r="M1290" i="3"/>
  <c r="M1289" i="3"/>
  <c r="M1288" i="3"/>
  <c r="M1287" i="3"/>
  <c r="M1286" i="3"/>
  <c r="M1285" i="3"/>
  <c r="M1284" i="3"/>
  <c r="M1283" i="3"/>
  <c r="M1282" i="3"/>
  <c r="M1281" i="3"/>
  <c r="M1280" i="3"/>
  <c r="M1279" i="3"/>
  <c r="M1278" i="3"/>
  <c r="M1277" i="3"/>
  <c r="M1276" i="3"/>
  <c r="M1275" i="3"/>
  <c r="M1274" i="3"/>
  <c r="M1273" i="3"/>
  <c r="M1272" i="3"/>
  <c r="M1271" i="3"/>
  <c r="M1270" i="3"/>
  <c r="M1269" i="3"/>
  <c r="M1268" i="3"/>
  <c r="M1267" i="3"/>
  <c r="M1266" i="3"/>
  <c r="M1265" i="3"/>
  <c r="M1264" i="3"/>
  <c r="M1263" i="3"/>
  <c r="M1262" i="3"/>
  <c r="M1261" i="3"/>
  <c r="M1260" i="3"/>
  <c r="M1259" i="3"/>
  <c r="M1258" i="3"/>
  <c r="M1257" i="3"/>
  <c r="M1256" i="3"/>
  <c r="M1255" i="3"/>
  <c r="M1254" i="3"/>
  <c r="M1253" i="3"/>
  <c r="M1252" i="3"/>
  <c r="M1251" i="3"/>
  <c r="M1250" i="3"/>
  <c r="M1249" i="3"/>
  <c r="M1248" i="3"/>
  <c r="M1247" i="3"/>
  <c r="M1246" i="3"/>
  <c r="M1245" i="3"/>
  <c r="M1244" i="3"/>
  <c r="M1243" i="3"/>
  <c r="M1242" i="3"/>
  <c r="M1241" i="3"/>
  <c r="M1240" i="3"/>
  <c r="M1239" i="3"/>
  <c r="M1238" i="3"/>
  <c r="M1237" i="3"/>
  <c r="M1236" i="3"/>
  <c r="M1235" i="3"/>
  <c r="M1234" i="3"/>
  <c r="M1233" i="3"/>
  <c r="M1232" i="3"/>
  <c r="M1231" i="3"/>
  <c r="M1230" i="3"/>
  <c r="M1229" i="3"/>
  <c r="M1228" i="3"/>
  <c r="M1227" i="3"/>
  <c r="M1226" i="3"/>
  <c r="M1225" i="3"/>
  <c r="M1224" i="3"/>
  <c r="M1223" i="3"/>
  <c r="M1222" i="3"/>
  <c r="M1221" i="3"/>
  <c r="M1220" i="3"/>
  <c r="M1219" i="3"/>
  <c r="M1218" i="3"/>
  <c r="M1217" i="3"/>
  <c r="M1216" i="3"/>
  <c r="M1215" i="3"/>
  <c r="M1214" i="3"/>
  <c r="M1213" i="3"/>
  <c r="M1212" i="3"/>
  <c r="M1211" i="3"/>
  <c r="M1210" i="3"/>
  <c r="M1209" i="3"/>
  <c r="M1208" i="3"/>
  <c r="M1207" i="3"/>
  <c r="M1206" i="3"/>
  <c r="M1205" i="3"/>
  <c r="M1204" i="3"/>
  <c r="M1203" i="3"/>
  <c r="M1202" i="3"/>
  <c r="M1201" i="3"/>
  <c r="M1200" i="3"/>
  <c r="M1199" i="3"/>
  <c r="M1198" i="3"/>
  <c r="M1197" i="3"/>
  <c r="M1196" i="3"/>
  <c r="M1195" i="3"/>
  <c r="M1194" i="3"/>
  <c r="M1193" i="3"/>
  <c r="M1192" i="3"/>
  <c r="M1191" i="3"/>
  <c r="M1190" i="3"/>
  <c r="M1189" i="3"/>
  <c r="M1188" i="3"/>
  <c r="M1187" i="3"/>
  <c r="M1186" i="3"/>
  <c r="M1185" i="3"/>
  <c r="M1184" i="3"/>
  <c r="M1183" i="3"/>
  <c r="M1182" i="3"/>
  <c r="M1181" i="3"/>
  <c r="M1180" i="3"/>
  <c r="M1179" i="3"/>
  <c r="M1178" i="3"/>
  <c r="M1177" i="3"/>
  <c r="M1176" i="3"/>
  <c r="M1175" i="3"/>
  <c r="M1174" i="3"/>
  <c r="M1173" i="3"/>
  <c r="M1172" i="3"/>
  <c r="M1171" i="3"/>
  <c r="M1170" i="3"/>
  <c r="M1169" i="3"/>
  <c r="M1168" i="3"/>
  <c r="M1167" i="3"/>
  <c r="M1166" i="3"/>
  <c r="M1165" i="3"/>
  <c r="M1164" i="3"/>
  <c r="M1163" i="3"/>
  <c r="M1162" i="3"/>
  <c r="M1161" i="3"/>
  <c r="M1160" i="3"/>
  <c r="M1159" i="3"/>
  <c r="M1158" i="3"/>
  <c r="M1157" i="3"/>
  <c r="M1156" i="3"/>
  <c r="M1155" i="3"/>
  <c r="M1154" i="3"/>
  <c r="M1153" i="3"/>
  <c r="M1152" i="3"/>
  <c r="M1151" i="3"/>
  <c r="M1150" i="3"/>
  <c r="M1149" i="3"/>
  <c r="M1148" i="3"/>
  <c r="M1147" i="3"/>
  <c r="M1146" i="3"/>
  <c r="M1145" i="3"/>
  <c r="M1144" i="3"/>
  <c r="M1143" i="3"/>
  <c r="M1142" i="3"/>
  <c r="M1141" i="3"/>
  <c r="M1140" i="3"/>
  <c r="M1139" i="3"/>
  <c r="M1138" i="3"/>
  <c r="M1137" i="3"/>
  <c r="M1136" i="3"/>
  <c r="M1135" i="3"/>
  <c r="M1134" i="3"/>
  <c r="M1133" i="3"/>
  <c r="M1132" i="3"/>
  <c r="M1131" i="3"/>
  <c r="M1130" i="3"/>
  <c r="M1129" i="3"/>
  <c r="M1128" i="3"/>
  <c r="M1127" i="3"/>
  <c r="M1126" i="3"/>
  <c r="M1125" i="3"/>
  <c r="M1124" i="3"/>
  <c r="M1123" i="3"/>
  <c r="M1122" i="3"/>
  <c r="M1121" i="3"/>
  <c r="M1120" i="3"/>
  <c r="M1119" i="3"/>
  <c r="M1118" i="3"/>
  <c r="M1117" i="3"/>
  <c r="M1116" i="3"/>
  <c r="M1115" i="3"/>
  <c r="M1114" i="3"/>
  <c r="M1113" i="3"/>
  <c r="M1112" i="3"/>
  <c r="M1111" i="3"/>
  <c r="M1110" i="3"/>
  <c r="M1109" i="3"/>
  <c r="M1108" i="3"/>
  <c r="M1107" i="3"/>
  <c r="M1106" i="3"/>
  <c r="M1105" i="3"/>
  <c r="M1104" i="3"/>
  <c r="M1103" i="3"/>
  <c r="M1102" i="3"/>
  <c r="M1101" i="3"/>
  <c r="M1100" i="3"/>
  <c r="M1099" i="3"/>
  <c r="M1098" i="3"/>
  <c r="M1097" i="3"/>
  <c r="M1096" i="3"/>
  <c r="M1095" i="3"/>
  <c r="M1094" i="3"/>
  <c r="M1093" i="3"/>
  <c r="M1092" i="3"/>
  <c r="M1091" i="3"/>
  <c r="M1090" i="3"/>
  <c r="M1089" i="3"/>
  <c r="M1088" i="3"/>
  <c r="M1087" i="3"/>
  <c r="M1086" i="3"/>
  <c r="M1085" i="3"/>
  <c r="M1084" i="3"/>
  <c r="M1083" i="3"/>
  <c r="M1082" i="3"/>
  <c r="M1081" i="3"/>
  <c r="M1080" i="3"/>
  <c r="M1079" i="3"/>
  <c r="M1078" i="3"/>
  <c r="M1077" i="3"/>
  <c r="M1076" i="3"/>
  <c r="M1075" i="3"/>
  <c r="M1074" i="3"/>
  <c r="M1073" i="3"/>
  <c r="M1072" i="3"/>
  <c r="M1071" i="3"/>
  <c r="M1070" i="3"/>
  <c r="M1069" i="3"/>
  <c r="M1068" i="3"/>
  <c r="M1067" i="3"/>
  <c r="M1066" i="3"/>
  <c r="M1065" i="3"/>
  <c r="M1064" i="3"/>
  <c r="M1063" i="3"/>
  <c r="M1062" i="3"/>
  <c r="M1061" i="3"/>
  <c r="M1060" i="3"/>
  <c r="M1059" i="3"/>
  <c r="M1058" i="3"/>
  <c r="M1057" i="3"/>
  <c r="M1056" i="3"/>
  <c r="M1055" i="3"/>
  <c r="M1054" i="3"/>
  <c r="M1053" i="3"/>
  <c r="M1052" i="3"/>
  <c r="M1051" i="3"/>
  <c r="M1050" i="3"/>
  <c r="M1049" i="3"/>
  <c r="M1048" i="3"/>
  <c r="M1047" i="3"/>
  <c r="M1046" i="3"/>
  <c r="M1045" i="3"/>
  <c r="M1044" i="3"/>
  <c r="M1043" i="3"/>
  <c r="M1042" i="3"/>
  <c r="M1041" i="3"/>
  <c r="M1040" i="3"/>
  <c r="M1039" i="3"/>
  <c r="M1038" i="3"/>
  <c r="M1037" i="3"/>
  <c r="M1036" i="3"/>
  <c r="M1035" i="3"/>
  <c r="M1034" i="3"/>
  <c r="M1033" i="3"/>
  <c r="M1032" i="3"/>
  <c r="M1031" i="3"/>
  <c r="M1030" i="3"/>
  <c r="M1029" i="3"/>
  <c r="M1028" i="3"/>
  <c r="M1027" i="3"/>
  <c r="M1026" i="3"/>
  <c r="M1025" i="3"/>
  <c r="M1024" i="3"/>
  <c r="M1023" i="3"/>
  <c r="M1022" i="3"/>
  <c r="M1021" i="3"/>
  <c r="M1020" i="3"/>
  <c r="M1019" i="3"/>
  <c r="M1018" i="3"/>
  <c r="M1017" i="3"/>
  <c r="M1016" i="3"/>
  <c r="M1015" i="3"/>
  <c r="M1014" i="3"/>
  <c r="M1013" i="3"/>
  <c r="M1011" i="3"/>
  <c r="M1010" i="3"/>
  <c r="M1009" i="3"/>
  <c r="M1008" i="3"/>
  <c r="M1007" i="3"/>
  <c r="M1006" i="3"/>
  <c r="M1005" i="3"/>
  <c r="M1004" i="3"/>
  <c r="M1003" i="3"/>
  <c r="M1002" i="3"/>
  <c r="M1001" i="3"/>
  <c r="M1000" i="3"/>
  <c r="M999" i="3"/>
  <c r="M998" i="3"/>
  <c r="M997" i="3"/>
  <c r="M996" i="3"/>
  <c r="M995" i="3"/>
  <c r="M994" i="3"/>
  <c r="M993" i="3"/>
  <c r="M992" i="3"/>
  <c r="M991" i="3"/>
  <c r="M990" i="3"/>
  <c r="M989" i="3"/>
  <c r="M988" i="3"/>
  <c r="M987" i="3"/>
  <c r="M986" i="3"/>
  <c r="M985" i="3"/>
  <c r="M984" i="3"/>
  <c r="M983" i="3"/>
  <c r="M982" i="3"/>
  <c r="M981" i="3"/>
  <c r="M980" i="3"/>
  <c r="M979" i="3"/>
  <c r="M978" i="3"/>
  <c r="M977" i="3"/>
  <c r="M976" i="3"/>
  <c r="M975" i="3"/>
  <c r="M974" i="3"/>
  <c r="M973" i="3"/>
  <c r="M972" i="3"/>
  <c r="M971" i="3"/>
  <c r="M970" i="3"/>
  <c r="M969" i="3"/>
  <c r="M968" i="3"/>
  <c r="M967" i="3"/>
  <c r="M966" i="3"/>
  <c r="M965" i="3"/>
  <c r="M964" i="3"/>
  <c r="M963" i="3"/>
  <c r="M962" i="3"/>
  <c r="M961" i="3"/>
  <c r="M960" i="3"/>
  <c r="M959" i="3"/>
  <c r="M958" i="3"/>
  <c r="M957" i="3"/>
  <c r="M956" i="3"/>
  <c r="M955" i="3"/>
  <c r="M954" i="3"/>
  <c r="M953" i="3"/>
  <c r="M952" i="3"/>
  <c r="M951" i="3"/>
  <c r="M950" i="3"/>
  <c r="M949" i="3"/>
  <c r="M948" i="3"/>
  <c r="M947" i="3"/>
  <c r="M946" i="3"/>
  <c r="M945" i="3"/>
  <c r="M944" i="3"/>
  <c r="M943" i="3"/>
  <c r="M942" i="3"/>
  <c r="M941" i="3"/>
  <c r="M940" i="3"/>
  <c r="M939" i="3"/>
  <c r="M938" i="3"/>
  <c r="M937" i="3"/>
  <c r="M936" i="3"/>
  <c r="M935" i="3"/>
  <c r="M934" i="3"/>
  <c r="M933" i="3"/>
  <c r="M932" i="3"/>
  <c r="M931" i="3"/>
  <c r="M930" i="3"/>
  <c r="M929" i="3"/>
  <c r="M928" i="3"/>
  <c r="M927" i="3"/>
  <c r="M926" i="3"/>
  <c r="M925" i="3"/>
  <c r="M924" i="3"/>
  <c r="M923" i="3"/>
  <c r="M922" i="3"/>
  <c r="M921" i="3"/>
  <c r="M920" i="3"/>
  <c r="M919" i="3"/>
  <c r="M918" i="3"/>
  <c r="M917" i="3"/>
  <c r="M916" i="3"/>
  <c r="M915" i="3"/>
  <c r="M914" i="3"/>
  <c r="M913" i="3"/>
  <c r="M912" i="3"/>
  <c r="M911" i="3"/>
  <c r="M910" i="3"/>
  <c r="M909" i="3"/>
  <c r="M908" i="3"/>
  <c r="M907" i="3"/>
  <c r="M906" i="3"/>
  <c r="M905" i="3"/>
  <c r="M904" i="3"/>
  <c r="M903" i="3"/>
  <c r="M902" i="3"/>
  <c r="M901" i="3"/>
  <c r="M900" i="3"/>
  <c r="M899" i="3"/>
  <c r="M898" i="3"/>
  <c r="M897" i="3"/>
  <c r="M896" i="3"/>
  <c r="M895" i="3"/>
  <c r="M894" i="3"/>
  <c r="M893" i="3"/>
  <c r="M892" i="3"/>
  <c r="M891" i="3"/>
  <c r="M890" i="3"/>
  <c r="M889" i="3"/>
  <c r="M888" i="3"/>
  <c r="M887" i="3"/>
  <c r="M886" i="3"/>
  <c r="M885" i="3"/>
  <c r="M884" i="3"/>
  <c r="M883" i="3"/>
  <c r="M882" i="3"/>
  <c r="M881" i="3"/>
  <c r="M880" i="3"/>
  <c r="M879" i="3"/>
  <c r="M878" i="3"/>
  <c r="M877" i="3"/>
  <c r="M876" i="3"/>
  <c r="M875" i="3"/>
  <c r="M874" i="3"/>
  <c r="M873" i="3"/>
  <c r="M872" i="3"/>
  <c r="M871" i="3"/>
  <c r="M870" i="3"/>
  <c r="M869" i="3"/>
  <c r="M868" i="3"/>
  <c r="M867" i="3"/>
  <c r="M866" i="3"/>
  <c r="M865" i="3"/>
  <c r="M864" i="3"/>
  <c r="M863" i="3"/>
  <c r="M862" i="3"/>
  <c r="M861" i="3"/>
  <c r="M860" i="3"/>
  <c r="M859" i="3"/>
  <c r="M858" i="3"/>
  <c r="M857" i="3"/>
  <c r="M856" i="3"/>
  <c r="M855" i="3"/>
  <c r="M854" i="3"/>
  <c r="M853" i="3"/>
  <c r="M852" i="3"/>
  <c r="M851" i="3"/>
  <c r="M850" i="3"/>
  <c r="M849" i="3"/>
  <c r="M848" i="3"/>
  <c r="M847" i="3"/>
  <c r="M846" i="3"/>
  <c r="M845" i="3"/>
  <c r="M844" i="3"/>
  <c r="M843" i="3"/>
  <c r="M842" i="3"/>
  <c r="M841" i="3"/>
  <c r="M840" i="3"/>
  <c r="M839" i="3"/>
  <c r="M838" i="3"/>
  <c r="M837" i="3"/>
  <c r="M836" i="3"/>
  <c r="M835" i="3"/>
  <c r="M834" i="3"/>
  <c r="M833" i="3"/>
  <c r="M832" i="3"/>
  <c r="M831" i="3"/>
  <c r="M830" i="3"/>
  <c r="M829" i="3"/>
  <c r="M828" i="3"/>
  <c r="M827" i="3"/>
  <c r="M826" i="3"/>
  <c r="M825" i="3"/>
  <c r="M824" i="3"/>
  <c r="M823" i="3"/>
  <c r="M822" i="3"/>
  <c r="M821" i="3"/>
  <c r="M820" i="3"/>
  <c r="M819" i="3"/>
  <c r="M818" i="3"/>
  <c r="M817" i="3"/>
  <c r="M816" i="3"/>
  <c r="M815" i="3"/>
  <c r="M814" i="3"/>
  <c r="M813" i="3"/>
  <c r="M812" i="3"/>
  <c r="M811" i="3"/>
  <c r="M810" i="3"/>
  <c r="M809" i="3"/>
  <c r="M808" i="3"/>
  <c r="M807" i="3"/>
  <c r="M806" i="3"/>
  <c r="M805" i="3"/>
  <c r="M804" i="3"/>
  <c r="M803" i="3"/>
  <c r="M802" i="3"/>
  <c r="M801" i="3"/>
  <c r="M800" i="3"/>
  <c r="M799" i="3"/>
  <c r="M798" i="3"/>
  <c r="M797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M784" i="3"/>
  <c r="M783" i="3"/>
  <c r="M782" i="3"/>
  <c r="M781" i="3"/>
  <c r="M780" i="3"/>
  <c r="M779" i="3"/>
  <c r="M778" i="3"/>
  <c r="M777" i="3"/>
  <c r="M776" i="3"/>
  <c r="M775" i="3"/>
  <c r="M774" i="3"/>
  <c r="M773" i="3"/>
  <c r="M772" i="3"/>
  <c r="M771" i="3"/>
  <c r="M770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M757" i="3"/>
  <c r="M756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3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M730" i="3"/>
  <c r="M729" i="3"/>
  <c r="M728" i="3"/>
  <c r="M727" i="3"/>
  <c r="M726" i="3"/>
  <c r="M725" i="3"/>
  <c r="M724" i="3"/>
  <c r="M723" i="3"/>
  <c r="M722" i="3"/>
  <c r="M721" i="3"/>
  <c r="M720" i="3"/>
  <c r="M719" i="3"/>
  <c r="M718" i="3"/>
  <c r="M717" i="3"/>
  <c r="M716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M703" i="3"/>
  <c r="M702" i="3"/>
  <c r="M701" i="3"/>
  <c r="M700" i="3"/>
  <c r="M699" i="3"/>
  <c r="M698" i="3"/>
  <c r="M697" i="3"/>
  <c r="M696" i="3"/>
  <c r="M695" i="3"/>
  <c r="M694" i="3"/>
  <c r="M693" i="3"/>
  <c r="M692" i="3"/>
  <c r="M691" i="3"/>
  <c r="M690" i="3"/>
  <c r="M689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M676" i="3"/>
  <c r="M675" i="3"/>
  <c r="M674" i="3"/>
  <c r="M673" i="3"/>
  <c r="M672" i="3"/>
  <c r="M671" i="3"/>
  <c r="M670" i="3"/>
  <c r="M669" i="3"/>
  <c r="M668" i="3"/>
  <c r="M667" i="3"/>
  <c r="M666" i="3"/>
  <c r="M665" i="3"/>
  <c r="M664" i="3"/>
  <c r="M663" i="3"/>
  <c r="M662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M649" i="3"/>
  <c r="M648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5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M622" i="3"/>
  <c r="M621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8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M595" i="3"/>
  <c r="M594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1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M568" i="3"/>
  <c r="M567" i="3"/>
  <c r="M566" i="3"/>
  <c r="M565" i="3"/>
  <c r="M564" i="3"/>
  <c r="M563" i="3"/>
  <c r="M562" i="3"/>
  <c r="M561" i="3"/>
  <c r="M560" i="3"/>
  <c r="M559" i="3"/>
  <c r="M558" i="3"/>
  <c r="M557" i="3"/>
  <c r="M556" i="3"/>
  <c r="M555" i="3"/>
  <c r="M554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M541" i="3"/>
  <c r="M540" i="3"/>
  <c r="M539" i="3"/>
  <c r="M538" i="3"/>
  <c r="M537" i="3"/>
  <c r="M536" i="3"/>
  <c r="M535" i="3"/>
  <c r="M534" i="3"/>
  <c r="M533" i="3"/>
  <c r="M532" i="3"/>
  <c r="M531" i="3"/>
  <c r="M530" i="3"/>
  <c r="M529" i="3"/>
  <c r="M528" i="3"/>
  <c r="M527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M514" i="3"/>
  <c r="M513" i="3"/>
  <c r="M512" i="3"/>
  <c r="M511" i="3"/>
  <c r="M510" i="3"/>
  <c r="M509" i="3"/>
  <c r="M508" i="3"/>
  <c r="M507" i="3"/>
  <c r="M506" i="3"/>
  <c r="M505" i="3"/>
  <c r="M504" i="3"/>
  <c r="M503" i="3"/>
  <c r="M502" i="3"/>
  <c r="M501" i="3"/>
  <c r="M500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H324" i="3"/>
  <c r="M323" i="3"/>
  <c r="H323" i="3"/>
  <c r="M322" i="3"/>
  <c r="H322" i="3"/>
  <c r="M321" i="3"/>
  <c r="H321" i="3"/>
  <c r="M320" i="3"/>
  <c r="H320" i="3"/>
  <c r="M319" i="3"/>
  <c r="H319" i="3"/>
  <c r="M318" i="3"/>
  <c r="H318" i="3"/>
  <c r="M317" i="3"/>
  <c r="H317" i="3"/>
  <c r="M316" i="3"/>
  <c r="H316" i="3"/>
  <c r="M315" i="3"/>
  <c r="H315" i="3"/>
  <c r="M314" i="3"/>
  <c r="H314" i="3"/>
  <c r="M313" i="3"/>
  <c r="H313" i="3"/>
  <c r="M312" i="3"/>
  <c r="H312" i="3"/>
  <c r="M311" i="3"/>
  <c r="H311" i="3"/>
  <c r="M310" i="3"/>
  <c r="H310" i="3"/>
  <c r="M309" i="3"/>
  <c r="H309" i="3"/>
  <c r="M308" i="3"/>
  <c r="H308" i="3"/>
  <c r="M307" i="3"/>
  <c r="H307" i="3"/>
  <c r="M306" i="3"/>
  <c r="H306" i="3"/>
  <c r="M305" i="3"/>
  <c r="H305" i="3"/>
  <c r="M304" i="3"/>
  <c r="H304" i="3"/>
  <c r="M303" i="3"/>
  <c r="H303" i="3"/>
  <c r="M302" i="3"/>
  <c r="H302" i="3"/>
  <c r="M301" i="3"/>
  <c r="H301" i="3"/>
  <c r="M300" i="3"/>
  <c r="H300" i="3"/>
  <c r="M299" i="3"/>
  <c r="H299" i="3"/>
  <c r="M298" i="3"/>
  <c r="H298" i="3"/>
  <c r="M297" i="3"/>
  <c r="H297" i="3"/>
  <c r="M296" i="3"/>
  <c r="H296" i="3"/>
  <c r="M295" i="3"/>
  <c r="H295" i="3"/>
  <c r="M294" i="3"/>
  <c r="H294" i="3"/>
  <c r="M293" i="3"/>
  <c r="H293" i="3"/>
  <c r="M292" i="3"/>
  <c r="H292" i="3"/>
  <c r="M291" i="3"/>
  <c r="H291" i="3"/>
  <c r="M290" i="3"/>
  <c r="H290" i="3"/>
  <c r="M289" i="3"/>
  <c r="H289" i="3"/>
  <c r="M288" i="3"/>
  <c r="H288" i="3"/>
  <c r="M287" i="3"/>
  <c r="H287" i="3"/>
  <c r="M286" i="3"/>
  <c r="H286" i="3"/>
  <c r="M285" i="3"/>
  <c r="H285" i="3"/>
  <c r="M284" i="3"/>
  <c r="H284" i="3"/>
  <c r="M283" i="3"/>
  <c r="H283" i="3"/>
  <c r="M282" i="3"/>
  <c r="H282" i="3"/>
  <c r="M281" i="3"/>
  <c r="H281" i="3"/>
  <c r="M280" i="3"/>
  <c r="H280" i="3"/>
  <c r="M279" i="3"/>
  <c r="H279" i="3"/>
  <c r="M278" i="3"/>
  <c r="H278" i="3"/>
  <c r="M277" i="3"/>
  <c r="H277" i="3"/>
  <c r="M276" i="3"/>
  <c r="H276" i="3"/>
  <c r="M275" i="3"/>
  <c r="H275" i="3"/>
  <c r="M274" i="3"/>
  <c r="H274" i="3"/>
  <c r="M273" i="3"/>
  <c r="H273" i="3"/>
  <c r="M272" i="3"/>
  <c r="H272" i="3"/>
  <c r="M271" i="3"/>
  <c r="H271" i="3"/>
  <c r="M270" i="3"/>
  <c r="H270" i="3"/>
  <c r="M269" i="3"/>
  <c r="H269" i="3"/>
  <c r="M268" i="3"/>
  <c r="H268" i="3"/>
  <c r="M267" i="3"/>
  <c r="H267" i="3"/>
  <c r="M266" i="3"/>
  <c r="H266" i="3"/>
  <c r="M265" i="3"/>
  <c r="H265" i="3"/>
  <c r="M264" i="3"/>
  <c r="H264" i="3"/>
  <c r="M263" i="3"/>
  <c r="H263" i="3"/>
  <c r="M262" i="3"/>
  <c r="H262" i="3"/>
  <c r="M261" i="3"/>
  <c r="H261" i="3"/>
  <c r="M260" i="3"/>
  <c r="H260" i="3"/>
  <c r="M259" i="3"/>
  <c r="H259" i="3"/>
  <c r="M258" i="3"/>
  <c r="H258" i="3"/>
  <c r="M257" i="3"/>
  <c r="H257" i="3"/>
  <c r="M256" i="3"/>
  <c r="H256" i="3"/>
  <c r="M255" i="3"/>
  <c r="H255" i="3"/>
  <c r="M254" i="3"/>
  <c r="H254" i="3"/>
  <c r="M253" i="3"/>
  <c r="H253" i="3"/>
  <c r="M252" i="3"/>
  <c r="H252" i="3"/>
  <c r="M251" i="3"/>
  <c r="H251" i="3"/>
  <c r="M250" i="3"/>
  <c r="H250" i="3"/>
  <c r="M249" i="3"/>
  <c r="H249" i="3"/>
  <c r="M248" i="3"/>
  <c r="H248" i="3"/>
  <c r="M247" i="3"/>
  <c r="H247" i="3"/>
  <c r="M246" i="3"/>
  <c r="H246" i="3"/>
  <c r="M245" i="3"/>
  <c r="H245" i="3"/>
  <c r="M244" i="3"/>
  <c r="H244" i="3"/>
  <c r="M243" i="3"/>
  <c r="H243" i="3"/>
  <c r="M242" i="3"/>
  <c r="H242" i="3"/>
  <c r="M241" i="3"/>
  <c r="H241" i="3"/>
  <c r="M240" i="3"/>
  <c r="H240" i="3"/>
  <c r="M239" i="3"/>
  <c r="H239" i="3"/>
  <c r="M238" i="3"/>
  <c r="H238" i="3"/>
  <c r="M237" i="3"/>
  <c r="H237" i="3"/>
  <c r="M236" i="3"/>
  <c r="H236" i="3"/>
  <c r="M235" i="3"/>
  <c r="H235" i="3"/>
  <c r="M234" i="3"/>
  <c r="H234" i="3"/>
  <c r="M233" i="3"/>
  <c r="H233" i="3"/>
  <c r="M232" i="3"/>
  <c r="H232" i="3"/>
  <c r="M231" i="3"/>
  <c r="H231" i="3"/>
  <c r="M230" i="3"/>
  <c r="H230" i="3"/>
  <c r="M229" i="3"/>
  <c r="H229" i="3"/>
  <c r="M228" i="3"/>
  <c r="H228" i="3"/>
  <c r="M227" i="3"/>
  <c r="H227" i="3"/>
  <c r="M226" i="3"/>
  <c r="H226" i="3"/>
  <c r="M225" i="3"/>
  <c r="H225" i="3"/>
  <c r="M224" i="3"/>
  <c r="H224" i="3"/>
  <c r="M223" i="3"/>
  <c r="H223" i="3"/>
  <c r="M222" i="3"/>
  <c r="H222" i="3"/>
  <c r="M221" i="3"/>
  <c r="H221" i="3"/>
  <c r="M220" i="3"/>
  <c r="H220" i="3"/>
  <c r="M219" i="3"/>
  <c r="H219" i="3"/>
  <c r="M218" i="3"/>
  <c r="H218" i="3"/>
  <c r="M217" i="3"/>
  <c r="H217" i="3"/>
  <c r="M216" i="3"/>
  <c r="H216" i="3"/>
  <c r="M215" i="3"/>
  <c r="H215" i="3"/>
  <c r="M214" i="3"/>
  <c r="H214" i="3"/>
  <c r="M213" i="3"/>
  <c r="H213" i="3"/>
  <c r="M212" i="3"/>
  <c r="H212" i="3"/>
  <c r="M211" i="3"/>
  <c r="H211" i="3"/>
  <c r="M210" i="3"/>
  <c r="H210" i="3"/>
  <c r="M209" i="3"/>
  <c r="H209" i="3"/>
  <c r="M208" i="3"/>
  <c r="H208" i="3"/>
  <c r="M207" i="3"/>
  <c r="H207" i="3"/>
  <c r="M206" i="3"/>
  <c r="H206" i="3"/>
  <c r="M205" i="3"/>
  <c r="H205" i="3"/>
  <c r="M204" i="3"/>
  <c r="H204" i="3"/>
  <c r="M203" i="3"/>
  <c r="H203" i="3"/>
  <c r="M202" i="3"/>
  <c r="H202" i="3"/>
  <c r="M201" i="3"/>
  <c r="H201" i="3"/>
  <c r="M200" i="3"/>
  <c r="H200" i="3"/>
  <c r="M199" i="3"/>
  <c r="H199" i="3"/>
  <c r="M198" i="3"/>
  <c r="H198" i="3"/>
  <c r="M197" i="3"/>
  <c r="H197" i="3"/>
  <c r="M196" i="3"/>
  <c r="H196" i="3"/>
  <c r="M195" i="3"/>
  <c r="H195" i="3"/>
  <c r="M194" i="3"/>
  <c r="H194" i="3"/>
  <c r="M193" i="3"/>
  <c r="H193" i="3"/>
  <c r="M192" i="3"/>
  <c r="H192" i="3"/>
  <c r="M191" i="3"/>
  <c r="H191" i="3"/>
  <c r="M190" i="3"/>
  <c r="H190" i="3"/>
  <c r="M189" i="3"/>
  <c r="H189" i="3"/>
  <c r="M188" i="3"/>
  <c r="H188" i="3"/>
  <c r="M187" i="3"/>
  <c r="H187" i="3"/>
  <c r="M186" i="3"/>
  <c r="H186" i="3"/>
  <c r="M185" i="3"/>
  <c r="H185" i="3"/>
  <c r="M184" i="3"/>
  <c r="H184" i="3"/>
  <c r="M183" i="3"/>
  <c r="H183" i="3"/>
  <c r="M182" i="3"/>
  <c r="H182" i="3"/>
  <c r="M181" i="3"/>
  <c r="H181" i="3"/>
  <c r="M180" i="3"/>
  <c r="H180" i="3"/>
  <c r="M179" i="3"/>
  <c r="H179" i="3"/>
  <c r="M178" i="3"/>
  <c r="H178" i="3"/>
  <c r="M177" i="3"/>
  <c r="H177" i="3"/>
  <c r="M176" i="3"/>
  <c r="H176" i="3"/>
  <c r="M175" i="3"/>
  <c r="H175" i="3"/>
  <c r="M174" i="3"/>
  <c r="H174" i="3"/>
  <c r="M173" i="3"/>
  <c r="H173" i="3"/>
  <c r="M172" i="3"/>
  <c r="H172" i="3"/>
  <c r="M171" i="3"/>
  <c r="H171" i="3"/>
  <c r="M170" i="3"/>
  <c r="H170" i="3"/>
  <c r="M169" i="3"/>
  <c r="H169" i="3"/>
  <c r="M168" i="3"/>
  <c r="H168" i="3"/>
  <c r="M167" i="3"/>
  <c r="H167" i="3"/>
  <c r="M166" i="3"/>
  <c r="H166" i="3"/>
  <c r="M165" i="3"/>
  <c r="H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H132" i="3"/>
  <c r="M131" i="3"/>
  <c r="H131" i="3"/>
  <c r="M130" i="3"/>
  <c r="H130" i="3"/>
  <c r="M129" i="3"/>
  <c r="H129" i="3"/>
  <c r="M128" i="3"/>
  <c r="H128" i="3"/>
  <c r="M127" i="3"/>
  <c r="H127" i="3"/>
  <c r="M126" i="3"/>
  <c r="H126" i="3"/>
  <c r="M125" i="3"/>
  <c r="H125" i="3"/>
  <c r="M124" i="3"/>
  <c r="H124" i="3"/>
  <c r="M123" i="3"/>
  <c r="H123" i="3"/>
  <c r="M122" i="3"/>
  <c r="H122" i="3"/>
  <c r="M121" i="3"/>
  <c r="H121" i="3"/>
  <c r="M120" i="3"/>
  <c r="H120" i="3"/>
  <c r="M119" i="3"/>
  <c r="H119" i="3"/>
  <c r="M118" i="3"/>
  <c r="H118" i="3"/>
  <c r="M117" i="3"/>
  <c r="H117" i="3"/>
  <c r="M116" i="3"/>
  <c r="H116" i="3"/>
  <c r="M115" i="3"/>
  <c r="H115" i="3"/>
  <c r="M114" i="3"/>
  <c r="H114" i="3"/>
  <c r="M113" i="3"/>
  <c r="H113" i="3"/>
  <c r="M112" i="3"/>
  <c r="H112" i="3"/>
  <c r="M111" i="3"/>
  <c r="H111" i="3"/>
  <c r="M110" i="3"/>
  <c r="H110" i="3"/>
  <c r="M109" i="3"/>
  <c r="H109" i="3"/>
  <c r="M108" i="3"/>
  <c r="H108" i="3"/>
  <c r="M107" i="3"/>
  <c r="H107" i="3"/>
  <c r="M106" i="3"/>
  <c r="H106" i="3"/>
  <c r="M105" i="3"/>
  <c r="H105" i="3"/>
  <c r="M104" i="3"/>
  <c r="H104" i="3"/>
  <c r="M103" i="3"/>
  <c r="H103" i="3"/>
  <c r="M102" i="3"/>
  <c r="H102" i="3"/>
  <c r="M101" i="3"/>
  <c r="H101" i="3"/>
  <c r="M100" i="3"/>
  <c r="H100" i="3"/>
  <c r="M99" i="3"/>
  <c r="H99" i="3"/>
  <c r="M98" i="3"/>
  <c r="H98" i="3"/>
  <c r="M97" i="3"/>
  <c r="H97" i="3"/>
  <c r="M96" i="3"/>
  <c r="H96" i="3"/>
  <c r="M95" i="3"/>
  <c r="H95" i="3"/>
  <c r="M94" i="3"/>
  <c r="H94" i="3"/>
  <c r="M93" i="3"/>
  <c r="H93" i="3"/>
  <c r="M92" i="3"/>
  <c r="H92" i="3"/>
  <c r="M91" i="3"/>
  <c r="H91" i="3"/>
  <c r="M90" i="3"/>
  <c r="H90" i="3"/>
  <c r="M89" i="3"/>
  <c r="H89" i="3"/>
  <c r="M88" i="3"/>
  <c r="H88" i="3"/>
  <c r="M87" i="3"/>
  <c r="H87" i="3"/>
  <c r="M86" i="3"/>
  <c r="H86" i="3"/>
  <c r="M85" i="3"/>
  <c r="H85" i="3"/>
  <c r="M84" i="3"/>
  <c r="H84" i="3"/>
  <c r="M83" i="3"/>
  <c r="H83" i="3"/>
  <c r="M82" i="3"/>
  <c r="H82" i="3"/>
  <c r="M81" i="3"/>
  <c r="H81" i="3"/>
  <c r="M80" i="3"/>
  <c r="H80" i="3"/>
  <c r="M79" i="3"/>
  <c r="H79" i="3"/>
  <c r="M78" i="3"/>
  <c r="H78" i="3"/>
  <c r="M77" i="3"/>
  <c r="H77" i="3"/>
  <c r="M76" i="3"/>
  <c r="H76" i="3"/>
  <c r="M75" i="3"/>
  <c r="H75" i="3"/>
  <c r="M74" i="3"/>
  <c r="H74" i="3"/>
  <c r="M73" i="3"/>
  <c r="H73" i="3"/>
  <c r="M72" i="3"/>
  <c r="H72" i="3"/>
  <c r="M71" i="3"/>
  <c r="H71" i="3"/>
  <c r="M70" i="3"/>
  <c r="H70" i="3"/>
  <c r="M69" i="3"/>
  <c r="H69" i="3"/>
  <c r="M68" i="3"/>
  <c r="H68" i="3"/>
  <c r="M67" i="3"/>
  <c r="H67" i="3"/>
  <c r="M66" i="3"/>
  <c r="H66" i="3"/>
  <c r="M65" i="3"/>
  <c r="H65" i="3"/>
  <c r="M64" i="3"/>
  <c r="H64" i="3"/>
  <c r="M63" i="3"/>
  <c r="H63" i="3"/>
  <c r="M62" i="3"/>
  <c r="H62" i="3"/>
  <c r="M61" i="3"/>
  <c r="H61" i="3"/>
  <c r="M60" i="3"/>
  <c r="H60" i="3"/>
  <c r="M59" i="3"/>
  <c r="H59" i="3"/>
  <c r="M58" i="3"/>
  <c r="H58" i="3"/>
  <c r="M57" i="3"/>
  <c r="H57" i="3"/>
  <c r="M56" i="3"/>
  <c r="H56" i="3"/>
  <c r="M55" i="3"/>
  <c r="H55" i="3"/>
  <c r="M54" i="3"/>
  <c r="H54" i="3"/>
  <c r="M53" i="3"/>
  <c r="H53" i="3"/>
  <c r="M52" i="3"/>
  <c r="H52" i="3"/>
  <c r="M51" i="3"/>
  <c r="H51" i="3"/>
  <c r="M50" i="3"/>
  <c r="H50" i="3"/>
  <c r="M49" i="3"/>
  <c r="H49" i="3"/>
  <c r="M48" i="3"/>
  <c r="H48" i="3"/>
  <c r="M47" i="3"/>
  <c r="H47" i="3"/>
  <c r="M46" i="3"/>
  <c r="H46" i="3"/>
  <c r="M45" i="3"/>
  <c r="H45" i="3"/>
  <c r="M44" i="3"/>
  <c r="H44" i="3"/>
  <c r="M43" i="3"/>
  <c r="H43" i="3"/>
  <c r="M42" i="3"/>
  <c r="H42" i="3"/>
  <c r="M41" i="3"/>
  <c r="H41" i="3"/>
  <c r="M40" i="3"/>
  <c r="H40" i="3"/>
  <c r="M39" i="3"/>
  <c r="H39" i="3"/>
  <c r="M38" i="3"/>
  <c r="H38" i="3"/>
  <c r="M37" i="3"/>
  <c r="H37" i="3"/>
  <c r="M36" i="3"/>
  <c r="H36" i="3"/>
  <c r="M35" i="3"/>
  <c r="H35" i="3"/>
  <c r="M34" i="3"/>
  <c r="H34" i="3"/>
  <c r="M33" i="3"/>
  <c r="H33" i="3"/>
  <c r="M32" i="3"/>
  <c r="H32" i="3"/>
  <c r="M31" i="3"/>
  <c r="H31" i="3"/>
  <c r="M30" i="3"/>
  <c r="H30" i="3"/>
  <c r="M29" i="3"/>
  <c r="H29" i="3"/>
  <c r="M28" i="3"/>
  <c r="H28" i="3"/>
  <c r="M27" i="3"/>
  <c r="H27" i="3"/>
  <c r="M26" i="3"/>
  <c r="H26" i="3"/>
  <c r="M25" i="3"/>
  <c r="H25" i="3"/>
  <c r="M24" i="3"/>
  <c r="H24" i="3"/>
  <c r="M23" i="3"/>
  <c r="H23" i="3"/>
  <c r="M22" i="3"/>
  <c r="H22" i="3"/>
  <c r="M21" i="3"/>
  <c r="H21" i="3"/>
  <c r="M20" i="3"/>
  <c r="H20" i="3"/>
  <c r="M19" i="3"/>
  <c r="H19" i="3"/>
  <c r="M18" i="3"/>
  <c r="H18" i="3"/>
  <c r="M17" i="3"/>
  <c r="H17" i="3"/>
  <c r="M16" i="3"/>
  <c r="H16" i="3"/>
  <c r="M15" i="3"/>
  <c r="H15" i="3"/>
  <c r="M14" i="3"/>
  <c r="H14" i="3"/>
  <c r="M13" i="3"/>
  <c r="H13" i="3"/>
  <c r="M12" i="3"/>
  <c r="H12" i="3"/>
  <c r="M11" i="3"/>
  <c r="H11" i="3"/>
  <c r="M10" i="3"/>
  <c r="H10" i="3"/>
  <c r="M9" i="3"/>
  <c r="H9" i="3"/>
  <c r="M8" i="3"/>
  <c r="H8" i="3"/>
  <c r="M7" i="3"/>
  <c r="H7" i="3"/>
  <c r="M6" i="3"/>
  <c r="H6" i="3"/>
  <c r="M5" i="3"/>
  <c r="H5" i="3"/>
  <c r="I964" i="8"/>
  <c r="I953" i="8"/>
  <c r="I951" i="8"/>
  <c r="I901" i="8"/>
  <c r="K248" i="3" l="1"/>
  <c r="I248" i="3"/>
  <c r="I221" i="3"/>
  <c r="I77" i="3"/>
  <c r="J189" i="3"/>
  <c r="I93" i="3"/>
  <c r="I109" i="3"/>
  <c r="J311" i="3"/>
  <c r="I125" i="3"/>
  <c r="I165" i="3"/>
  <c r="I236" i="3"/>
  <c r="J213" i="3"/>
  <c r="J272" i="3"/>
  <c r="J165" i="3"/>
  <c r="J1541" i="3"/>
  <c r="K165" i="3"/>
  <c r="J24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Y2" authorId="0" shapeId="0" xr:uid="{EFCA6784-E3E5-4ABE-A766-3D0FAA7AE669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6068A176-E6D9-43EE-9A5F-2CE593566C6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这列不用了</t>
        </r>
      </text>
    </comment>
    <comment ref="M2" authorId="0" shapeId="0" xr:uid="{71175BC4-82BF-4F18-A4F2-A34AA1082E96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常驻角色且不停服更新
需要填写</t>
        </r>
      </text>
    </comment>
    <comment ref="O2" authorId="0" shapeId="0" xr:uid="{1C8B3529-F996-412C-9798-8CA0D486FFC1}">
      <text>
        <r>
          <rPr>
            <b/>
            <sz val="9"/>
            <color indexed="81"/>
            <rFont val="宋体"/>
            <family val="3"/>
            <charset val="134"/>
          </rPr>
          <t>晓楠备忘用:</t>
        </r>
        <r>
          <rPr>
            <sz val="9"/>
            <color indexed="81"/>
            <rFont val="宋体"/>
            <family val="3"/>
            <charset val="134"/>
          </rPr>
          <t xml:space="preserve">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E98CE97-6129-49C7-8E86-ABF6F0BE792B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B5A0D02B-B510-45C1-AC5B-D828EC78617A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仅活动道具有效</t>
        </r>
      </text>
    </comment>
    <comment ref="AA30" authorId="0" shapeId="0" xr:uid="{00000000-0006-0000-0B00-000002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<sst xmlns="http://schemas.openxmlformats.org/spreadsheetml/2006/main" count="11080" uniqueCount="2131">
  <si>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</si>
  <si>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</si>
  <si>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</si>
  <si>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</si>
  <si>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</si>
  <si>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</si>
  <si>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</si>
  <si>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</si>
  <si>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</si>
  <si>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</si>
  <si>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</si>
  <si>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</si>
  <si>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</si>
  <si>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</si>
  <si>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</si>
  <si>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</si>
  <si>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</si>
  <si>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</si>
  <si>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</si>
  <si>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</si>
  <si>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</si>
  <si>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</si>
  <si>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</si>
  <si>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</si>
  <si>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</si>
  <si>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</si>
  <si>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</si>
  <si>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</si>
  <si>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</si>
  <si>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</si>
  <si>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</si>
  <si>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</si>
  <si>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</si>
  <si>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</si>
  <si>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</si>
  <si>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</si>
  <si>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</si>
  <si>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img</t>
  </si>
  <si>
    <t>gift</t>
  </si>
  <si>
    <t>currency</t>
  </si>
  <si>
    <t>price</t>
  </si>
  <si>
    <t>price10</t>
  </si>
  <si>
    <t>ticket_id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</si>
  <si>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</si>
  <si>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</si>
  <si>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</si>
  <si>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</si>
  <si>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</si>
  <si>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</si>
  <si>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</si>
  <si>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0常驻，1活动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</si>
  <si>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</si>
  <si>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</si>
  <si>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</si>
  <si>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</si>
  <si>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</si>
  <si>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</si>
  <si>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</si>
  <si>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</si>
  <si>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</si>
  <si>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</si>
  <si>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</si>
  <si>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</si>
  <si>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</si>
  <si>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</si>
  <si>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</si>
  <si>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</si>
  <si>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</si>
  <si>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</si>
  <si>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</si>
  <si>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</si>
  <si>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</si>
  <si>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</si>
  <si>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</si>
  <si>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</si>
  <si>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</si>
  <si>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</si>
  <si>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</si>
  <si>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</si>
  <si>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</si>
  <si>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</si>
  <si>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</si>
  <si>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</si>
  <si>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</si>
  <si>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国男活动1</t>
  </si>
  <si>
    <t>日男活动1</t>
  </si>
  <si>
    <t>国女活动2</t>
  </si>
  <si>
    <t>日女活动2</t>
  </si>
  <si>
    <t>国男活动2</t>
  </si>
  <si>
    <t>日男活动2</t>
  </si>
  <si>
    <t>icon</t>
  </si>
  <si>
    <t>name_chs_t</t>
  </si>
  <si>
    <t>item_id</t>
  </si>
  <si>
    <t>need_amount</t>
  </si>
  <si>
    <t>check_activity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</si>
  <si>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</si>
  <si>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</si>
  <si>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</si>
  <si>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</si>
  <si>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</si>
  <si>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</si>
  <si>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</si>
  <si>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</si>
  <si>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</si>
  <si>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</si>
  <si>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</si>
  <si>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</si>
  <si>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</si>
  <si>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</si>
  <si>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</si>
  <si>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</si>
  <si>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</si>
  <si>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</si>
  <si>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</si>
  <si>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</si>
  <si>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</si>
  <si>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</si>
  <si>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</si>
  <si>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</si>
  <si>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</si>
  <si>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</si>
  <si>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</si>
  <si>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</si>
  <si>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</si>
  <si>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extendRes/items/effect_liqi_bao.jpg</t>
  </si>
  <si>
    <t>苍火立直</t>
  </si>
  <si>
    <t>蒼火立直</t>
  </si>
  <si>
    <t>立直演出：青炎</t>
  </si>
  <si>
    <t>Riichi - Blue Flame</t>
  </si>
  <si>
    <t>extendRes/items/effect_liqi_ice.jpg</t>
  </si>
  <si>
    <t>碎冰立直</t>
  </si>
  <si>
    <t>立直演出：凍結</t>
  </si>
  <si>
    <t>Riichi - Ice</t>
  </si>
  <si>
    <t>extendRes/items/effect_liqi_fire.jpg</t>
  </si>
  <si>
    <t>火焰立直</t>
  </si>
  <si>
    <t>立直演出：火焔</t>
  </si>
  <si>
    <t>Riichi - Fire</t>
  </si>
  <si>
    <t>extendRes/items/ron_heihuo.jpg</t>
  </si>
  <si>
    <t>黑炎和牌</t>
  </si>
  <si>
    <t>和了演出：黒炎</t>
  </si>
  <si>
    <t>Winning - Dark Flame</t>
  </si>
  <si>
    <t>extendRes/items/ron_yanhua.jpg</t>
  </si>
  <si>
    <t>烟花和牌</t>
  </si>
  <si>
    <t>煙火和牌</t>
  </si>
  <si>
    <t>和了演出：花火</t>
  </si>
  <si>
    <t>Winning - Fireworks</t>
  </si>
  <si>
    <t>extendRes/items/ron_fire.jpg</t>
  </si>
  <si>
    <t>烈焰和牌</t>
  </si>
  <si>
    <t>和了演出：爆炎</t>
  </si>
  <si>
    <t>Winning - Flame</t>
  </si>
  <si>
    <t>extendRes/items/ron_wind.jpg</t>
  </si>
  <si>
    <t>旋风和牌</t>
  </si>
  <si>
    <t>旋風和牌</t>
  </si>
  <si>
    <t>和了演出：烈風</t>
  </si>
  <si>
    <t>Winning - Cyclone</t>
  </si>
  <si>
    <t>extendRes/items/ron_sakura.jpg</t>
  </si>
  <si>
    <t>樱花和牌</t>
  </si>
  <si>
    <t>櫻花和牌</t>
  </si>
  <si>
    <t>和了演出：桜吹雪</t>
  </si>
  <si>
    <t>Winning - Sakura</t>
  </si>
  <si>
    <t>extendRes/items/hand_cat_orange.jpg</t>
  </si>
  <si>
    <t>橘猫爪</t>
  </si>
  <si>
    <t>橘貓爪</t>
  </si>
  <si>
    <t>子ネコの手</t>
  </si>
  <si>
    <t>Ginger Cat Paw</t>
  </si>
  <si>
    <t>extendRes/items/liqi_baozhu.jpg</t>
  </si>
  <si>
    <t>爆竹立直棒</t>
  </si>
  <si>
    <t>鞭炮立直棒</t>
  </si>
  <si>
    <t>爆竹の立直棒</t>
  </si>
  <si>
    <t>Riichi - Firecracker</t>
  </si>
  <si>
    <t>extendRes/items/liqi_jiaozi.jpg</t>
  </si>
  <si>
    <t>饺子立直棒</t>
  </si>
  <si>
    <t>餃子立直棒</t>
  </si>
  <si>
    <t>水餃子の立直棒</t>
  </si>
  <si>
    <t>Riichi - Dumpling</t>
  </si>
  <si>
    <t>extendRes/items/liqi_fish.jpg</t>
  </si>
  <si>
    <t>咸鱼立直棒</t>
  </si>
  <si>
    <t>鹹魚立直棒</t>
  </si>
  <si>
    <t>にぼし立直棒</t>
  </si>
  <si>
    <t>Riichi - Fish</t>
  </si>
  <si>
    <t>extendRes/items/liqi_scallion.jpg</t>
  </si>
  <si>
    <t>大葱立直棒</t>
  </si>
  <si>
    <t>大蔥立直棒</t>
  </si>
  <si>
    <t>ねぎの立直棒</t>
  </si>
  <si>
    <t>Riichi - Green Onion</t>
  </si>
  <si>
    <t>extendRes/items/liqi_bone.jpg</t>
  </si>
  <si>
    <t>狗骨头立直棒</t>
  </si>
  <si>
    <t>狗骨頭立直棒</t>
  </si>
  <si>
    <t>骨の立直棒</t>
  </si>
  <si>
    <t>Riichi - Bone</t>
  </si>
  <si>
    <t>extendRes/items/liqi_red.jpg</t>
  </si>
  <si>
    <t>猩红立直棒</t>
  </si>
  <si>
    <t>腥紅立直棒</t>
  </si>
  <si>
    <t>クリムゾン立直棒</t>
  </si>
  <si>
    <t>Riichi - Crimson</t>
  </si>
  <si>
    <t>extendRes/items/liqi_goldbar.jpg</t>
  </si>
  <si>
    <t>24K金棒</t>
  </si>
  <si>
    <t>24Kゴールド棒</t>
  </si>
  <si>
    <t>24K Gold Riichi Bet</t>
  </si>
  <si>
    <t>extendRes/items/liqibgm.jpg</t>
  </si>
  <si>
    <t>真剑胜负</t>
  </si>
  <si>
    <t>一決勝負</t>
  </si>
  <si>
    <t>『真剣勝負』</t>
  </si>
  <si>
    <t>“Serious Game”</t>
  </si>
  <si>
    <t>激斗</t>
  </si>
  <si>
    <t>激鬥</t>
  </si>
  <si>
    <t>『激闘』</t>
  </si>
  <si>
    <t>“Intensive Battle”</t>
  </si>
  <si>
    <t>extendRes/items/tablecloth_newyear.jpg</t>
  </si>
  <si>
    <t>新春桌面</t>
  </si>
  <si>
    <t>新春の雀卓</t>
  </si>
  <si>
    <t>Tablecloth - Lunar New Year</t>
  </si>
  <si>
    <t>extendRes/items/effect_liqi_canying.jpg</t>
  </si>
  <si>
    <t>立直-幻影</t>
  </si>
  <si>
    <t>立直演出：残影</t>
  </si>
  <si>
    <t>Riichi - Phantom</t>
  </si>
  <si>
    <t>extendRes/items/effect_liqi_feiyu.jpg</t>
  </si>
  <si>
    <t>立直-飞羽</t>
  </si>
  <si>
    <t>立直-飛羽</t>
  </si>
  <si>
    <t>立直演出：羽</t>
  </si>
  <si>
    <t>Riichi - Feather</t>
  </si>
  <si>
    <t>extendRes/items/ron_huolongjuan.jpg</t>
  </si>
  <si>
    <t>和牌-爆炎龙卷</t>
  </si>
  <si>
    <t>和牌-爆炎龍卷</t>
  </si>
  <si>
    <t>和了演出：炎の嵐</t>
  </si>
  <si>
    <t>Winning - Firestorm</t>
  </si>
  <si>
    <t>extendRes/items/ron_keji.jpg</t>
  </si>
  <si>
    <t>和牌-方舟反应堆</t>
  </si>
  <si>
    <t>和牌-方舟反應爐</t>
  </si>
  <si>
    <t>和了演出：電子</t>
  </si>
  <si>
    <t>Winning - Laser Blast</t>
  </si>
  <si>
    <t>extendRes/items/ron_meiguihua.jpg</t>
  </si>
  <si>
    <t>和牌-红玫瑰</t>
  </si>
  <si>
    <t>和牌-紅玫瑰</t>
  </si>
  <si>
    <r>
      <rPr>
        <sz val="11"/>
        <color theme="1"/>
        <rFont val="等线"/>
        <family val="3"/>
        <charset val="134"/>
        <scheme val="minor"/>
      </rPr>
      <t>和了演出：</t>
    </r>
    <r>
      <rPr>
        <sz val="11"/>
        <color theme="1"/>
        <rFont val="Yu Gothic"/>
        <family val="2"/>
        <charset val="128"/>
      </rPr>
      <t>赤い</t>
    </r>
    <r>
      <rPr>
        <sz val="11"/>
        <color theme="1"/>
        <rFont val="等线"/>
        <family val="3"/>
        <charset val="134"/>
        <scheme val="minor"/>
      </rPr>
      <t>薔薇</t>
    </r>
  </si>
  <si>
    <t>Winning - Dancing Rose</t>
  </si>
  <si>
    <t>extendRes/charactor/zeniya/bighead.png</t>
  </si>
  <si>
    <t>泽尼娅</t>
  </si>
  <si>
    <t>澤尼婭</t>
  </si>
  <si>
    <t>ジニア</t>
  </si>
  <si>
    <t>Xenia</t>
  </si>
  <si>
    <t>extendRes/charactor/kawei/bighead.png</t>
  </si>
  <si>
    <t>卡维</t>
  </si>
  <si>
    <t>卡維</t>
  </si>
  <si>
    <t>カーヴィ</t>
  </si>
  <si>
    <t>Kavvi</t>
  </si>
  <si>
    <t>extendRes/charactor/sigongxiasheng/bighead.png</t>
  </si>
  <si>
    <t>四宫夏生</t>
  </si>
  <si>
    <t>四宮夏生</t>
  </si>
  <si>
    <t>Natsuki Shinomiya</t>
  </si>
  <si>
    <t>extendRes/charactor/wangcilang/bighead.png</t>
  </si>
  <si>
    <t>汪次郎</t>
  </si>
  <si>
    <t>ワン次郎</t>
  </si>
  <si>
    <t>Wanjirou</t>
  </si>
  <si>
    <t>extendRes/charactor/yizhilaikong/bighead.png</t>
  </si>
  <si>
    <t>一之濑空</t>
  </si>
  <si>
    <t>一之瀨空</t>
  </si>
  <si>
    <t>一ノ瀬空</t>
  </si>
  <si>
    <t>Sora Ichinose</t>
  </si>
  <si>
    <t>extendRes/charactor/mingzhiyingshu/bighead.png</t>
  </si>
  <si>
    <t>明智英树</t>
  </si>
  <si>
    <t>明智英樹</t>
  </si>
  <si>
    <t>Hideki Akechi</t>
  </si>
  <si>
    <t>extendRes/items/effect_liqi_ding.jpg</t>
  </si>
  <si>
    <t>立直-叮~</t>
  </si>
  <si>
    <t>立直演出：ドットコイン</t>
  </si>
  <si>
    <t>Riichi - "Beep"!</t>
  </si>
  <si>
    <t>extendRes/items/effect_liqi_longteng.jpg</t>
  </si>
  <si>
    <t>立直-龙腾</t>
  </si>
  <si>
    <t>立直-龍騰</t>
  </si>
  <si>
    <t>立直演出：龍舞</t>
  </si>
  <si>
    <t>Riichi - Dragon</t>
  </si>
  <si>
    <t>extendRes/items/ron_ko.jpg</t>
  </si>
  <si>
    <t>和牌-K.O</t>
  </si>
  <si>
    <t>和了演出：ドットKO</t>
  </si>
  <si>
    <t>Winning - K.O</t>
  </si>
  <si>
    <t>extendRes/items/ron_nilin.jpg</t>
  </si>
  <si>
    <t>和牌-逆鳞</t>
  </si>
  <si>
    <t>和牌-逆鱗</t>
  </si>
  <si>
    <t>和了演出：逆鱗</t>
  </si>
  <si>
    <t>Winning - Inverted Dragon Scale</t>
  </si>
  <si>
    <t>extendRes/items/liqi_duane.jpg</t>
  </si>
  <si>
    <t>立直棒-断恶</t>
  </si>
  <si>
    <t>立直棒-斷惡</t>
  </si>
  <si>
    <t>悪断ちの立直棒</t>
  </si>
  <si>
    <t>Riichi Bet - Sever</t>
  </si>
  <si>
    <t>extendRes/items/liqi_xuegao.jpg</t>
  </si>
  <si>
    <t>立直棒-雪糕</t>
  </si>
  <si>
    <t>立直棒-冰棒</t>
  </si>
  <si>
    <t>アイスバーの立直棒</t>
  </si>
  <si>
    <t>Riichi Bet - Ice Cream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</si>
  <si>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</si>
  <si>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</si>
  <si>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</si>
  <si>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</si>
  <si>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</si>
  <si>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</si>
  <si>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</si>
  <si>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</si>
  <si>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</si>
  <si>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</si>
  <si>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</si>
  <si>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</si>
  <si>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</si>
  <si>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extendRes/items/tablecloth_quehunji1.jpg</t>
  </si>
  <si>
    <t>桌布-雀魂祭一周年</t>
  </si>
  <si>
    <t>雀魂夏祭りの雀卓</t>
  </si>
  <si>
    <t>Tablecloth - Mahjong Ceremony</t>
  </si>
  <si>
    <t>extendRes/items/tablecloth_chigua.jpg</t>
  </si>
  <si>
    <t>桌布-吃瓜</t>
  </si>
  <si>
    <t>スイカの雀卓</t>
  </si>
  <si>
    <t>Tablecloth - Melon</t>
  </si>
  <si>
    <t>extendRes/items/ron_youlingaoao.jpg</t>
  </si>
  <si>
    <t>和牌-幽灵嗷嗷</t>
  </si>
  <si>
    <t>和牌-幽靈嗷嗷</t>
  </si>
  <si>
    <t>和了演出：ゴースト</t>
  </si>
  <si>
    <t>Winning - Screaming Ghost</t>
  </si>
  <si>
    <t>extendRes/items/effect_liqi_bianfujiejie.jpg</t>
  </si>
  <si>
    <t>立直-蝙蝠桀桀</t>
  </si>
  <si>
    <t>立直-蝙蝠𠹳𠹳</t>
  </si>
  <si>
    <t>立直演出：コウモリ</t>
  </si>
  <si>
    <t>Riichi - Bat Swarm</t>
  </si>
  <si>
    <t>extendRes/items/liqi_xiaoemofanbian.jpg</t>
  </si>
  <si>
    <t>立直棒-小恶魔蝙蝠</t>
  </si>
  <si>
    <t>立直棒-小惡魔蝙蝠</t>
  </si>
  <si>
    <t>小悪魔の立直棒</t>
  </si>
  <si>
    <t>Riichi Bet - Impish Bat</t>
  </si>
  <si>
    <t>extendRes/items/mjp_tianrandaiyouling.jpg</t>
  </si>
  <si>
    <t>牌背-天然呆幽灵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</si>
  <si>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</si>
  <si>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</si>
  <si>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</si>
  <si>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</si>
  <si>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</si>
  <si>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</si>
  <si>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r>
      <rPr>
        <sz val="10"/>
        <color rgb="FF000000"/>
        <rFont val="Arial"/>
        <family val="2"/>
      </rPr>
      <t xml:space="preserve">Nana </t>
    </r>
    <r>
      <rPr>
        <sz val="10"/>
        <color rgb="FFFF0000"/>
        <rFont val="Arial"/>
        <family val="2"/>
      </rPr>
      <t>Shiraishi</t>
    </r>
  </si>
  <si>
    <t>extendRes/charactor/xiaoniaoyouchutian/bighead.png</t>
  </si>
  <si>
    <t>小鸟游雏田</t>
  </si>
  <si>
    <t>小鳥遊雛田</t>
  </si>
  <si>
    <t>Hinata Takanashi</t>
  </si>
  <si>
    <t>一触即发</t>
  </si>
  <si>
    <t>一觸即發</t>
  </si>
  <si>
    <t>『一触即発』</t>
  </si>
  <si>
    <t>“On the Edge”</t>
  </si>
  <si>
    <t>extendRes/items/ron_gejumeiying.jpg</t>
  </si>
  <si>
    <t>和牌-歌剧魅影</t>
  </si>
  <si>
    <t>和牌-歌劇魅影</t>
  </si>
  <si>
    <t>和了演出：スポットライト</t>
  </si>
  <si>
    <t>Winning - Opera Phantom</t>
  </si>
  <si>
    <t>extendRes/items/ron_mofashaonv.jpg</t>
  </si>
  <si>
    <t>和牌-魔法少女</t>
  </si>
  <si>
    <t>和了演出：マジカル</t>
  </si>
  <si>
    <t>Winning - Magical Girl</t>
  </si>
  <si>
    <t>extendRes/items/effect_liqi_feichangshitai.jpg</t>
  </si>
  <si>
    <t>立直-非常事态</t>
  </si>
  <si>
    <t>立直-緊急事態</t>
  </si>
  <si>
    <t>立直演出：非常ベル</t>
  </si>
  <si>
    <t>Riichi - Emergency</t>
  </si>
  <si>
    <t>extendRes/items/effect_liqi_mofashaonv.jpg</t>
  </si>
  <si>
    <t>立直-魔法少女</t>
  </si>
  <si>
    <t>立直演出：マジカル</t>
  </si>
  <si>
    <t>Riichi - Magical Girl</t>
  </si>
  <si>
    <t>extendRes/items/liqi_mofabang.jpg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</si>
  <si>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</si>
  <si>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</si>
  <si>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</si>
  <si>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</si>
  <si>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</si>
  <si>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</si>
  <si>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</si>
  <si>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</si>
  <si>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</si>
  <si>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</si>
  <si>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</si>
  <si>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</si>
  <si>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</si>
  <si>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</si>
  <si>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</si>
  <si>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</si>
  <si>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</si>
  <si>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</si>
  <si>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</si>
  <si>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</si>
  <si>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</si>
  <si>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</si>
  <si>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</si>
  <si>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</si>
  <si>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extendRes/items/ron_20chunjie.jpg</t>
  </si>
  <si>
    <t>和牌-阖家欢</t>
  </si>
  <si>
    <t>和牌-闔家歡</t>
  </si>
  <si>
    <t>和了演出：新春花火</t>
  </si>
  <si>
    <t>Winning - Family Reunion</t>
  </si>
  <si>
    <t>extendRes/items/effect_liqi_20chunjie.jpg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</si>
  <si>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</si>
  <si>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</si>
  <si>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</si>
  <si>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</si>
  <si>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</si>
  <si>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</si>
  <si>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</si>
  <si>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</si>
  <si>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extendRes/items/liqi_jinlongyu.jpg</t>
  </si>
  <si>
    <t>立直棒-金龙鱼</t>
  </si>
  <si>
    <t>立直棒-金龍魚</t>
  </si>
  <si>
    <r>
      <rPr>
        <sz val="10"/>
        <color rgb="FF000000"/>
        <rFont val="Microsoft YaHei"/>
        <charset val="134"/>
      </rPr>
      <t>金</t>
    </r>
    <r>
      <rPr>
        <sz val="10"/>
        <color rgb="FFFF0000"/>
        <rFont val="Microsoft YaHei"/>
        <charset val="134"/>
      </rPr>
      <t>龍</t>
    </r>
    <r>
      <rPr>
        <sz val="10"/>
        <color rgb="FF000000"/>
        <rFont val="Microsoft YaHei"/>
        <charset val="134"/>
      </rPr>
      <t>魚の立直棒</t>
    </r>
  </si>
  <si>
    <t>Riichi Bet - Gold Arowana</t>
  </si>
  <si>
    <t>extendRes/items/mjp_20chunjie.jpg</t>
  </si>
  <si>
    <t>牌背-红包</t>
  </si>
  <si>
    <t>牌背-紅包</t>
  </si>
  <si>
    <t>お年玉の麻雀牌</t>
  </si>
  <si>
    <t>Tile Back - Red Packet</t>
  </si>
  <si>
    <t>extendRes/items/tablecloth_20chunjie.jpg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</si>
  <si>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</si>
  <si>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</si>
  <si>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</si>
  <si>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</si>
  <si>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</si>
  <si>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</si>
  <si>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</si>
  <si>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</si>
  <si>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</si>
  <si>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</si>
  <si>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</si>
  <si>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</si>
  <si>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extendRes/items/ron_szx.jpg</t>
  </si>
  <si>
    <t>和牌-群星之寂</t>
  </si>
  <si>
    <t>和了演出：静寂な群星</t>
  </si>
  <si>
    <t>Winning - Silent Star</t>
  </si>
  <si>
    <t>extendRes/items/ron_xhzy.jpg</t>
  </si>
  <si>
    <t>和牌-厄里斯之瞳</t>
  </si>
  <si>
    <t>和了演出：エリスの瞳</t>
  </si>
  <si>
    <t>Winning - Eye of Eris</t>
  </si>
  <si>
    <t>extendRes/items/effect_liqi_szx.jpg</t>
  </si>
  <si>
    <t>立直-星陨</t>
  </si>
  <si>
    <t>立直-星隕</t>
  </si>
  <si>
    <t>立直演出：星隕</t>
  </si>
  <si>
    <t>Riichi - Starfall</t>
  </si>
  <si>
    <t>extendRes/items/effect_liqi_xhzy.jpg</t>
  </si>
  <si>
    <t>立直-血·朗基努斯枪</t>
  </si>
  <si>
    <t>立直-血·朗基努斯槍</t>
  </si>
  <si>
    <r>
      <rPr>
        <sz val="10"/>
        <color rgb="FF000000"/>
        <rFont val="Microsoft YaHei"/>
        <charset val="134"/>
      </rPr>
      <t>立直演出：鮮血</t>
    </r>
    <r>
      <rPr>
        <sz val="10"/>
        <color rgb="FF000000"/>
        <rFont val="KswKaishoN"/>
        <family val="3"/>
        <charset val="128"/>
      </rPr>
      <t>・</t>
    </r>
    <r>
      <rPr>
        <sz val="10"/>
        <color rgb="FF000000"/>
        <rFont val="Microsoft YaHei"/>
        <charset val="134"/>
      </rPr>
      <t>ロンギヌス</t>
    </r>
  </si>
  <si>
    <t>Riichi - Blood·Lance of Longinus</t>
  </si>
  <si>
    <t>extendRes/items/liqi_xhzy.jpg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</si>
  <si>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</si>
  <si>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</si>
  <si>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</si>
  <si>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</si>
  <si>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</si>
  <si>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</si>
  <si>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</si>
  <si>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</si>
  <si>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extendRes/items/ron_nws.jpg</t>
  </si>
  <si>
    <t>和牌-女武神（暂定）</t>
  </si>
  <si>
    <t>extendRes/items/ron_jd.jpg</t>
  </si>
  <si>
    <t>和牌-金蝶（暂定）</t>
  </si>
  <si>
    <t>extendRes/items/effect_liqi_nws.jpg</t>
  </si>
  <si>
    <t>立直-女武神（暂定）</t>
  </si>
  <si>
    <t>extendRes/items/effect_liqi_jd.jpg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</si>
  <si>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</si>
  <si>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</si>
  <si>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</si>
  <si>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</si>
  <si>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</si>
  <si>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</si>
  <si>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</si>
  <si>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</si>
  <si>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</si>
  <si>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extendRes/items/ron_hl.jpg</t>
  </si>
  <si>
    <t>extendRes/items/effect_liqi_hl.jpg</t>
  </si>
  <si>
    <t>extendRes/items/liqi_hl.jpg</t>
  </si>
  <si>
    <t>extendRes/items/mjp_hl.jpg</t>
  </si>
  <si>
    <t>extendRes/items/tablecloth_hl.jpg</t>
  </si>
  <si>
    <t>extendRes/charactor/ailisha/bighead.png</t>
  </si>
  <si>
    <t>艾丽莎</t>
  </si>
  <si>
    <t>extendRes/charactor/siqiqiansuili/bighead.png</t>
  </si>
  <si>
    <t>寺崎千穗理</t>
  </si>
  <si>
    <t>extendRes/items/liqi_music.jpg</t>
  </si>
  <si>
    <t>extendRes/items/ron_music.jpg</t>
  </si>
  <si>
    <t>extendRes/items/effect_liqi_music.jpg</t>
  </si>
  <si>
    <t>extendRes/items/mjp_bj.jpg</t>
  </si>
  <si>
    <t>extendRes/items/tablecloth_dxr.jpg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</si>
  <si>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</si>
  <si>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</si>
  <si>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</si>
  <si>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</si>
  <si>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</si>
  <si>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</si>
  <si>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</si>
  <si>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</si>
  <si>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extendRes/items2/saki_ron.jpg</t>
  </si>
  <si>
    <t>和牌-龙卷雷霆</t>
  </si>
  <si>
    <t>extendRes/items2/saki_liqi_effect.jpg</t>
  </si>
  <si>
    <t>立直-花天月地</t>
  </si>
  <si>
    <t>extendRes/items2/saki_liqi.jpg</t>
  </si>
  <si>
    <t>立直棒-墨西哥卷饼</t>
  </si>
  <si>
    <t>extendRes/items2/saki_table.jpg</t>
  </si>
  <si>
    <t>桌布-赛间小憩</t>
  </si>
  <si>
    <t>extendRes/items2/saki_pai.jpg</t>
  </si>
  <si>
    <r>
      <rPr>
        <sz val="11"/>
        <color theme="1"/>
        <rFont val="等线"/>
        <family val="3"/>
        <charset val="134"/>
        <scheme val="minor"/>
      </rPr>
      <t>牌背-</t>
    </r>
    <r>
      <rPr>
        <b/>
        <sz val="11"/>
        <color rgb="FFFF0000"/>
        <rFont val="等线"/>
        <family val="3"/>
        <charset val="134"/>
        <scheme val="minor"/>
      </rPr>
      <t>艾托企鹅</t>
    </r>
  </si>
  <si>
    <t>extendRes/charactor/fuji/bighead.png</t>
  </si>
  <si>
    <t>福姬</t>
  </si>
  <si>
    <t>extendRes/charactor/qixi/bighead.png</t>
  </si>
  <si>
    <t>七夕</t>
  </si>
  <si>
    <t>extendRes/items2/ron_21chunjie.jpg</t>
  </si>
  <si>
    <t>extendRes/items2/effect_liqi_21chunjie.jpg</t>
  </si>
  <si>
    <t>extendRes/items2/liqi_21chunjie.jpg</t>
  </si>
  <si>
    <t>extendRes/items2/tablecloth_21chunjie.jpg</t>
  </si>
  <si>
    <t>extendRes/items/duijubgm.jpg</t>
  </si>
  <si>
    <t>extendRes/items2/ron_21cyber.jpg</t>
  </si>
  <si>
    <t>extendRes/items2/effect_liqi_21cyber.jpg</t>
  </si>
  <si>
    <t>extendRes/items2/liqi_21cyber.jpg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</si>
  <si>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</si>
  <si>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</si>
  <si>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</si>
  <si>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</si>
  <si>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</si>
  <si>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</si>
  <si>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</si>
  <si>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</si>
  <si>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extendRes/items2/kuangdu_ron.jpg</t>
  </si>
  <si>
    <t>和牌-命运之轮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</si>
  <si>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_liqi_effect.jpg</t>
    </r>
  </si>
  <si>
    <t>立直-纸牌花火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</si>
  <si>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_liqi.jpg</t>
    </r>
  </si>
  <si>
    <t>立直棒-生死之剑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</si>
  <si>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_table.jpg</t>
    </r>
  </si>
  <si>
    <t>桌布-无双之花</t>
  </si>
  <si>
    <r>
      <rPr>
        <sz val="11"/>
        <color theme="1"/>
        <rFont val="等线"/>
        <family val="3"/>
        <charset val="134"/>
        <scheme val="minor"/>
      </rPr>
      <t>extendRes/items2/</t>
    </r>
    <r>
      <rPr>
        <sz val="11"/>
        <color theme="1"/>
        <rFont val="等线"/>
        <family val="3"/>
        <charset val="134"/>
        <scheme val="minor"/>
      </rPr>
      <t>kuangdu</t>
    </r>
    <r>
      <rPr>
        <sz val="11"/>
        <color theme="1"/>
        <rFont val="等线"/>
        <family val="3"/>
        <charset val="134"/>
        <scheme val="minor"/>
      </rPr>
      <t>_pai.jpg</t>
    </r>
  </si>
  <si>
    <t>牌背-百花境界</t>
  </si>
  <si>
    <t>extendRes/charactor/qihailinai/bighead.png</t>
  </si>
  <si>
    <t>七海</t>
  </si>
  <si>
    <t>extendRes/charactor/a37/bighead.png</t>
  </si>
  <si>
    <t>A37</t>
  </si>
  <si>
    <t>extendRes/items2/headframe_catear3.jpg</t>
  </si>
  <si>
    <t>头像框</t>
  </si>
  <si>
    <t>extendRes/items2/liqi_21catball.jpg</t>
  </si>
  <si>
    <t>立直棒</t>
  </si>
  <si>
    <t>extendRes/items2/mjp_bow.jpg</t>
  </si>
  <si>
    <t>牌背</t>
  </si>
  <si>
    <t>extendRes/charactor/jichuanxiang/bighead.png</t>
  </si>
  <si>
    <t>姬川响</t>
  </si>
  <si>
    <t>extendRes/charactor/laien/bighead.png</t>
  </si>
  <si>
    <t>莱恩</t>
  </si>
  <si>
    <t>extendRes/items2/ron_21magic.jpg</t>
  </si>
  <si>
    <t>和牌</t>
  </si>
  <si>
    <t>extendRes/items2/effect_liqi_21magic.jpg</t>
  </si>
  <si>
    <t>立直</t>
  </si>
  <si>
    <t>extendRes/items2/liqi_21magic.jpg</t>
  </si>
  <si>
    <t>extendRes/charactor/senchuanlingzi/bighead.png</t>
  </si>
  <si>
    <t>森川</t>
  </si>
  <si>
    <t>extendRes/charactor/longchuanxiayan/bighead.png</t>
  </si>
  <si>
    <t>泷川</t>
  </si>
  <si>
    <t>extendRes/items2/ron_21zhounian.jpg</t>
  </si>
  <si>
    <t>extendRes/items2/effect_liqi_21zhounian.jpg</t>
  </si>
  <si>
    <t>extendRes/items2/liqi_21zhounian.jpg</t>
  </si>
  <si>
    <t>extendRes/items2/mjp_21zhounian.jpg</t>
  </si>
  <si>
    <t>extendRes/items2/tablecloth_21zhounian.jpg</t>
  </si>
  <si>
    <t>extendRes/charactor/akagi/bighead.png</t>
  </si>
  <si>
    <t>赤木茂</t>
  </si>
  <si>
    <t>extendRes/charactor/washizu/bighead.png</t>
  </si>
  <si>
    <t>鹫巢岩</t>
  </si>
  <si>
    <t>extendRes/items2/akagi_ron.jpg</t>
  </si>
  <si>
    <t>和牌-地狱低语</t>
  </si>
  <si>
    <t>extendRes/items2/akagi_liqi_effect.jpg</t>
  </si>
  <si>
    <t>立直-幽冥之焰</t>
  </si>
  <si>
    <t>extendRes/items2/akagi_liqi.jpg</t>
  </si>
  <si>
    <t>立直棒-命悬一线</t>
  </si>
  <si>
    <t>extendRes/items2/akagi_table.jpg</t>
  </si>
  <si>
    <t>桌布-传说之夜</t>
  </si>
  <si>
    <t>extendRes/items2/akagi_pai.jpg</t>
  </si>
  <si>
    <r>
      <rPr>
        <sz val="11"/>
        <color theme="1"/>
        <rFont val="等线"/>
        <family val="3"/>
        <charset val="134"/>
        <scheme val="minor"/>
      </rPr>
      <t>牌背</t>
    </r>
    <r>
      <rPr>
        <sz val="11"/>
        <color theme="1"/>
        <rFont val="等线"/>
        <family val="3"/>
        <charset val="134"/>
        <scheme val="minor"/>
      </rPr>
      <t>-</t>
    </r>
    <r>
      <rPr>
        <sz val="11"/>
        <color theme="1"/>
        <rFont val="等线"/>
        <family val="3"/>
        <charset val="134"/>
        <scheme val="minor"/>
      </rPr>
      <t>双鹫纹章</t>
    </r>
  </si>
  <si>
    <t>extendRes/charactor/xiyuansiyiyu/bighead.png</t>
  </si>
  <si>
    <t>西园寺一羽</t>
  </si>
  <si>
    <t>extendRes/items2/ron_21winter.jpg</t>
  </si>
  <si>
    <t>21冬日祭装扮</t>
  </si>
  <si>
    <t>extendRes/items2/effect_liqi_21winter.jpg</t>
  </si>
  <si>
    <t>extendRes/items2/mjp_21winter.jpg</t>
  </si>
  <si>
    <t>extendRes/items2/tablecloth_21winter.jpg</t>
  </si>
  <si>
    <t>extendRes/charactor/xiaoyesiqiyu/bighead.png</t>
  </si>
  <si>
    <t>小野寺</t>
  </si>
  <si>
    <t>extendRes/charactor/xiamier/bighead.png</t>
  </si>
  <si>
    <t>夏弥尔</t>
  </si>
  <si>
    <t>extendRes/items2/ron_22chunjie.jpg</t>
  </si>
  <si>
    <t>22春节装扮</t>
  </si>
  <si>
    <t>extendRes/items2/effect_liqi_22chunjie.jpg</t>
  </si>
  <si>
    <t>extendRes/items2/liqi_22chunjie.jpg</t>
  </si>
  <si>
    <t>extendRes/items2/mjp_22chunjie.jpg</t>
  </si>
  <si>
    <t>extendRes/items2/tablecloth_22chunjie.jpg</t>
  </si>
  <si>
    <t>extendRes/items2/hand_22chunjie.jpg</t>
  </si>
  <si>
    <t>extendRes/items/wishstone.jpg</t>
  </si>
  <si>
    <t>许愿石</t>
  </si>
  <si>
    <t>許願石</t>
  </si>
  <si>
    <t>願いの石</t>
  </si>
  <si>
    <t>Wishing Stone</t>
  </si>
  <si>
    <t xml:space="preserve"> </t>
  </si>
  <si>
    <t>extendRes/items/hand_22chunjie.jpg</t>
  </si>
  <si>
    <t>resource_id</t>
  </si>
  <si>
    <t>worth</t>
  </si>
  <si>
    <t>资源Id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</si>
  <si>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</si>
  <si>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</si>
  <si>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</si>
  <si>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</si>
  <si>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</si>
  <si>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</si>
  <si>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</si>
  <si>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</si>
  <si>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</si>
  <si>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</si>
  <si>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</si>
  <si>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旅人福袋</t>
  </si>
  <si>
    <t>蓝</t>
  </si>
  <si>
    <t>锁蓝</t>
  </si>
  <si>
    <t>福袋/盒</t>
  </si>
  <si>
    <t>紫</t>
  </si>
  <si>
    <t>锁紫</t>
  </si>
  <si>
    <t>日袋/盒</t>
  </si>
  <si>
    <t>宝玉</t>
  </si>
  <si>
    <t>resource_count</t>
  </si>
  <si>
    <t>weight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</si>
  <si>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</si>
  <si>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</si>
  <si>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</si>
  <si>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</si>
  <si>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</si>
  <si>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</si>
  <si>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</si>
  <si>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</si>
  <si>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</si>
  <si>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</si>
  <si>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</si>
  <si>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</si>
  <si>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活动单抽券替换UP男人A</t>
  </si>
  <si>
    <t>活动单抽券替换UP男人B</t>
  </si>
  <si>
    <t>活动单抽券替换UP男人C</t>
  </si>
  <si>
    <t>本期活动无</t>
  </si>
  <si>
    <t>活动单抽券替换UP女人D</t>
  </si>
  <si>
    <t>活动单抽券替换UP男人D</t>
  </si>
  <si>
    <t>活动单抽券替换UP女人E</t>
  </si>
  <si>
    <t>本期活动抚子+藤本</t>
  </si>
  <si>
    <t>活动单抽券替换UP男人E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</si>
  <si>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</si>
  <si>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</si>
  <si>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</si>
  <si>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</si>
  <si>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</si>
  <si>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</si>
  <si>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</si>
  <si>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</si>
  <si>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</si>
  <si>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</si>
  <si>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</si>
  <si>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</si>
  <si>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</si>
  <si>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</si>
  <si>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</si>
  <si>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</si>
  <si>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</si>
  <si>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</si>
  <si>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</si>
  <si>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</si>
  <si>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</si>
  <si>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</si>
  <si>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</si>
  <si>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</si>
  <si>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</si>
  <si>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</si>
  <si>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</si>
  <si>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</si>
  <si>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</si>
  <si>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</si>
  <si>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</si>
  <si>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</si>
  <si>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</si>
  <si>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莎拉UP1</t>
  </si>
  <si>
    <t>莎拉UP2</t>
  </si>
  <si>
    <t>莎拉UP3</t>
  </si>
  <si>
    <t>莎拉UP4</t>
  </si>
  <si>
    <t>莎拉UP5</t>
  </si>
  <si>
    <t>莎拉UP6</t>
  </si>
  <si>
    <t>莎拉UP7</t>
  </si>
  <si>
    <t>UP2</t>
  </si>
  <si>
    <t>UP3</t>
  </si>
  <si>
    <t>UP4</t>
  </si>
  <si>
    <t>UP5</t>
  </si>
  <si>
    <t>UP6</t>
  </si>
  <si>
    <t>UP7</t>
  </si>
  <si>
    <t>UP序列2</t>
  </si>
  <si>
    <t>UP序列3</t>
  </si>
  <si>
    <t>UP序列4</t>
  </si>
  <si>
    <t>UP序列5</t>
  </si>
  <si>
    <t>UP序列6</t>
  </si>
  <si>
    <t>UP序列7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</si>
  <si>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</si>
  <si>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</si>
  <si>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</si>
  <si>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</si>
  <si>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</si>
  <si>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</si>
  <si>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</si>
  <si>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</si>
  <si>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</si>
  <si>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</si>
  <si>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case_id</t>
  </si>
  <si>
    <t>replace_id</t>
  </si>
  <si>
    <t>替换组</t>
  </si>
  <si>
    <t>卡池ID</t>
  </si>
  <si>
    <t>替换后卡池ID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</si>
  <si>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</si>
  <si>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</si>
  <si>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</si>
  <si>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</si>
  <si>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</si>
  <si>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</si>
  <si>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</si>
  <si>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</si>
  <si>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</si>
  <si>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</si>
  <si>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</si>
  <si>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</si>
  <si>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</si>
  <si>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</si>
  <si>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</si>
  <si>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</si>
  <si>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</si>
  <si>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</si>
  <si>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</si>
  <si>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</si>
  <si>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</si>
  <si>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</si>
  <si>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</si>
  <si>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</si>
  <si>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</si>
  <si>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</si>
  <si>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</si>
  <si>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</si>
  <si>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chara</t>
  </si>
  <si>
    <t>skin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</si>
  <si>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</si>
  <si>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</si>
  <si>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</si>
  <si>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</si>
  <si>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</si>
  <si>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</si>
  <si>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</si>
  <si>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</si>
  <si>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</si>
  <si>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</si>
  <si>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</si>
  <si>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</si>
  <si>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</si>
  <si>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</si>
  <si>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</si>
  <si>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</si>
  <si>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</si>
  <si>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</si>
  <si>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</si>
  <si>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</si>
  <si>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</si>
  <si>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</si>
  <si>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</si>
  <si>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</si>
  <si>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</si>
  <si>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</si>
  <si>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</si>
  <si>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</si>
  <si>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</si>
  <si>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</si>
  <si>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咕咕咕</t>
  </si>
  <si>
    <t>不存在的</t>
  </si>
  <si>
    <t>extendRes/items/coin5.jpg</t>
  </si>
  <si>
    <t>characompose</t>
  </si>
  <si>
    <t>一大袋钱</t>
  </si>
  <si>
    <t>addcoin</t>
  </si>
  <si>
    <t>一小袋钱</t>
  </si>
  <si>
    <t>extendRes/items/coin3.jpg</t>
  </si>
  <si>
    <t>一个玉</t>
  </si>
  <si>
    <t>当前无法使用</t>
  </si>
  <si>
    <t>extendRes/items/jade0.jpg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</si>
  <si>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</si>
  <si>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</si>
  <si>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</si>
  <si>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</si>
  <si>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</si>
  <si>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</si>
  <si>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</si>
  <si>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</si>
  <si>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</si>
  <si>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</si>
  <si>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</si>
  <si>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</si>
  <si>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</si>
  <si>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</si>
  <si>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</si>
  <si>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</si>
  <si>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</si>
  <si>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</si>
  <si>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</si>
  <si>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</si>
  <si>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</si>
  <si>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</si>
  <si>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</si>
  <si>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extendRes/items/wishstone_0.png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</si>
  <si>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</si>
  <si>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</si>
  <si>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</si>
  <si>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</si>
  <si>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</si>
  <si>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</si>
  <si>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</si>
  <si>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</si>
  <si>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</si>
  <si>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</si>
  <si>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</si>
  <si>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</si>
  <si>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</si>
  <si>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</si>
  <si>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</si>
  <si>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</si>
  <si>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</si>
  <si>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</si>
  <si>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</si>
  <si>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</si>
  <si>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</si>
  <si>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</si>
  <si>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</si>
  <si>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</si>
  <si>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</si>
  <si>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</si>
  <si>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</si>
  <si>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</si>
  <si>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</si>
  <si>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</si>
  <si>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</si>
  <si>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</si>
  <si>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</si>
  <si>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</si>
  <si>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</si>
  <si>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</si>
  <si>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</si>
  <si>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</si>
  <si>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</si>
  <si>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</si>
  <si>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</si>
  <si>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</si>
  <si>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</si>
  <si>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</si>
  <si>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</si>
  <si>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</si>
  <si>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</si>
  <si>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</si>
  <si>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</si>
  <si>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</si>
  <si>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</si>
  <si>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</si>
  <si>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</si>
  <si>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</si>
  <si>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</si>
  <si>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</si>
  <si>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</si>
  <si>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</si>
  <si>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</si>
  <si>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</si>
  <si>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</si>
  <si>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</si>
  <si>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</si>
  <si>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</si>
  <si>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</si>
  <si>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</si>
  <si>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</si>
  <si>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</si>
  <si>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</si>
  <si>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</si>
  <si>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</si>
  <si>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</si>
  <si>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</si>
  <si>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</si>
  <si>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</si>
  <si>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</si>
  <si>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</si>
  <si>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</si>
  <si>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</si>
  <si>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</si>
  <si>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</si>
  <si>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</si>
  <si>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</si>
  <si>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</si>
  <si>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</si>
  <si>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</si>
  <si>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</si>
  <si>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</si>
  <si>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手工曲奇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</si>
  <si>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</si>
  <si>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</si>
  <si>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</si>
  <si>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</si>
  <si>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</si>
  <si>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</si>
  <si>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蓝罐曲奇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</si>
  <si>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</si>
  <si>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</si>
  <si>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</si>
  <si>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</si>
  <si>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</si>
  <si>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</si>
  <si>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香喷喷曲奇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</si>
  <si>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</si>
  <si>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</si>
  <si>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</si>
  <si>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</si>
  <si>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</si>
  <si>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</si>
  <si>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怀旧掌机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</si>
  <si>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</si>
  <si>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</si>
  <si>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</si>
  <si>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</si>
  <si>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</si>
  <si>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</si>
  <si>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Twitch掌机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</si>
  <si>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</si>
  <si>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</si>
  <si>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</si>
  <si>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</si>
  <si>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</si>
  <si>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</si>
  <si>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次世代游戏机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</si>
  <si>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</si>
  <si>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</si>
  <si>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</si>
  <si>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</si>
  <si>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</si>
  <si>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</si>
  <si>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简易美术品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</si>
  <si>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</si>
  <si>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</si>
  <si>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</si>
  <si>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</si>
  <si>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</si>
  <si>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</si>
  <si>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精美挂画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</si>
  <si>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</si>
  <si>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</si>
  <si>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</si>
  <si>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</si>
  <si>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</si>
  <si>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</si>
  <si>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经典名画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</si>
  <si>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</si>
  <si>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</si>
  <si>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</si>
  <si>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</si>
  <si>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</si>
  <si>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</si>
  <si>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美味果酒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</si>
  <si>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</si>
  <si>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</si>
  <si>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</si>
  <si>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雀士にあげると絆ポイント200増加。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</si>
  <si>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Common beer mugs that can be seen everywhere. Give it to a character to increase your Bond with her by 200 points. Characters who love wine will receive bonus Bond points.</t>
  </si>
  <si>
    <t>extendRes/items/wine0.jpg</t>
  </si>
  <si>
    <t>香醇红酒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</si>
  <si>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</si>
  <si>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</si>
  <si>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</si>
  <si>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雀士にあげると絆ポイント1000増加。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</si>
  <si>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Bespoke-made wine glass. Give it to a character to increase your Bond with her by 1000 points. Characters who love wine will receive bonus Bond points.</t>
  </si>
  <si>
    <t>extendRes/items/wine1.jpg</t>
  </si>
  <si>
    <t>82年的拉菲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</si>
  <si>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</si>
  <si>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</si>
  <si>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</si>
  <si>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r>
      <rPr>
        <sz val="11"/>
        <color theme="1"/>
        <rFont val="等线"/>
        <family val="3"/>
        <charset val="134"/>
        <scheme val="minor"/>
      </rPr>
      <t>雀士にあげると絆ポイント5000増加。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</si>
  <si>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A world-renowned famous goblet. Give it to a character to increase your Bond with her by 5000 points. Characters who love wine will receive bonus Bond points.</t>
  </si>
  <si>
    <t>extendRes/items/wine2.jpg</t>
  </si>
  <si>
    <t>普通的碎钻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</si>
  <si>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</si>
  <si>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</si>
  <si>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</si>
  <si>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</si>
  <si>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</si>
  <si>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</si>
  <si>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鸽子蛋宝石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</si>
  <si>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</si>
  <si>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</si>
  <si>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</si>
  <si>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</si>
  <si>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</si>
  <si>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</si>
  <si>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海洋之心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</si>
  <si>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</si>
  <si>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</si>
  <si>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</si>
  <si>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</si>
  <si>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</si>
  <si>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</si>
  <si>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熊公仔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</si>
  <si>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</si>
  <si>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</si>
  <si>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</si>
  <si>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</si>
  <si>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</si>
  <si>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</si>
  <si>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熊公仔L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</si>
  <si>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</si>
  <si>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</si>
  <si>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</si>
  <si>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</si>
  <si>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</si>
  <si>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</si>
  <si>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熊公仔XXL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</si>
  <si>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</si>
  <si>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</si>
  <si>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</si>
  <si>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</si>
  <si>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</si>
  <si>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</si>
  <si>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同人小册子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</si>
  <si>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</si>
  <si>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</si>
  <si>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</si>
  <si>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</si>
  <si>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</si>
  <si>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</si>
  <si>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简装同人志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</si>
  <si>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</si>
  <si>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</si>
  <si>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</si>
  <si>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</si>
  <si>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</si>
  <si>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</si>
  <si>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精美同人志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</si>
  <si>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</si>
  <si>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</si>
  <si>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</si>
  <si>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</si>
  <si>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</si>
  <si>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</si>
  <si>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朴素的小裙子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</si>
  <si>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</si>
  <si>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</si>
  <si>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</si>
  <si>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</si>
  <si>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</si>
  <si>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</si>
  <si>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普通的小裙子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</si>
  <si>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</si>
  <si>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</si>
  <si>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</si>
  <si>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</si>
  <si>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</si>
  <si>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</si>
  <si>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华丽的小裙子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</si>
  <si>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</si>
  <si>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</si>
  <si>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</si>
  <si>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</si>
  <si>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</si>
  <si>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</si>
  <si>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</si>
  <si>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</si>
  <si>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</si>
  <si>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</si>
  <si>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</si>
  <si>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</si>
  <si>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</si>
  <si>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</si>
  <si>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</si>
  <si>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</si>
  <si>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</si>
  <si>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</si>
  <si>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</si>
  <si>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</si>
  <si>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</si>
  <si>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</si>
  <si>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</si>
  <si>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</si>
  <si>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</si>
  <si>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</si>
  <si>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</si>
  <si>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</si>
  <si>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</si>
  <si>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</si>
  <si>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</si>
  <si>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</si>
  <si>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</si>
  <si>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</si>
  <si>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</si>
  <si>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</si>
  <si>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</si>
  <si>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</si>
  <si>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</si>
  <si>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</si>
  <si>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</si>
  <si>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</si>
  <si>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</si>
  <si>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</si>
  <si>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</si>
  <si>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r>
      <rPr>
        <sz val="11"/>
        <color theme="1"/>
        <rFont val="等线"/>
        <family val="3"/>
        <charset val="134"/>
        <scheme val="minor"/>
      </rPr>
      <t>この贈り物は奉納できません、雀士にあげると絆ポイント1000増加。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</si>
  <si>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</si>
  <si>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</si>
  <si>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</si>
  <si>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r>
      <rPr>
        <sz val="11"/>
        <color theme="1"/>
        <rFont val="等线"/>
        <family val="3"/>
        <charset val="134"/>
        <scheme val="minor"/>
      </rPr>
      <t>この贈り物は奉納できません、雀士にあげると絆ポイント5000増加。</t>
    </r>
    <r>
      <rPr>
        <sz val="11"/>
        <color rgb="FFFF0000"/>
        <rFont val="等线"/>
        <family val="3"/>
        <charset val="134"/>
        <scheme val="minor"/>
      </rPr>
      <t>酒器</t>
    </r>
    <r>
      <rPr>
        <sz val="11"/>
        <color theme="1"/>
        <rFont val="等线"/>
        <family val="3"/>
        <charset val="134"/>
        <scheme val="minor"/>
      </rPr>
      <t>が好きな雀士にあげるとさらに増加</t>
    </r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</si>
  <si>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</si>
  <si>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</si>
  <si>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</si>
  <si>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</si>
  <si>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</si>
  <si>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</si>
  <si>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</si>
  <si>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</si>
  <si>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</si>
  <si>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</si>
  <si>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</si>
  <si>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</si>
  <si>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</si>
  <si>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</si>
  <si>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</si>
  <si>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</si>
  <si>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</si>
  <si>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</si>
  <si>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</si>
  <si>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</si>
  <si>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</si>
  <si>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</si>
  <si>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</si>
  <si>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</si>
  <si>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</si>
  <si>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</si>
  <si>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</si>
  <si>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</si>
  <si>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</si>
  <si>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</si>
  <si>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</si>
  <si>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</si>
  <si>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</si>
  <si>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</si>
  <si>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</si>
  <si>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</si>
  <si>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</si>
  <si>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</si>
  <si>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</si>
  <si>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</si>
  <si>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</si>
  <si>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</si>
  <si>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</si>
  <si>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</si>
  <si>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</si>
  <si>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</si>
  <si>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</si>
  <si>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</si>
  <si>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</si>
  <si>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</si>
  <si>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</si>
  <si>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</si>
  <si>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</si>
  <si>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</si>
  <si>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</si>
  <si>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</si>
  <si>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</si>
  <si>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</si>
  <si>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</si>
  <si>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</si>
  <si>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</si>
  <si>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</si>
  <si>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</si>
  <si>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</si>
  <si>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</si>
  <si>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</si>
  <si>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</si>
  <si>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</si>
  <si>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</si>
  <si>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</si>
  <si>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</si>
  <si>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</si>
  <si>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</si>
  <si>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</si>
  <si>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</si>
  <si>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</si>
  <si>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</si>
  <si>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</si>
  <si>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</si>
  <si>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</si>
  <si>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</si>
  <si>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</si>
  <si>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</si>
  <si>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</si>
  <si>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</si>
  <si>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</si>
  <si>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</si>
  <si>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</si>
  <si>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大部分人都喜欢把它拿在手里挥舞而不是直接吃掉。</t>
  </si>
  <si>
    <t>Most people like to hold it instead of eat it.</t>
  </si>
  <si>
    <t>汪汪汪！</t>
  </si>
  <si>
    <t>Woof woof!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</si>
  <si>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</si>
  <si>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</si>
  <si>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</si>
  <si>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</si>
  <si>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</si>
  <si>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</si>
  <si>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</si>
  <si>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</si>
  <si>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</si>
  <si>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</si>
  <si>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</si>
  <si>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</si>
  <si>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</si>
  <si>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</si>
  <si>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</si>
  <si>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</si>
  <si>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</si>
  <si>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</si>
  <si>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和牌-烈焰</t>
  </si>
  <si>
    <t>和牌装扮，在和牌的时候召唤火焰。</t>
  </si>
  <si>
    <t>雀士の装飾に設定することで、和了時の演出を変更。</t>
  </si>
  <si>
    <t>Summons fire when you win a game.</t>
  </si>
  <si>
    <t>和牌-旋风</t>
  </si>
  <si>
    <t>和牌装扮，在和牌的时候召唤狂风。</t>
  </si>
  <si>
    <t>Summons cyclone when you win a game.</t>
  </si>
  <si>
    <t>和牌-樱花</t>
  </si>
  <si>
    <t>和牌装扮，在和牌的时候掀起花瓣。</t>
  </si>
  <si>
    <t>Summons cherry flower petals when you win a game.</t>
  </si>
  <si>
    <t>立直-苍火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</si>
  <si>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</si>
  <si>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</si>
  <si>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</si>
  <si>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</si>
  <si>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</si>
  <si>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</si>
  <si>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孔雀绿桌布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</si>
  <si>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</si>
  <si>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</si>
  <si>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</si>
  <si>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</si>
  <si>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</si>
  <si>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</si>
  <si>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莲藕紫桌布</t>
  </si>
  <si>
    <t>鳩羽色の雀卓</t>
  </si>
  <si>
    <t>Tablecloth - Lavender</t>
  </si>
  <si>
    <t>extendRes/items/tablecloth_lotus.jpg</t>
  </si>
  <si>
    <t>紫罗兰桌布</t>
  </si>
  <si>
    <t>バイオレットの雀卓</t>
  </si>
  <si>
    <t>Tablecloth - Violet</t>
  </si>
  <si>
    <t>extendRes/items/tablecloth_violet.jpg</t>
  </si>
  <si>
    <t>淡黄牌背</t>
  </si>
  <si>
    <t>淡黄色の麻雀牌</t>
  </si>
  <si>
    <t>Tile Back - Yellow</t>
  </si>
  <si>
    <t>一种牌背样式。</t>
  </si>
  <si>
    <t>A tile back style.</t>
  </si>
  <si>
    <t>extendRes/items/mjp_yellow.jpg</t>
  </si>
  <si>
    <t>果绿牌背</t>
  </si>
  <si>
    <t>若葉色の麻雀牌</t>
  </si>
  <si>
    <t>Tile Back - Green</t>
  </si>
  <si>
    <t>extendRes/items/mjp_green.jpg</t>
  </si>
  <si>
    <t>玫瑰红牌背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</si>
  <si>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</si>
  <si>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</si>
  <si>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</si>
  <si>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</si>
  <si>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</si>
  <si>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Riichi - 24K Gold</t>
  </si>
  <si>
    <t>24K纯金，富贵的象征。</t>
  </si>
  <si>
    <t>Made with 24K pure gold. A symbol of wealth.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</si>
  <si>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</si>
  <si>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</si>
  <si>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</si>
  <si>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</si>
  <si>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</si>
  <si>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</si>
  <si>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立直-碎冰</t>
  </si>
  <si>
    <t>立直装扮，在立直的时候激起冰花。</t>
  </si>
  <si>
    <t>Summons ice flakes when you declare Riichi.</t>
  </si>
  <si>
    <t>立直-火焰</t>
  </si>
  <si>
    <t>立直装扮，在立直的时候掀起火焰。</t>
  </si>
  <si>
    <t>Summons fire when you declare Riichi.</t>
  </si>
  <si>
    <t>王座礼匣</t>
  </si>
  <si>
    <t>和牌-黑炎</t>
  </si>
  <si>
    <t>和牌装扮，在和牌的时候召唤黑色的火焰。</t>
  </si>
  <si>
    <t>Summons dark flame when you win a game.</t>
  </si>
  <si>
    <t>新春桌布</t>
  </si>
  <si>
    <t>Tablecloth - Spring Festival</t>
  </si>
  <si>
    <t>新年快乐！</t>
  </si>
  <si>
    <t>Happy New Year!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</si>
  <si>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</si>
  <si>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</si>
  <si>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</si>
  <si>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</si>
  <si>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</si>
  <si>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</si>
  <si>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</si>
  <si>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</si>
  <si>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</si>
  <si>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</si>
  <si>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</si>
  <si>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春节限定立直棒，饿了吗？</t>
  </si>
  <si>
    <t>Lunar New Year limited Riichi Bet. Are you hungry?</t>
  </si>
  <si>
    <t>和牌装扮，在和牌的时候释放烟花。</t>
  </si>
  <si>
    <t>Summons fireworks when you win a game.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</si>
  <si>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</si>
  <si>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</si>
  <si>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</si>
  <si>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</si>
  <si>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</si>
  <si>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</si>
  <si>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</si>
  <si>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</si>
  <si>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</si>
  <si>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</si>
  <si>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</si>
  <si>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</si>
  <si>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</si>
  <si>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</si>
  <si>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立直装扮，在立直的时候掀起羽毛飞舞。</t>
  </si>
  <si>
    <t>Summons flying feathers when you declare Riichi.</t>
  </si>
  <si>
    <t>和牌装扮，在和牌的时候召唤爆炎龙卷，焚烧一切。</t>
  </si>
  <si>
    <t>Summons a Firestorm  when you win a game.</t>
  </si>
  <si>
    <t>和牌装扮，感受科技的力量！</t>
  </si>
  <si>
    <t>Summons a Laser Blast when you win a game.</t>
  </si>
  <si>
    <t>和牌装扮，红色玫瑰花瓣飞舞，是朱砂痣烙印心口。</t>
  </si>
  <si>
    <t>Summons dancing rose petals when you win a game.</t>
  </si>
  <si>
    <t>立直装扮，金币由一位热心的红帽子雀士友情提供。</t>
  </si>
  <si>
    <t>The gold coin was offered by a warm-hearted player with a red cap.</t>
  </si>
  <si>
    <t>立直装扮，没有7颗珠子但是光凭立直也可以召唤的水墨神龙。</t>
  </si>
  <si>
    <t>Without seven balls, you can still summon this ink dragon when declaring Riichi.</t>
  </si>
  <si>
    <t>和牌装扮，“昇竜拳！”就在刚才一位自称叫隆的雀士路过。</t>
  </si>
  <si>
    <t>"Shoryuken!" A Mahjong player who claimed to be "Ryu" passed by moments ago.</t>
  </si>
  <si>
    <t>Winning - Dragon Scale</t>
  </si>
  <si>
    <t>和牌装扮，我只有一种咆哮，我要让他们都知道。</t>
  </si>
  <si>
    <t>I only have one growl, and I want everybody to know.</t>
  </si>
  <si>
    <t>立直棒，没有我斩不断的恶调！传说中的少女雀士使用过的立直棒。</t>
  </si>
  <si>
    <t>I can cut through all bad luck! This Riichi Bet was used by the legendary Mahjong girl.</t>
  </si>
  <si>
    <t>立直棒，夏天里如果遇到一根雪糕无法解决的问题，那就两根！</t>
  </si>
  <si>
    <t>In summer, if one ice cream ain't enough, just have two.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</si>
  <si>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</si>
  <si>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</si>
  <si>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</si>
  <si>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</si>
  <si>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</si>
  <si>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</si>
  <si>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</si>
  <si>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</si>
  <si>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</si>
  <si>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</si>
  <si>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雀魂一周岁啦~感谢雀士大人一年来的陪伴，新的一年也请多多关照！(雀魂祭一周年限定，活动结束后将从卡池中下架)</t>
  </si>
  <si>
    <t>Let's play Mahjong for fun!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</si>
  <si>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</si>
  <si>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</si>
  <si>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</si>
  <si>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</si>
  <si>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</si>
  <si>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</si>
  <si>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</si>
  <si>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</si>
  <si>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</si>
  <si>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</si>
  <si>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</si>
  <si>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</si>
  <si>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</si>
  <si>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</si>
  <si>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</si>
  <si>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</si>
  <si>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</si>
  <si>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</si>
  <si>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</si>
  <si>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</si>
  <si>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和牌-春节</t>
  </si>
  <si>
    <r>
      <rPr>
        <sz val="10"/>
        <color rgb="FF000000"/>
        <rFont val="Yu Gothic"/>
        <family val="2"/>
        <charset val="128"/>
      </rPr>
      <t>立直演出</t>
    </r>
    <r>
      <rPr>
        <sz val="10"/>
        <color rgb="FF000000"/>
        <rFont val="宋体"/>
        <family val="3"/>
        <charset val="134"/>
      </rPr>
      <t>：</t>
    </r>
    <r>
      <rPr>
        <sz val="10"/>
        <color rgb="FF000000"/>
        <rFont val="Yu Gothic"/>
        <family val="2"/>
        <charset val="128"/>
      </rPr>
      <t>コウモリ</t>
    </r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</si>
  <si>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</si>
  <si>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</si>
  <si>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</si>
  <si>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</si>
  <si>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</si>
  <si>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</si>
  <si>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</si>
  <si>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</si>
  <si>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</si>
  <si>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</si>
  <si>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</si>
  <si>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</si>
  <si>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</si>
  <si>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</si>
  <si>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</si>
  <si>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</si>
  <si>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</si>
  <si>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</si>
  <si>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</si>
  <si>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</si>
  <si>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</si>
  <si>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</si>
  <si>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</si>
  <si>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</si>
  <si>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</si>
  <si>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</si>
  <si>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</si>
  <si>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</si>
  <si>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</si>
  <si>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</si>
  <si>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</si>
  <si>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</si>
  <si>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</si>
  <si>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</si>
  <si>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</si>
  <si>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</si>
  <si>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</si>
  <si>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</si>
  <si>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</si>
  <si>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</si>
  <si>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</si>
  <si>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</si>
  <si>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</si>
  <si>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</si>
  <si>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</si>
  <si>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</si>
  <si>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</si>
  <si>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</si>
  <si>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</si>
  <si>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</si>
  <si>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</si>
  <si>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</si>
  <si>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</si>
  <si>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</si>
  <si>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</si>
  <si>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</si>
  <si>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</si>
  <si>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</si>
  <si>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</si>
  <si>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</si>
  <si>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</si>
  <si>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</si>
  <si>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</si>
  <si>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</si>
  <si>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</si>
  <si>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</si>
  <si>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</si>
  <si>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</si>
  <si>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</si>
  <si>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</si>
  <si>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</si>
  <si>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</si>
  <si>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</si>
  <si>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r>
      <rPr>
        <sz val="11"/>
        <color theme="1"/>
        <rFont val="等线"/>
        <family val="3"/>
        <charset val="134"/>
        <scheme val="minor"/>
      </rPr>
      <t>雀魂夏祭り</t>
    </r>
    <r>
      <rPr>
        <sz val="11"/>
        <color theme="1"/>
        <rFont val="Yu Gothic"/>
        <family val="2"/>
        <charset val="128"/>
      </rPr>
      <t>・ビーチパーティにて購入できる限定の背景</t>
    </r>
    <r>
      <rPr>
        <sz val="11"/>
        <color theme="1"/>
        <rFont val="等线"/>
        <family val="3"/>
        <charset val="134"/>
        <scheme val="minor"/>
      </rPr>
      <t>。</t>
    </r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</si>
  <si>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</si>
  <si>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</si>
  <si>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</si>
  <si>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</si>
  <si>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</si>
  <si>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</si>
  <si>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</si>
  <si>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</si>
  <si>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</si>
  <si>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</si>
  <si>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</si>
  <si>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</si>
  <si>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</si>
  <si>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</si>
  <si>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</si>
  <si>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</si>
  <si>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</si>
  <si>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</si>
  <si>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</si>
  <si>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</si>
  <si>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</si>
  <si>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</si>
  <si>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</si>
  <si>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</si>
  <si>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</si>
  <si>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</si>
  <si>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</si>
  <si>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</si>
  <si>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</si>
  <si>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</si>
  <si>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</si>
  <si>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</si>
  <si>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</si>
  <si>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</si>
  <si>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</si>
  <si>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</si>
  <si>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</si>
  <si>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</si>
  <si>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</si>
  <si>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</si>
  <si>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</si>
  <si>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</si>
  <si>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</si>
  <si>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</si>
  <si>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</si>
  <si>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</si>
  <si>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</si>
  <si>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</si>
  <si>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</si>
  <si>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</si>
  <si>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</si>
  <si>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</si>
  <si>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</si>
  <si>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</si>
  <si>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</si>
  <si>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</si>
  <si>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</si>
  <si>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</si>
  <si>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</si>
  <si>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</si>
  <si>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</si>
  <si>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</si>
  <si>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</si>
  <si>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</si>
  <si>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</si>
  <si>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</si>
  <si>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</si>
  <si>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</si>
  <si>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</si>
  <si>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</si>
  <si>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</si>
  <si>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</si>
  <si>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</si>
  <si>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</si>
  <si>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</si>
  <si>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</si>
  <si>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</si>
  <si>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</si>
  <si>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</si>
  <si>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</si>
  <si>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</si>
  <si>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</si>
  <si>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</si>
  <si>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</si>
  <si>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</si>
  <si>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</si>
  <si>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</si>
  <si>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</si>
  <si>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</si>
  <si>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</si>
  <si>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</si>
  <si>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</si>
  <si>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</si>
  <si>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</si>
  <si>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</si>
  <si>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</si>
  <si>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</si>
  <si>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</si>
  <si>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</si>
  <si>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</si>
  <si>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</si>
  <si>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</si>
  <si>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</si>
  <si>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</si>
  <si>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</si>
  <si>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</si>
  <si>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</si>
  <si>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</si>
  <si>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</si>
  <si>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</si>
  <si>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</si>
  <si>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</si>
  <si>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</si>
  <si>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</si>
  <si>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</si>
  <si>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</si>
  <si>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</si>
  <si>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</si>
  <si>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</si>
  <si>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</si>
  <si>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</si>
  <si>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</si>
  <si>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</si>
  <si>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</si>
  <si>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</si>
  <si>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</si>
  <si>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</si>
  <si>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</si>
  <si>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</si>
  <si>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</si>
  <si>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</si>
  <si>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</si>
  <si>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</si>
  <si>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</si>
  <si>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</si>
  <si>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</si>
  <si>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</si>
  <si>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</si>
  <si>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</si>
  <si>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</si>
  <si>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</si>
  <si>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</si>
  <si>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</si>
  <si>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</si>
  <si>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</si>
  <si>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</si>
  <si>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</si>
  <si>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</si>
  <si>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</si>
  <si>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</si>
  <si>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</si>
  <si>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</si>
  <si>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</si>
  <si>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</si>
  <si>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</si>
  <si>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</si>
  <si>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</si>
  <si>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</si>
  <si>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</si>
  <si>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</si>
  <si>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</si>
  <si>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</si>
  <si>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</si>
  <si>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</si>
  <si>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</si>
  <si>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</si>
  <si>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</si>
  <si>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</si>
  <si>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</si>
  <si>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</si>
  <si>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</si>
  <si>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</si>
  <si>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</si>
  <si>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</si>
  <si>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</si>
  <si>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</si>
  <si>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</si>
  <si>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</si>
  <si>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</si>
  <si>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</si>
  <si>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</si>
  <si>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</si>
  <si>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</si>
  <si>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</si>
  <si>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</si>
  <si>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</si>
  <si>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</si>
  <si>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</si>
  <si>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</si>
  <si>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</si>
  <si>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</si>
  <si>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</si>
  <si>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</si>
  <si>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</si>
  <si>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</si>
  <si>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</si>
  <si>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</si>
  <si>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</si>
  <si>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</si>
  <si>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</si>
  <si>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</si>
  <si>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</si>
  <si>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</si>
  <si>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</si>
  <si>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</si>
  <si>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</si>
  <si>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</si>
  <si>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</si>
  <si>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</si>
  <si>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</si>
  <si>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</si>
  <si>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</si>
  <si>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</si>
  <si>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</si>
  <si>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</si>
  <si>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</si>
  <si>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</si>
  <si>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</si>
  <si>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</si>
  <si>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</si>
  <si>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</si>
  <si>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</si>
  <si>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</si>
  <si>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</si>
  <si>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</si>
  <si>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</si>
  <si>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</si>
  <si>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</si>
  <si>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</si>
  <si>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</si>
  <si>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</si>
  <si>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</si>
  <si>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</si>
  <si>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</si>
  <si>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</si>
  <si>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</si>
  <si>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</si>
  <si>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</si>
  <si>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r>
      <rPr>
        <sz val="10"/>
        <color rgb="FF000000"/>
        <rFont val="等线"/>
        <family val="3"/>
        <charset val="134"/>
      </rPr>
      <t>【期間限定</t>
    </r>
    <r>
      <rPr>
        <sz val="10"/>
        <color rgb="FF000000"/>
        <rFont val="Yu Gothic"/>
        <family val="2"/>
        <charset val="128"/>
      </rPr>
      <t>スタンプ</t>
    </r>
    <r>
      <rPr>
        <sz val="10"/>
        <color rgb="FF000000"/>
        <rFont val="等线"/>
        <family val="3"/>
        <charset val="134"/>
      </rPr>
      <t>】</t>
    </r>
    <r>
      <rPr>
        <sz val="10"/>
        <color rgb="FF000000"/>
        <rFont val="微软雅黑"/>
        <family val="2"/>
        <charset val="134"/>
      </rPr>
      <t>月餅</t>
    </r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</si>
  <si>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</si>
  <si>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</si>
  <si>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</si>
  <si>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</si>
  <si>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</si>
  <si>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</si>
  <si>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</si>
  <si>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</si>
  <si>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</si>
  <si>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</si>
  <si>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</si>
  <si>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</si>
  <si>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</si>
  <si>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</si>
  <si>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</si>
  <si>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r>
      <rPr>
        <sz val="10"/>
        <color rgb="FF000000"/>
        <rFont val="微软雅黑"/>
        <family val="2"/>
        <charset val="134"/>
      </rPr>
      <t>期間限定スタンプ。</t>
    </r>
    <r>
      <rPr>
        <sz val="10"/>
        <color rgb="FF000000"/>
        <rFont val="Arial"/>
        <family val="2"/>
      </rPr>
      <t>2019</t>
    </r>
    <r>
      <rPr>
        <sz val="10"/>
        <color rgb="FF000000"/>
        <rFont val="微软雅黑"/>
        <family val="2"/>
        <charset val="134"/>
      </rPr>
      <t>年</t>
    </r>
    <r>
      <rPr>
        <sz val="10"/>
        <color rgb="FF000000"/>
        <rFont val="Arial"/>
        <family val="2"/>
      </rPr>
      <t>11</t>
    </r>
    <r>
      <rPr>
        <sz val="10"/>
        <color rgb="FF000000"/>
        <rFont val="微软雅黑"/>
        <family val="2"/>
        <charset val="134"/>
      </rPr>
      <t>月</t>
    </r>
    <r>
      <rPr>
        <sz val="10"/>
        <color rgb="FF000000"/>
        <rFont val="Arial"/>
        <family val="2"/>
      </rPr>
      <t>10</t>
    </r>
    <r>
      <rPr>
        <sz val="10"/>
        <color rgb="FF000000"/>
        <rFont val="微软雅黑"/>
        <family val="2"/>
        <charset val="134"/>
      </rPr>
      <t>日</t>
    </r>
    <r>
      <rPr>
        <sz val="10"/>
        <color rgb="FF000000"/>
        <rFont val="Arial"/>
        <family val="2"/>
      </rPr>
      <t>06:00</t>
    </r>
    <r>
      <rPr>
        <sz val="10"/>
        <color rgb="FF000000"/>
        <rFont val="微软雅黑"/>
        <family val="2"/>
        <charset val="134"/>
      </rPr>
      <t>以降使用できなくなります。</t>
    </r>
  </si>
  <si>
    <t>A limited-time emoji. Available until 11/09/2019 2:00 P.M. (PDT)</t>
  </si>
  <si>
    <t>2019-11-10 05:00:00</t>
  </si>
  <si>
    <t>萨普莱斯</t>
  </si>
  <si>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宋体"/>
        <family val="3"/>
        <charset val="134"/>
      </rPr>
      <t>【</t>
    </r>
    <r>
      <rPr>
        <sz val="10"/>
        <color rgb="FF000000"/>
        <rFont val="Yu Gothic"/>
        <family val="2"/>
        <charset val="128"/>
      </rPr>
      <t>期間限定</t>
    </r>
    <r>
      <rPr>
        <sz val="10"/>
        <color rgb="FF000000"/>
        <rFont val="宋体"/>
        <family val="3"/>
        <charset val="134"/>
      </rPr>
      <t>】</t>
    </r>
    <r>
      <rPr>
        <sz val="10"/>
        <color rgb="FF000000"/>
        <rFont val="Yu Gothic"/>
        <family val="2"/>
        <charset val="128"/>
      </rPr>
      <t>さぷらいずぅ</t>
    </r>
    <r>
      <rPr>
        <sz val="10"/>
        <color rgb="FF000000"/>
        <rFont val="微软雅黑"/>
        <family val="2"/>
        <charset val="134"/>
      </rPr>
      <t>！</t>
    </r>
  </si>
  <si>
    <t>SURPRISE Emoji(Limited-time)</t>
  </si>
  <si>
    <t>解锁萨普莱斯限时表情。该表情将在2019年12月12日5:00过期，过期以后将无法继续使用。“喵~惊不惊喜？意不意外？”</t>
  </si>
  <si>
    <r>
      <rPr>
        <sz val="10"/>
        <color rgb="FF000000"/>
        <rFont val="微软雅黑"/>
        <family val="2"/>
        <charset val="134"/>
      </rPr>
      <t>期間限定スタンプ。</t>
    </r>
    <r>
      <rPr>
        <sz val="10"/>
        <color rgb="FF000000"/>
        <rFont val="Arial"/>
        <family val="2"/>
      </rPr>
      <t>2019</t>
    </r>
    <r>
      <rPr>
        <sz val="10"/>
        <color rgb="FF000000"/>
        <rFont val="微软雅黑"/>
        <family val="2"/>
        <charset val="134"/>
      </rPr>
      <t>年</t>
    </r>
    <r>
      <rPr>
        <sz val="10"/>
        <color rgb="FF000000"/>
        <rFont val="Arial"/>
        <family val="2"/>
      </rPr>
      <t>12</t>
    </r>
    <r>
      <rPr>
        <sz val="10"/>
        <color rgb="FF000000"/>
        <rFont val="微软雅黑"/>
        <family val="2"/>
        <charset val="134"/>
      </rPr>
      <t>月</t>
    </r>
    <r>
      <rPr>
        <sz val="10"/>
        <color rgb="FF000000"/>
        <rFont val="Arial"/>
        <family val="2"/>
      </rPr>
      <t>12</t>
    </r>
    <r>
      <rPr>
        <sz val="10"/>
        <color rgb="FF000000"/>
        <rFont val="微软雅黑"/>
        <family val="2"/>
        <charset val="134"/>
      </rPr>
      <t>日</t>
    </r>
    <r>
      <rPr>
        <sz val="10"/>
        <color rgb="FF000000"/>
        <rFont val="Arial"/>
        <family val="2"/>
      </rPr>
      <t>06:00</t>
    </r>
    <r>
      <rPr>
        <sz val="10"/>
        <color rgb="FF000000"/>
        <rFont val="微软雅黑"/>
        <family val="2"/>
        <charset val="134"/>
      </rPr>
      <t>以降使用できなくなります。</t>
    </r>
  </si>
  <si>
    <r>
      <rPr>
        <sz val="10"/>
        <color rgb="FF000000"/>
        <rFont val="Arial"/>
        <family val="2"/>
      </rPr>
      <t xml:space="preserve">A limited-time emoji for Halloween 2019. Available until </t>
    </r>
    <r>
      <rPr>
        <sz val="10"/>
        <color rgb="FFFF0000"/>
        <rFont val="Arial"/>
        <family val="2"/>
      </rPr>
      <t>12/11/2019 2:00 P.M. (PDT)</t>
    </r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</si>
  <si>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</si>
  <si>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</si>
  <si>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</si>
  <si>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</si>
  <si>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</si>
  <si>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</si>
  <si>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</si>
  <si>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</si>
  <si>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</si>
  <si>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</si>
  <si>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</si>
  <si>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</si>
  <si>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</si>
  <si>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</si>
  <si>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</si>
  <si>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</si>
  <si>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</si>
  <si>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</si>
  <si>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</si>
  <si>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</si>
  <si>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</si>
  <si>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</si>
  <si>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</si>
  <si>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</si>
  <si>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</si>
  <si>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</si>
  <si>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</si>
  <si>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</si>
  <si>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</si>
  <si>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</si>
  <si>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</si>
  <si>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</si>
  <si>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</si>
  <si>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</si>
  <si>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</si>
  <si>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</si>
  <si>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</si>
  <si>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</si>
  <si>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</si>
  <si>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</si>
  <si>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</si>
  <si>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</si>
  <si>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八木唯+北见</t>
    <phoneticPr fontId="40" type="noConversion"/>
  </si>
  <si>
    <t>活动池单抽券替换UP女人A</t>
    <phoneticPr fontId="40" type="noConversion"/>
  </si>
  <si>
    <t>extendRes/charactor/you/bighead.png</t>
    <phoneticPr fontId="40" type="noConversion"/>
  </si>
  <si>
    <t>extendRes/charactor/zekesi/bighead.png</t>
    <phoneticPr fontId="40" type="noConversion"/>
  </si>
  <si>
    <t>柚</t>
    <phoneticPr fontId="40" type="noConversion"/>
  </si>
  <si>
    <t>泽克斯</t>
    <phoneticPr fontId="40" type="noConversion"/>
  </si>
  <si>
    <t>desc_kr</t>
    <phoneticPr fontId="40" type="noConversion"/>
  </si>
  <si>
    <t>十连抽道具</t>
    <phoneticPr fontId="40" type="noConversion"/>
  </si>
  <si>
    <r>
      <t>ticket</t>
    </r>
    <r>
      <rPr>
        <sz val="11"/>
        <color theme="1"/>
        <rFont val="等线"/>
        <family val="3"/>
        <charset val="134"/>
        <scheme val="minor"/>
      </rPr>
      <t>_10_id</t>
    </r>
    <phoneticPr fontId="40" type="noConversion"/>
  </si>
  <si>
    <t>extendRes/charactor/beiyuanlili/bighead.png</t>
    <phoneticPr fontId="40" type="noConversion"/>
  </si>
  <si>
    <t>北原莉莉</t>
    <phoneticPr fontId="40" type="noConversion"/>
  </si>
  <si>
    <t>22夏日祭</t>
    <phoneticPr fontId="40" type="noConversion"/>
  </si>
  <si>
    <t>八木唯+莎拉</t>
    <phoneticPr fontId="40" type="noConversion"/>
  </si>
  <si>
    <t>活动单抽券替换UP女人C</t>
    <phoneticPr fontId="40" type="noConversion"/>
  </si>
  <si>
    <t>月见山+如月莲</t>
    <phoneticPr fontId="40" type="noConversion"/>
  </si>
  <si>
    <t>extendRes/charactor/zhujingjiu/bighead.png</t>
    <phoneticPr fontId="40" type="noConversion"/>
  </si>
  <si>
    <t>竹井久</t>
    <phoneticPr fontId="40" type="noConversion"/>
  </si>
  <si>
    <t>extendRes/charactor/fulumeisuizi/bighead.png</t>
    <phoneticPr fontId="40" type="noConversion"/>
  </si>
  <si>
    <t>福路美穗子</t>
    <phoneticPr fontId="40" type="noConversion"/>
  </si>
  <si>
    <t>extendRes/charactor/xinzichong/bighead.png</t>
    <phoneticPr fontId="40" type="noConversion"/>
  </si>
  <si>
    <t>新子憧</t>
    <phoneticPr fontId="40" type="noConversion"/>
  </si>
  <si>
    <t>extendRes/charactor/yuanchengsilian/bighead.png</t>
    <phoneticPr fontId="40" type="noConversion"/>
  </si>
  <si>
    <t>园城寺怜</t>
    <phoneticPr fontId="40" type="noConversion"/>
  </si>
  <si>
    <t>和牌-高岭之花</t>
  </si>
  <si>
    <t>立直-未来视</t>
  </si>
  <si>
    <t>立直棒-爱心便当</t>
  </si>
  <si>
    <t>桌布-清凉假日</t>
  </si>
  <si>
    <t>牌背-摇曳彩球</t>
  </si>
  <si>
    <t>活动单抽券装扮池A</t>
    <phoneticPr fontId="40" type="noConversion"/>
  </si>
  <si>
    <t>活动单抽券装扮池B</t>
    <phoneticPr fontId="40" type="noConversion"/>
  </si>
  <si>
    <t>check_activity</t>
    <phoneticPr fontId="40" type="noConversion"/>
  </si>
  <si>
    <t>四宫冬实</t>
    <phoneticPr fontId="40" type="noConversion"/>
  </si>
  <si>
    <t>extendRes/charactor/sigongdongshi/bighead.png</t>
    <phoneticPr fontId="40" type="noConversion"/>
  </si>
  <si>
    <t>桌布-仙境茶话会</t>
  </si>
  <si>
    <t>牌背-三月兔</t>
    <phoneticPr fontId="40" type="noConversion"/>
  </si>
  <si>
    <r>
      <t>立直棒</t>
    </r>
    <r>
      <rPr>
        <sz val="11"/>
        <color theme="1"/>
        <rFont val="等线"/>
        <family val="3"/>
        <charset val="134"/>
        <scheme val="minor"/>
      </rPr>
      <t>-</t>
    </r>
    <r>
      <rPr>
        <sz val="11"/>
        <color theme="1"/>
        <rFont val="等线"/>
        <family val="3"/>
        <charset val="134"/>
        <scheme val="minor"/>
      </rPr>
      <t>仙境密匙</t>
    </r>
    <phoneticPr fontId="40" type="noConversion"/>
  </si>
  <si>
    <t>头像框-雪夜童话</t>
  </si>
  <si>
    <t>活动单抽券替换UP女人B</t>
    <phoneticPr fontId="40" type="noConversion"/>
  </si>
  <si>
    <t>extendRes/charactor/qingluan/bighead.png</t>
    <phoneticPr fontId="40" type="noConversion"/>
  </si>
  <si>
    <t>青鸾</t>
    <phoneticPr fontId="40" type="noConversion"/>
  </si>
  <si>
    <t>立直棒-可口喵乐</t>
    <phoneticPr fontId="40" type="noConversion"/>
  </si>
  <si>
    <t>牌背-祥云兔</t>
    <phoneticPr fontId="40" type="noConversion"/>
  </si>
  <si>
    <t>头像框-窗外</t>
    <phoneticPr fontId="40" type="noConversion"/>
  </si>
  <si>
    <t>所向披靡（立直bgm）</t>
    <phoneticPr fontId="40" type="noConversion"/>
  </si>
  <si>
    <t>卡维+森川</t>
    <phoneticPr fontId="40" type="noConversion"/>
  </si>
  <si>
    <t>艾因+石原碓海</t>
    <phoneticPr fontId="40" type="noConversion"/>
  </si>
  <si>
    <t>汪次郎+约瑟夫</t>
    <phoneticPr fontId="40" type="noConversion"/>
  </si>
  <si>
    <t>extendRes/charactor/ruyuecaiyin/bighead.png</t>
    <phoneticPr fontId="40" type="noConversion"/>
  </si>
  <si>
    <t>extendRes/charactor/weilai/bighead.png</t>
    <phoneticPr fontId="40" type="noConversion"/>
  </si>
  <si>
    <t>如月彩音</t>
    <phoneticPr fontId="40" type="noConversion"/>
  </si>
  <si>
    <t>未来</t>
    <phoneticPr fontId="40" type="noConversion"/>
  </si>
  <si>
    <t>樱花前半：如月彩音</t>
    <phoneticPr fontId="40" type="noConversion"/>
  </si>
  <si>
    <t>樱花后半：未来</t>
    <phoneticPr fontId="40" type="noConversion"/>
  </si>
  <si>
    <t>早春魅影：辉夜姬 福姬</t>
    <phoneticPr fontId="40" type="noConversion"/>
  </si>
  <si>
    <t>早春华光：泷川夏彦 夏弥尔</t>
  </si>
  <si>
    <t>早春华光：泷川夏彦 夏弥尔</t>
    <phoneticPr fontId="40" type="noConversion"/>
  </si>
  <si>
    <t>辉夜姬 福姬</t>
    <phoneticPr fontId="40" type="noConversion"/>
  </si>
  <si>
    <t>泷川夏彦 夏弥尔</t>
    <phoneticPr fontId="40" type="noConversion"/>
  </si>
  <si>
    <t>extendRes/charactor/luluxiu/bighead.png</t>
    <phoneticPr fontId="40" type="noConversion"/>
  </si>
  <si>
    <t>extendRes/charactor/cc/bighead.png</t>
    <phoneticPr fontId="40" type="noConversion"/>
  </si>
  <si>
    <t>extendRes/charactor/zhuque/bighead.png</t>
    <phoneticPr fontId="40" type="noConversion"/>
  </si>
  <si>
    <t>extendRes/charactor/kalian/bighead.png</t>
    <phoneticPr fontId="40" type="noConversion"/>
  </si>
  <si>
    <t>llx4人女</t>
    <phoneticPr fontId="40" type="noConversion"/>
  </si>
  <si>
    <t>llx四人男</t>
    <phoneticPr fontId="40" type="noConversion"/>
  </si>
  <si>
    <t>llx四人女</t>
    <phoneticPr fontId="40" type="noConversion"/>
  </si>
  <si>
    <t>ticket_pool_seq_id</t>
    <phoneticPr fontId="40" type="noConversion"/>
  </si>
  <si>
    <t>单抽券部分</t>
    <phoneticPr fontId="40" type="noConversion"/>
  </si>
  <si>
    <t>活动替换单抽券女A</t>
    <phoneticPr fontId="40" type="noConversion"/>
  </si>
  <si>
    <t>活动替换单抽券男A</t>
    <phoneticPr fontId="40" type="noConversion"/>
  </si>
  <si>
    <t>有女BC等需求在后面加，10614，10624……</t>
    <phoneticPr fontId="40" type="noConversion"/>
  </si>
  <si>
    <t>有男BC等需求在后面加，10714，10724……</t>
    <phoneticPr fontId="40" type="noConversion"/>
  </si>
  <si>
    <t>二之宫，白石</t>
    <phoneticPr fontId="40" type="noConversion"/>
  </si>
  <si>
    <t>月见山，A37</t>
  </si>
  <si>
    <t>活动替换单抽券女B</t>
    <phoneticPr fontId="40" type="noConversion"/>
  </si>
  <si>
    <t>有女C等需求在后面加，10624……</t>
    <phoneticPr fontId="40" type="noConversion"/>
  </si>
  <si>
    <t>樱花前半：二之宫，白石</t>
    <phoneticPr fontId="40" type="noConversion"/>
  </si>
  <si>
    <t>竹林全：月见山，A37</t>
    <phoneticPr fontId="40" type="noConversion"/>
  </si>
  <si>
    <t>月见山，A37</t>
    <phoneticPr fontId="40" type="noConversion"/>
  </si>
  <si>
    <t>四宫，雏桃</t>
    <phoneticPr fontId="40" type="noConversion"/>
  </si>
  <si>
    <t>樱花后半：四宫，雏桃</t>
    <phoneticPr fontId="40" type="noConversion"/>
  </si>
  <si>
    <t>立直棒</t>
    <phoneticPr fontId="40" type="noConversion"/>
  </si>
  <si>
    <t>和牌特效</t>
  </si>
  <si>
    <t>和牌-K.O.</t>
  </si>
  <si>
    <t>立直特效</t>
  </si>
  <si>
    <t>手的样式</t>
  </si>
  <si>
    <t>立直音乐</t>
  </si>
  <si>
    <t>桌布</t>
  </si>
  <si>
    <t>lanxing</t>
    <phoneticPr fontId="40" type="noConversion"/>
  </si>
  <si>
    <t>ling</t>
    <phoneticPr fontId="40" type="noConversion"/>
  </si>
  <si>
    <t>extendRes/charactor/lanxing/bighead.png</t>
    <phoneticPr fontId="40" type="noConversion"/>
  </si>
  <si>
    <t>extendRes/charactor/ling/bighead.png</t>
    <phoneticPr fontId="40" type="noConversion"/>
  </si>
  <si>
    <t>和</t>
    <phoneticPr fontId="40" type="noConversion"/>
  </si>
  <si>
    <t>立</t>
    <phoneticPr fontId="40" type="noConversion"/>
  </si>
  <si>
    <t>棒</t>
    <phoneticPr fontId="40" type="noConversion"/>
  </si>
  <si>
    <t>对局bgm</t>
    <phoneticPr fontId="40" type="noConversion"/>
  </si>
  <si>
    <t>chara</t>
    <phoneticPr fontId="40" type="noConversion"/>
  </si>
  <si>
    <t>岚星</t>
    <phoneticPr fontId="40" type="noConversion"/>
  </si>
  <si>
    <t>八木唯 抚子</t>
    <phoneticPr fontId="40" type="noConversion"/>
  </si>
  <si>
    <t>莎拉 九条</t>
  </si>
  <si>
    <t>莎拉 九条</t>
    <phoneticPr fontId="40" type="noConversion"/>
  </si>
  <si>
    <t>凌</t>
    <phoneticPr fontId="40" type="noConversion"/>
  </si>
  <si>
    <t>七夕 一之濑空</t>
  </si>
  <si>
    <t>七夕 一之濑空</t>
    <phoneticPr fontId="40" type="noConversion"/>
  </si>
  <si>
    <t>有女D等需求在后面加，10634……</t>
    <phoneticPr fontId="40" type="noConversion"/>
  </si>
  <si>
    <t>活动替换单抽券女C</t>
    <phoneticPr fontId="40" type="noConversion"/>
  </si>
  <si>
    <t>有男C等需求在后面加，10724……</t>
    <phoneticPr fontId="40" type="noConversion"/>
  </si>
  <si>
    <t>活动替换单抽券男B</t>
    <phoneticPr fontId="40" type="noConversion"/>
  </si>
  <si>
    <t>柚+北见</t>
    <phoneticPr fontId="40" type="noConversion"/>
  </si>
  <si>
    <t>七海+森川</t>
    <phoneticPr fontId="40" type="noConversion"/>
  </si>
  <si>
    <t>明智英树+斋藤治</t>
    <phoneticPr fontId="40" type="noConversion"/>
  </si>
  <si>
    <t>extendRes/charactor/dongchengxuanyin/bighead.png</t>
    <phoneticPr fontId="40" type="noConversion"/>
  </si>
  <si>
    <t>东城玄音</t>
    <phoneticPr fontId="40" type="noConversion"/>
  </si>
  <si>
    <t>23summer</t>
    <phoneticPr fontId="40" type="noConversion"/>
  </si>
  <si>
    <t>UR东城</t>
    <phoneticPr fontId="40" type="noConversion"/>
  </si>
  <si>
    <t>福姬+藤田</t>
    <phoneticPr fontId="40" type="noConversion"/>
  </si>
  <si>
    <t>汪次郎+石原</t>
    <phoneticPr fontId="40" type="noConversion"/>
  </si>
  <si>
    <t>四宫+七夕</t>
    <phoneticPr fontId="40" type="noConversion"/>
  </si>
  <si>
    <t>法棍面包</t>
    <phoneticPr fontId="40" type="noConversion"/>
  </si>
  <si>
    <t>搞怪眼镜</t>
    <phoneticPr fontId="40" type="noConversion"/>
  </si>
  <si>
    <t>球棒</t>
    <phoneticPr fontId="40" type="noConversion"/>
  </si>
  <si>
    <t>源计划</t>
    <phoneticPr fontId="40" type="noConversion"/>
  </si>
  <si>
    <t>豆苗</t>
    <phoneticPr fontId="40" type="noConversion"/>
  </si>
  <si>
    <t>花鸟风月</t>
    <phoneticPr fontId="40" type="noConversion"/>
  </si>
  <si>
    <t>萤火虫</t>
    <phoneticPr fontId="40" type="noConversion"/>
  </si>
  <si>
    <t>紫藤</t>
    <phoneticPr fontId="40" type="noConversion"/>
  </si>
  <si>
    <t>暗红</t>
    <phoneticPr fontId="40" type="noConversion"/>
  </si>
  <si>
    <t>暗灰</t>
    <phoneticPr fontId="40" type="noConversion"/>
  </si>
  <si>
    <t>贝壳</t>
    <phoneticPr fontId="40" type="noConversion"/>
  </si>
  <si>
    <t>橘子</t>
    <phoneticPr fontId="40" type="noConversion"/>
  </si>
  <si>
    <t>香菇</t>
    <phoneticPr fontId="40" type="noConversion"/>
  </si>
  <si>
    <t>星球</t>
    <phoneticPr fontId="40" type="noConversion"/>
  </si>
  <si>
    <t>灰色</t>
    <phoneticPr fontId="40" type="noConversion"/>
  </si>
  <si>
    <t>蓝色</t>
    <phoneticPr fontId="40" type="noConversion"/>
  </si>
  <si>
    <t>西洋管弦</t>
    <phoneticPr fontId="40" type="noConversion"/>
  </si>
  <si>
    <t>rpg风</t>
    <phoneticPr fontId="40" type="noConversion"/>
  </si>
  <si>
    <t>扩充1</t>
    <phoneticPr fontId="40" type="noConversion"/>
  </si>
  <si>
    <t>扩充2</t>
    <phoneticPr fontId="40" type="noConversion"/>
  </si>
  <si>
    <t>扩充3</t>
    <phoneticPr fontId="40" type="noConversion"/>
  </si>
  <si>
    <t>扩充4</t>
    <phoneticPr fontId="40" type="noConversion"/>
  </si>
  <si>
    <t>对局音乐</t>
    <phoneticPr fontId="40" type="noConversion"/>
  </si>
  <si>
    <t>猫爪</t>
    <phoneticPr fontId="40" type="noConversion"/>
  </si>
  <si>
    <t>镰刀</t>
    <phoneticPr fontId="40" type="noConversion"/>
  </si>
  <si>
    <t>雪球</t>
    <phoneticPr fontId="40" type="noConversion"/>
  </si>
  <si>
    <t>黑洞</t>
    <phoneticPr fontId="40" type="noConversion"/>
  </si>
  <si>
    <t>水柱</t>
    <phoneticPr fontId="40" type="noConversion"/>
  </si>
  <si>
    <r>
      <t>230</t>
    </r>
    <r>
      <rPr>
        <sz val="11"/>
        <color theme="1"/>
        <rFont val="等线"/>
        <family val="3"/>
        <charset val="134"/>
        <scheme val="minor"/>
      </rPr>
      <t>8常驻扩充</t>
    </r>
    <phoneticPr fontId="40" type="noConversion"/>
  </si>
  <si>
    <t>国女常驻替换</t>
    <phoneticPr fontId="40" type="noConversion"/>
  </si>
  <si>
    <t>日女常驻替换</t>
    <phoneticPr fontId="40" type="noConversion"/>
  </si>
  <si>
    <t>国男常驻替换</t>
    <phoneticPr fontId="40" type="noConversion"/>
  </si>
  <si>
    <t>日男常驻替换</t>
    <phoneticPr fontId="40" type="noConversion"/>
  </si>
  <si>
    <t>pool_seq_id</t>
    <phoneticPr fontId="40" type="noConversion"/>
  </si>
  <si>
    <t>辉玉女替</t>
    <phoneticPr fontId="40" type="noConversion"/>
  </si>
  <si>
    <t>辉玉男替</t>
    <phoneticPr fontId="40" type="noConversion"/>
  </si>
  <si>
    <t>券女替</t>
    <phoneticPr fontId="40" type="noConversion"/>
  </si>
  <si>
    <t>券男替</t>
    <phoneticPr fontId="40" type="noConversion"/>
  </si>
  <si>
    <t>小野寺七羽+寺崎千穗理</t>
    <phoneticPr fontId="40" type="noConversion"/>
  </si>
  <si>
    <t>泽克斯+明智英树</t>
    <phoneticPr fontId="40" type="noConversion"/>
  </si>
  <si>
    <t>汉娜</t>
    <phoneticPr fontId="40" type="noConversion"/>
  </si>
  <si>
    <t>extendRes/charactor/hanna/bighead.png</t>
    <phoneticPr fontId="40" type="noConversion"/>
  </si>
  <si>
    <t>extendRes/charactor/musa/bighead.png</t>
    <phoneticPr fontId="40" type="noConversion"/>
  </si>
  <si>
    <t>穆萨</t>
    <phoneticPr fontId="40" type="noConversion"/>
  </si>
  <si>
    <t>三上千织+艾丽莎</t>
    <phoneticPr fontId="40" type="noConversion"/>
  </si>
  <si>
    <t>相原舞+泽尼亚</t>
    <phoneticPr fontId="40" type="noConversion"/>
  </si>
  <si>
    <t>莱恩+艾因</t>
  </si>
  <si>
    <t>莱恩+艾因</t>
    <phoneticPr fontId="40" type="noConversion"/>
  </si>
  <si>
    <t>活动替换单抽券男C</t>
  </si>
  <si>
    <t>有男D等需求在后面加，10734……</t>
    <phoneticPr fontId="40" type="noConversion"/>
  </si>
  <si>
    <t>extendRes/charactor/yiliya/bighead.png</t>
    <phoneticPr fontId="40" type="noConversion"/>
  </si>
  <si>
    <t>extendRes/charactor/meiyou/bighead.png</t>
    <phoneticPr fontId="40" type="noConversion"/>
  </si>
  <si>
    <t>extendRes/charactor/xiaohei/bighead.png</t>
    <phoneticPr fontId="40" type="noConversion"/>
  </si>
  <si>
    <t>extendRes/charactor/jier/bighead.png</t>
    <phoneticPr fontId="40" type="noConversion"/>
  </si>
  <si>
    <t>伊莉雅四人男池</t>
    <phoneticPr fontId="40" type="noConversion"/>
  </si>
  <si>
    <t>KR替代樱花-辉夜姬+北见纱和子</t>
    <phoneticPr fontId="40" type="noConversion"/>
  </si>
  <si>
    <t>KR替代樱花-八木唯+相原舞</t>
    <phoneticPr fontId="40" type="noConversion"/>
  </si>
  <si>
    <t>KR替代樱花-藤本绮罗+九条璃雨</t>
    <phoneticPr fontId="40" type="noConversion"/>
  </si>
  <si>
    <t>KR替代竹林-四宫夏生+约瑟夫</t>
    <phoneticPr fontId="40" type="noConversion"/>
  </si>
  <si>
    <t>KR替代竹林-斋藤治+月见山</t>
    <phoneticPr fontId="40" type="noConversion"/>
  </si>
  <si>
    <t>KR替代竹林-石原碓海+一之濑空</t>
    <phoneticPr fontId="40" type="noConversion"/>
  </si>
  <si>
    <t>伊莉雅四人女</t>
    <phoneticPr fontId="40" type="noConversion"/>
  </si>
  <si>
    <t>装扮UPB（KR用）</t>
    <phoneticPr fontId="40" type="noConversion"/>
  </si>
  <si>
    <t>伊莉雅四人女池</t>
    <phoneticPr fontId="40" type="noConversion"/>
  </si>
  <si>
    <t>活动替换单抽券女D</t>
    <phoneticPr fontId="40" type="noConversion"/>
  </si>
  <si>
    <t>有女D等需求在后面加，10644……</t>
    <phoneticPr fontId="40" type="noConversion"/>
  </si>
  <si>
    <t>remove_limit_mark</t>
    <phoneticPr fontId="40" type="noConversion"/>
  </si>
  <si>
    <t>标记为1则不显示限定角标</t>
    <phoneticPr fontId="40" type="noConversion"/>
  </si>
  <si>
    <t>extendRes/charactor/yifu/bighead.png</t>
    <phoneticPr fontId="40" type="noConversion"/>
  </si>
  <si>
    <t>extendRes/charactor/jiushi/bighead.png</t>
    <phoneticPr fontId="40" type="noConversion"/>
  </si>
  <si>
    <t>伊芙</t>
    <phoneticPr fontId="40" type="noConversion"/>
  </si>
  <si>
    <t>玖辻</t>
    <phoneticPr fontId="40" type="noConversion"/>
  </si>
  <si>
    <t>活动1男-玉</t>
    <phoneticPr fontId="40" type="noConversion"/>
  </si>
  <si>
    <t>活动2男-玉</t>
    <phoneticPr fontId="40" type="noConversion"/>
  </si>
  <si>
    <t>活动1女-券</t>
    <phoneticPr fontId="40" type="noConversion"/>
  </si>
  <si>
    <t>活动1男-券</t>
    <phoneticPr fontId="40" type="noConversion"/>
  </si>
  <si>
    <t>活动2女-券</t>
    <phoneticPr fontId="40" type="noConversion"/>
  </si>
  <si>
    <t>活动2男-券</t>
    <phoneticPr fontId="40" type="noConversion"/>
  </si>
  <si>
    <t>常驻A女-玉</t>
    <phoneticPr fontId="40" type="noConversion"/>
  </si>
  <si>
    <t>常驻A男-玉</t>
    <phoneticPr fontId="40" type="noConversion"/>
  </si>
  <si>
    <t>常驻A女-券</t>
    <phoneticPr fontId="40" type="noConversion"/>
  </si>
  <si>
    <t>常驻A男-券</t>
    <phoneticPr fontId="40" type="noConversion"/>
  </si>
  <si>
    <t>常驻B女-券</t>
    <phoneticPr fontId="40" type="noConversion"/>
  </si>
  <si>
    <t>常驻B男-券</t>
    <phoneticPr fontId="40" type="noConversion"/>
  </si>
  <si>
    <t>常驻B女-玉</t>
    <phoneticPr fontId="40" type="noConversion"/>
  </si>
  <si>
    <t>常驻B男-玉</t>
    <phoneticPr fontId="40" type="noConversion"/>
  </si>
  <si>
    <t>launch_time</t>
    <phoneticPr fontId="40" type="noConversion"/>
  </si>
  <si>
    <t>起售时间，之后才可兑换</t>
    <phoneticPr fontId="40" type="noConversion"/>
  </si>
  <si>
    <t>2023-12-20 09:00:00+08</t>
  </si>
  <si>
    <t>2023-12-20 09:00:00+08</t>
    <phoneticPr fontId="40" type="noConversion"/>
  </si>
  <si>
    <t>活动单抽券男人平均1（常驻B）</t>
    <phoneticPr fontId="40" type="noConversion"/>
  </si>
  <si>
    <t>活动1女-玉（1004-1007）</t>
    <phoneticPr fontId="40" type="noConversion"/>
  </si>
  <si>
    <t>活动2女-玉（1008-1011）</t>
    <phoneticPr fontId="40" type="noConversion"/>
  </si>
  <si>
    <t>extendRes/charactor/linlang/bighead.png</t>
    <phoneticPr fontId="40" type="noConversion"/>
  </si>
  <si>
    <t>extendRes/charactor/yuanfeng/bighead.png</t>
    <phoneticPr fontId="40" type="noConversion"/>
  </si>
  <si>
    <t>琳琅</t>
    <phoneticPr fontId="40" type="noConversion"/>
  </si>
  <si>
    <t>袁枫</t>
    <phoneticPr fontId="40" type="noConversion"/>
  </si>
  <si>
    <t>2024-01-31 05:00:00+08</t>
    <phoneticPr fontId="40" type="noConversion"/>
  </si>
  <si>
    <t>常驻装扮A（常驻池+活动池）</t>
    <phoneticPr fontId="40" type="noConversion"/>
  </si>
  <si>
    <t>常驻装扮B（常驻池+活动池）</t>
    <phoneticPr fontId="40" type="noConversion"/>
  </si>
  <si>
    <t>活动单抽券女人平均（B）修复后暂不使用</t>
    <phoneticPr fontId="40" type="noConversion"/>
  </si>
  <si>
    <t>client</t>
  </si>
  <si>
    <t>extendRes/charactor/shalangbaizi/bighead.png</t>
    <phoneticPr fontId="40" type="noConversion"/>
  </si>
  <si>
    <t>extendRes/charactor/xiaoniaoyouxingye/bighead.png</t>
    <phoneticPr fontId="40" type="noConversion"/>
  </si>
  <si>
    <t>extendRes/charactor/lubamoailu/bighead.png</t>
    <phoneticPr fontId="40" type="noConversion"/>
  </si>
  <si>
    <t>extendRes/charactor/qianhuangmuyue/bighead.png</t>
    <phoneticPr fontId="40" type="noConversion"/>
  </si>
  <si>
    <t>国女活动3</t>
    <phoneticPr fontId="40" type="noConversion"/>
  </si>
  <si>
    <t>日女活动3</t>
    <phoneticPr fontId="40" type="noConversion"/>
  </si>
  <si>
    <t>国男活动3</t>
    <phoneticPr fontId="40" type="noConversion"/>
  </si>
  <si>
    <t>日男活动3</t>
    <phoneticPr fontId="40" type="noConversion"/>
  </si>
  <si>
    <t>活动3男-玉</t>
    <phoneticPr fontId="40" type="noConversion"/>
  </si>
  <si>
    <t>活动3女-券</t>
    <phoneticPr fontId="40" type="noConversion"/>
  </si>
  <si>
    <t>活动3男-券</t>
    <phoneticPr fontId="40" type="noConversion"/>
  </si>
  <si>
    <t>活动3女-玉（1012-1015）</t>
    <phoneticPr fontId="40" type="noConversion"/>
  </si>
  <si>
    <t>和牌-伺机而动</t>
    <phoneticPr fontId="40" type="noConversion"/>
  </si>
  <si>
    <t>立直-一步之遥</t>
    <phoneticPr fontId="40" type="noConversion"/>
  </si>
  <si>
    <t>桌布-破茧</t>
    <phoneticPr fontId="40" type="noConversion"/>
  </si>
  <si>
    <t>舞之序曲</t>
    <phoneticPr fontId="40" type="noConversion"/>
  </si>
  <si>
    <t>莱娅</t>
    <phoneticPr fontId="40" type="noConversion"/>
  </si>
  <si>
    <t>辛西娅</t>
    <phoneticPr fontId="40" type="noConversion"/>
  </si>
  <si>
    <t>extendRes/charactor/laiya/bighead.png</t>
    <phoneticPr fontId="40" type="noConversion"/>
  </si>
  <si>
    <t>extendRes/charactor/xinxiya/bighead.png</t>
    <phoneticPr fontId="40" type="noConversion"/>
  </si>
  <si>
    <t>2024-06-26 05:00:00+08</t>
  </si>
  <si>
    <t>西瓜立直棒</t>
  </si>
  <si>
    <t>夏日桌布</t>
  </si>
  <si>
    <t>立直BGM（炽热时刻）</t>
  </si>
  <si>
    <t>夏日牌背</t>
  </si>
  <si>
    <t>红耳朵头像框</t>
  </si>
  <si>
    <t>南枫花</t>
    <phoneticPr fontId="40" type="noConversion"/>
  </si>
  <si>
    <t>extendRes/charactor/nanfenghua/bighead.png</t>
    <phoneticPr fontId="40" type="noConversion"/>
  </si>
  <si>
    <t>立直音乐-夏日</t>
  </si>
  <si>
    <t>立直特效-猫咪炸弹</t>
  </si>
  <si>
    <t>和牌特效-猫咪炸弹</t>
  </si>
  <si>
    <t>立直棒-鳄鱼</t>
  </si>
  <si>
    <t>对局音乐</t>
    <phoneticPr fontId="40" type="noConversion"/>
  </si>
  <si>
    <t>chara</t>
    <phoneticPr fontId="40" type="noConversion"/>
  </si>
  <si>
    <t>希里</t>
    <phoneticPr fontId="40" type="noConversion"/>
  </si>
  <si>
    <t>局</t>
    <phoneticPr fontId="40" type="noConversion"/>
  </si>
  <si>
    <t>extendRes/charactor/xili/bighead.png</t>
    <phoneticPr fontId="40" type="noConversion"/>
  </si>
  <si>
    <t>extendRes/charactor/ju/bighead.png</t>
    <phoneticPr fontId="40" type="noConversion"/>
  </si>
  <si>
    <t>2024-10-23 11:00:00+08</t>
    <phoneticPr fontId="40" type="noConversion"/>
  </si>
  <si>
    <t>立直音乐-终结之战</t>
  </si>
  <si>
    <t>头像框-一汪打尽</t>
  </si>
  <si>
    <t>牌背-封印术</t>
  </si>
  <si>
    <t>桌布-禁锢之武</t>
  </si>
  <si>
    <t>extendRes/charactor/qiancangtou/bighead.png</t>
    <phoneticPr fontId="40" type="noConversion"/>
  </si>
  <si>
    <t>extendRes/charactor/tongkouyuanxiang/bighead.png</t>
    <phoneticPr fontId="40" type="noConversion"/>
  </si>
  <si>
    <t>extendRes/charactor/fuwanxiaosi/bighead.png</t>
    <phoneticPr fontId="40" type="noConversion"/>
  </si>
  <si>
    <t>extendRes/charactor/shichuanchucai/bighead.png</t>
    <phoneticPr fontId="40" type="noConversion"/>
  </si>
  <si>
    <t>浅仓透</t>
  </si>
  <si>
    <t>樋口圆香</t>
  </si>
  <si>
    <t>福丸小糸</t>
  </si>
  <si>
    <t>市川雏菜</t>
  </si>
  <si>
    <t>2024-06-26 05:00:00+08</t>
    <phoneticPr fontId="40" type="noConversion"/>
  </si>
  <si>
    <t>和牌-imas</t>
  </si>
  <si>
    <t>立直-imas</t>
  </si>
  <si>
    <t>立直棒-imas</t>
  </si>
  <si>
    <t>牌背-imas</t>
  </si>
  <si>
    <t>桌布-imas</t>
  </si>
  <si>
    <t>希里</t>
    <phoneticPr fontId="40" type="noConversion"/>
  </si>
  <si>
    <t>辛西娅</t>
  </si>
  <si>
    <t>辛西娅</t>
    <phoneticPr fontId="40" type="noConversion"/>
  </si>
  <si>
    <t>莱娅</t>
  </si>
  <si>
    <t>莱娅</t>
    <phoneticPr fontId="40" type="noConversion"/>
  </si>
  <si>
    <t>琳琅</t>
  </si>
  <si>
    <t>琳琅</t>
    <phoneticPr fontId="40" type="noConversion"/>
  </si>
  <si>
    <t>伊芙</t>
  </si>
  <si>
    <t>伊芙</t>
    <phoneticPr fontId="40" type="noConversion"/>
  </si>
  <si>
    <t>局</t>
  </si>
  <si>
    <t>局</t>
    <phoneticPr fontId="40" type="noConversion"/>
  </si>
  <si>
    <t>袁枫</t>
  </si>
  <si>
    <t>袁枫</t>
    <phoneticPr fontId="40" type="noConversion"/>
  </si>
  <si>
    <t>玖辻</t>
  </si>
  <si>
    <t>玖辻</t>
    <phoneticPr fontId="40" type="noConversion"/>
  </si>
  <si>
    <t>穆萨</t>
  </si>
  <si>
    <t>穆萨</t>
    <phoneticPr fontId="40" type="noConversion"/>
  </si>
  <si>
    <t>chest_id</t>
    <phoneticPr fontId="40" type="noConversion"/>
  </si>
  <si>
    <t>元宵</t>
    <phoneticPr fontId="40" type="noConversion"/>
  </si>
  <si>
    <t>非名</t>
    <phoneticPr fontId="40" type="noConversion"/>
  </si>
  <si>
    <t>元宵</t>
    <phoneticPr fontId="40" type="noConversion"/>
  </si>
  <si>
    <t>extendRes/charactor/yuanxiao/bighead.png</t>
    <phoneticPr fontId="40" type="noConversion"/>
  </si>
  <si>
    <t>非名</t>
    <phoneticPr fontId="40" type="noConversion"/>
  </si>
  <si>
    <t>extendRes/charactor/feiming/bighead.png</t>
    <phoneticPr fontId="40" type="noConversion"/>
  </si>
  <si>
    <t>和牌-得胜达摩</t>
  </si>
  <si>
    <r>
      <rPr>
        <sz val="11"/>
        <color rgb="FF000000"/>
        <rFont val="Microsoft YaHei UI"/>
        <family val="2"/>
        <charset val="134"/>
      </rPr>
      <t>立直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一锤定音</t>
    </r>
    <phoneticPr fontId="40" type="noConversion"/>
  </si>
  <si>
    <r>
      <rPr>
        <sz val="11"/>
        <color rgb="FF000000"/>
        <rFont val="Microsoft YaHei UI"/>
        <family val="2"/>
        <charset val="134"/>
      </rPr>
      <t>桌布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瑞雪祈狐</t>
    </r>
    <phoneticPr fontId="40" type="noConversion"/>
  </si>
  <si>
    <r>
      <rPr>
        <sz val="11"/>
        <color rgb="FF000000"/>
        <rFont val="Microsoft YaHei UI"/>
        <family val="2"/>
        <charset val="134"/>
      </rPr>
      <t>牌背</t>
    </r>
    <r>
      <rPr>
        <sz val="11"/>
        <color rgb="FF000000"/>
        <rFont val="Tahoma"/>
        <family val="2"/>
      </rPr>
      <t>-</t>
    </r>
    <r>
      <rPr>
        <sz val="11"/>
        <color rgb="FF000000"/>
        <rFont val="Microsoft YaHei UI"/>
        <family val="2"/>
        <charset val="134"/>
      </rPr>
      <t>圣夜雪人</t>
    </r>
    <phoneticPr fontId="40" type="noConversion"/>
  </si>
  <si>
    <t>2024-12-19 11:00:00+08</t>
    <phoneticPr fontId="40" type="noConversion"/>
  </si>
  <si>
    <t>国女活动4</t>
    <phoneticPr fontId="40" type="noConversion"/>
  </si>
  <si>
    <t>日女活动4</t>
    <phoneticPr fontId="40" type="noConversion"/>
  </si>
  <si>
    <t>国男活动4</t>
    <phoneticPr fontId="40" type="noConversion"/>
  </si>
  <si>
    <t>日男活动4</t>
    <phoneticPr fontId="40" type="noConversion"/>
  </si>
  <si>
    <t>活动4女-玉（1016-1019）</t>
    <phoneticPr fontId="40" type="noConversion"/>
  </si>
  <si>
    <t>活动4男-玉</t>
    <phoneticPr fontId="40" type="noConversion"/>
  </si>
  <si>
    <t>活动4女-券</t>
    <phoneticPr fontId="40" type="noConversion"/>
  </si>
  <si>
    <t>活动4男-券</t>
    <phoneticPr fontId="40" type="noConversion"/>
  </si>
  <si>
    <t>元宵</t>
  </si>
  <si>
    <t>花语白</t>
  </si>
  <si>
    <t>花语青</t>
  </si>
  <si>
    <t>非名</t>
  </si>
  <si>
    <t>花语白</t>
    <phoneticPr fontId="40" type="noConversion"/>
  </si>
  <si>
    <t>花语青</t>
    <phoneticPr fontId="40" type="noConversion"/>
  </si>
  <si>
    <t>桌布-清辉竹影</t>
  </si>
  <si>
    <t>牌背-翠竹墨影</t>
  </si>
  <si>
    <t>立直棒-青竹伞</t>
  </si>
  <si>
    <t>名扬四海（立直bgm）</t>
  </si>
  <si>
    <t>头像框-竹福滚滚</t>
  </si>
  <si>
    <t>extendRes/charactor/huayubai/bighead.png</t>
    <phoneticPr fontId="40" type="noConversion"/>
  </si>
  <si>
    <t>extendRes/charactor/huayuqing/bighead.png</t>
    <phoneticPr fontId="40" type="noConversion"/>
  </si>
  <si>
    <r>
      <rPr>
        <sz val="11"/>
        <color rgb="FF000000"/>
        <rFont val="微软雅黑"/>
        <family val="2"/>
        <charset val="134"/>
      </rPr>
      <t>桌布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一番祥瑞录</t>
    </r>
    <phoneticPr fontId="40" type="noConversion"/>
  </si>
  <si>
    <r>
      <rPr>
        <sz val="11"/>
        <color rgb="FF000000"/>
        <rFont val="微软雅黑"/>
        <family val="2"/>
        <charset val="134"/>
      </rPr>
      <t>牌背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开运达摩</t>
    </r>
    <phoneticPr fontId="40" type="noConversion"/>
  </si>
  <si>
    <r>
      <rPr>
        <sz val="11"/>
        <color rgb="FF000000"/>
        <rFont val="微软雅黑"/>
        <family val="2"/>
        <charset val="134"/>
      </rPr>
      <t>立直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星河入梦</t>
    </r>
    <phoneticPr fontId="40" type="noConversion"/>
  </si>
  <si>
    <r>
      <rPr>
        <sz val="11"/>
        <color rgb="FF000000"/>
        <rFont val="微软雅黑"/>
        <family val="2"/>
        <charset val="134"/>
      </rPr>
      <t>和牌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虚空结界</t>
    </r>
    <phoneticPr fontId="40" type="noConversion"/>
  </si>
  <si>
    <r>
      <rPr>
        <sz val="11"/>
        <color rgb="FF000000"/>
        <rFont val="微软雅黑"/>
        <family val="2"/>
        <charset val="134"/>
      </rPr>
      <t>立直音乐</t>
    </r>
    <r>
      <rPr>
        <sz val="11"/>
        <color rgb="FF000000"/>
        <rFont val="Tahoma"/>
        <family val="2"/>
        <charset val="134"/>
      </rPr>
      <t>-</t>
    </r>
    <r>
      <rPr>
        <sz val="11"/>
        <color rgb="FF000000"/>
        <rFont val="微软雅黑"/>
        <family val="2"/>
        <charset val="134"/>
      </rPr>
      <t>处变不惊</t>
    </r>
    <phoneticPr fontId="40" type="noConversion"/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</si>
  <si>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</si>
  <si>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</si>
  <si>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</si>
  <si>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</si>
  <si>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</si>
  <si>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</si>
  <si>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</si>
  <si>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</si>
  <si>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</si>
  <si>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和牌</t>
    <phoneticPr fontId="40" type="noConversion"/>
  </si>
  <si>
    <t>立直</t>
    <phoneticPr fontId="40" type="noConversion"/>
  </si>
  <si>
    <t>立直棒</t>
    <phoneticPr fontId="40" type="noConversion"/>
  </si>
  <si>
    <t>桌布</t>
    <phoneticPr fontId="40" type="noConversion"/>
  </si>
  <si>
    <t>牌背</t>
    <phoneticPr fontId="40" type="noConversion"/>
  </si>
  <si>
    <t>简</t>
  </si>
  <si>
    <t>简</t>
    <phoneticPr fontId="40" type="noConversion"/>
  </si>
  <si>
    <t>萨塔恩</t>
  </si>
  <si>
    <t>萨塔恩</t>
    <phoneticPr fontId="40" type="noConversion"/>
  </si>
  <si>
    <t>对局BGM-希腊</t>
    <phoneticPr fontId="40" type="noConversion"/>
  </si>
  <si>
    <t>牌背-希腊</t>
    <phoneticPr fontId="40" type="noConversion"/>
  </si>
  <si>
    <t>桌布-希腊</t>
    <phoneticPr fontId="40" type="noConversion"/>
  </si>
  <si>
    <t>立直棒-希腊</t>
    <phoneticPr fontId="40" type="noConversion"/>
  </si>
  <si>
    <t>立直特效</t>
    <phoneticPr fontId="40" type="noConversion"/>
  </si>
  <si>
    <t>25希腊，用常驻B复制</t>
    <phoneticPr fontId="40" type="noConversion"/>
  </si>
  <si>
    <t>H-男人平均（常驻A）春节版本-更新至非名</t>
    <phoneticPr fontId="40" type="noConversion"/>
  </si>
  <si>
    <t>H-男人平均（常驻B）希腊版本-更新至萨塔恩</t>
    <phoneticPr fontId="40" type="noConversion"/>
  </si>
  <si>
    <t>Q-女人平均（常驻B）希腊版本-更新至简</t>
    <phoneticPr fontId="40" type="noConversion"/>
  </si>
  <si>
    <t>Q-女人平均（常驻A）春节版本-更新至花语白、花语青</t>
    <phoneticPr fontId="40" type="noConversion"/>
  </si>
  <si>
    <t>H-女人平均（常驻B）希腊版本-更新至简</t>
    <phoneticPr fontId="40" type="noConversion"/>
  </si>
  <si>
    <t>H-女人平均（常驻A）春节版本-更新至花语白、花语青</t>
    <phoneticPr fontId="40" type="noConversion"/>
  </si>
  <si>
    <t>Q-男人平均（常驻A）春节版本-更新至非名</t>
    <phoneticPr fontId="40" type="noConversion"/>
  </si>
  <si>
    <t>Q-男人平均（常驻B）希腊版本-更新至萨塔恩</t>
    <phoneticPr fontId="40" type="noConversion"/>
  </si>
  <si>
    <t>2025-06-25 11:00:00+08</t>
    <phoneticPr fontId="40" type="noConversion"/>
  </si>
  <si>
    <t>漂浮霓虹</t>
  </si>
  <si>
    <t>势如破竹</t>
  </si>
  <si>
    <t>立直-萌爪狂欢</t>
  </si>
  <si>
    <t>和牌-喵——呜！</t>
  </si>
  <si>
    <t>立直棒-小鳄霸</t>
  </si>
  <si>
    <t>璃央</t>
    <phoneticPr fontId="40" type="noConversion"/>
  </si>
  <si>
    <t>立直特效</t>
    <phoneticPr fontId="40" type="noConversion"/>
  </si>
  <si>
    <t>和牌特效</t>
    <phoneticPr fontId="40" type="noConversion"/>
  </si>
  <si>
    <t>桌布</t>
    <phoneticPr fontId="40" type="noConversion"/>
  </si>
  <si>
    <t>牌背</t>
    <phoneticPr fontId="40" type="noConversion"/>
  </si>
  <si>
    <t>立直棒</t>
    <phoneticPr fontId="40" type="noConversion"/>
  </si>
  <si>
    <t>坂田银时</t>
  </si>
  <si>
    <t>桂小太郎</t>
  </si>
  <si>
    <t>高杉晋助</t>
  </si>
  <si>
    <t>坂本辰马</t>
  </si>
  <si>
    <t>头像框</t>
    <phoneticPr fontId="40" type="noConversion"/>
  </si>
  <si>
    <t>和牌-杰克的恶作剧</t>
    <phoneticPr fontId="40" type="noConversion"/>
  </si>
  <si>
    <t>立直-南瓜夜行</t>
    <phoneticPr fontId="40" type="noConversion"/>
  </si>
  <si>
    <t>立直棒-喵星棒</t>
    <phoneticPr fontId="40" type="noConversion"/>
  </si>
  <si>
    <t>一千零一夜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</si>
</sst>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4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11"/>
      <color theme="1"/>
      <name val="Yu Gothic"/>
      <family val="2"/>
      <charset val="128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Arial"/>
      <family val="2"/>
    </font>
    <font>
      <sz val="10"/>
      <color rgb="FFFF0000"/>
      <name val="Microsoft YaHei"/>
      <charset val="134"/>
    </font>
    <font>
      <sz val="10"/>
      <color rgb="FF000000"/>
      <name val="KswKaishoN"/>
      <family val="3"/>
      <charset val="128"/>
    </font>
    <font>
      <b/>
      <sz val="11"/>
      <color rgb="FFFF00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rgb="FF000000"/>
      <name val="Tahoma"/>
      <family val="2"/>
    </font>
    <font>
      <sz val="11"/>
      <color rgb="FF000000"/>
      <name val="Microsoft YaHei UI"/>
      <family val="2"/>
      <charset val="134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</borders>
  <cellStyleXfs count="1">
    <xf numFmtId="0" fontId="0" fillId="0" borderId="0"/>
  </cellStyleXfs>
  <cellXfs count="33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1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42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25" fillId="53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0" fontId="26" fillId="53" borderId="0" xfId="0" applyFont="1" applyFill="1"/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42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9" borderId="0" xfId="0" applyNumberFormat="1" applyFill="1" applyAlignment="1">
      <alignment horizontal="left" vertical="center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48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0" borderId="7" xfId="0" applyFont="1" applyBorder="1" applyAlignment="1">
      <alignment horizontal="left" vertical="center"/>
    </xf>
    <xf numFmtId="0" fontId="19" fillId="28" borderId="0" xfId="0" applyFont="1" applyFill="1" applyAlignment="1">
      <alignment horizontal="left" vertical="center"/>
    </xf>
    <xf numFmtId="0" fontId="19" fillId="0" borderId="8" xfId="0" applyFont="1" applyBorder="1"/>
    <xf numFmtId="0" fontId="19" fillId="0" borderId="9" xfId="0" applyFont="1" applyBorder="1" applyAlignment="1">
      <alignment horizontal="left" vertical="center"/>
    </xf>
  </cellXfs>
  <cellStyles count="1">
    <cellStyle name="常规" xfId="0" builtinId="0"/>
  </cellStyles>
  <dxfs count="848"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CC"/>
      <color rgb="FFFF33CC"/>
      <color rgb="FFAF65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4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"/>
  <sheetViews>
    <sheetView zoomScale="115" zoomScaleNormal="115" workbookViewId="0">
      <selection activeCell="B13" sqref="B13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6" width="12.125" customWidth="1"/>
    <col min="7" max="10" width="42.125" customWidth="1"/>
    <col min="11" max="11" width="43.625" customWidth="1"/>
    <col min="12" max="12" width="17.25" customWidth="1"/>
    <col min="16" max="18" width="10.625" customWidth="1"/>
    <col min="19" max="19" width="17" customWidth="1"/>
    <col min="20" max="20" width="1" style="137" customWidth="1"/>
    <col min="21" max="21" width="17.375" customWidth="1"/>
    <col min="22" max="22" width="22.25" customWidth="1"/>
    <col min="23" max="25" width="14.375" customWidth="1"/>
  </cols>
  <sheetData>
    <row r="1" spans="1:27">
      <c r="A1" t="s">
        <v>30</v>
      </c>
      <c r="B1" t="s">
        <v>5</v>
      </c>
      <c r="C1" t="s">
        <v>2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1753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s="9" t="s">
        <v>1755</v>
      </c>
      <c r="R1" s="9" t="s">
        <v>1897</v>
      </c>
      <c r="S1" s="241" t="s">
        <v>1812</v>
      </c>
      <c r="T1" s="137" t="s">
        <v>43</v>
      </c>
      <c r="U1" t="s">
        <v>44</v>
      </c>
      <c r="V1" s="243" t="s">
        <v>45</v>
      </c>
      <c r="W1" t="s">
        <v>46</v>
      </c>
      <c r="X1" t="s">
        <v>47</v>
      </c>
      <c r="Y1" t="s">
        <v>48</v>
      </c>
    </row>
    <row r="2" spans="1:27">
      <c r="A2" t="s">
        <v>49</v>
      </c>
      <c r="C2" t="s">
        <v>50</v>
      </c>
      <c r="G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s="9" t="s">
        <v>1754</v>
      </c>
      <c r="R2" t="s">
        <v>58</v>
      </c>
      <c r="S2" s="242" t="s">
        <v>58</v>
      </c>
      <c r="T2" s="137" t="s">
        <v>59</v>
      </c>
      <c r="U2" t="s">
        <v>60</v>
      </c>
      <c r="V2" s="243" t="s">
        <v>61</v>
      </c>
      <c r="X2" t="s">
        <v>62</v>
      </c>
      <c r="Y2" t="s">
        <v>63</v>
      </c>
    </row>
    <row r="3" spans="1:27">
      <c r="A3" t="s">
        <v>64</v>
      </c>
      <c r="B3" t="s">
        <v>65</v>
      </c>
      <c r="C3" t="s">
        <v>65</v>
      </c>
      <c r="D3" t="s">
        <v>66</v>
      </c>
      <c r="E3" t="s">
        <v>66</v>
      </c>
      <c r="F3" t="s">
        <v>66</v>
      </c>
      <c r="G3" t="s">
        <v>66</v>
      </c>
      <c r="H3" t="s">
        <v>66</v>
      </c>
      <c r="I3" t="s">
        <v>66</v>
      </c>
      <c r="J3" t="s">
        <v>66</v>
      </c>
      <c r="K3" t="s">
        <v>66</v>
      </c>
      <c r="L3" t="s">
        <v>65</v>
      </c>
      <c r="M3" t="s">
        <v>65</v>
      </c>
      <c r="N3" t="s">
        <v>65</v>
      </c>
      <c r="O3" t="s">
        <v>65</v>
      </c>
      <c r="P3" t="s">
        <v>65</v>
      </c>
      <c r="Q3" t="s">
        <v>65</v>
      </c>
      <c r="R3" t="s">
        <v>65</v>
      </c>
      <c r="S3" s="242" t="s">
        <v>65</v>
      </c>
      <c r="T3" s="137" t="s">
        <v>65</v>
      </c>
      <c r="U3" t="s">
        <v>65</v>
      </c>
      <c r="V3" s="243" t="s">
        <v>65</v>
      </c>
      <c r="W3" t="s">
        <v>65</v>
      </c>
      <c r="X3" t="s">
        <v>65</v>
      </c>
      <c r="Y3" t="s">
        <v>65</v>
      </c>
    </row>
    <row r="4" spans="1:27">
      <c r="A4" t="s">
        <v>67</v>
      </c>
      <c r="R4" t="s">
        <v>68</v>
      </c>
      <c r="S4" s="242" t="s">
        <v>68</v>
      </c>
      <c r="T4" s="137" t="s">
        <v>68</v>
      </c>
      <c r="U4" t="s">
        <v>68</v>
      </c>
      <c r="V4" s="243" t="s">
        <v>68</v>
      </c>
    </row>
    <row r="5" spans="1:27">
      <c r="A5" t="s">
        <v>69</v>
      </c>
      <c r="B5">
        <v>1000</v>
      </c>
      <c r="C5">
        <v>0</v>
      </c>
      <c r="D5" t="s">
        <v>70</v>
      </c>
      <c r="E5" t="s">
        <v>71</v>
      </c>
      <c r="F5" t="s">
        <v>72</v>
      </c>
      <c r="G5" t="s">
        <v>73</v>
      </c>
      <c r="H5" t="s">
        <v>74</v>
      </c>
      <c r="I5" s="206" t="s">
        <v>75</v>
      </c>
      <c r="J5" s="206"/>
      <c r="K5" t="s">
        <v>76</v>
      </c>
      <c r="L5">
        <v>0</v>
      </c>
      <c r="M5">
        <v>100001</v>
      </c>
      <c r="N5">
        <v>200</v>
      </c>
      <c r="O5">
        <v>1800</v>
      </c>
      <c r="P5">
        <v>302001</v>
      </c>
      <c r="Q5" s="1">
        <v>309064</v>
      </c>
      <c r="R5">
        <v>1001</v>
      </c>
      <c r="S5" s="242">
        <v>2001</v>
      </c>
      <c r="T5" s="137">
        <v>10101</v>
      </c>
      <c r="U5">
        <v>10102</v>
      </c>
      <c r="V5" s="243">
        <v>10103</v>
      </c>
      <c r="W5">
        <v>1000</v>
      </c>
      <c r="X5">
        <v>0</v>
      </c>
      <c r="Y5">
        <v>1</v>
      </c>
      <c r="AA5" t="s">
        <v>69</v>
      </c>
    </row>
    <row r="6" spans="1:27">
      <c r="A6" t="s">
        <v>77</v>
      </c>
      <c r="B6">
        <v>1001</v>
      </c>
      <c r="C6">
        <v>0</v>
      </c>
      <c r="D6" t="s">
        <v>70</v>
      </c>
      <c r="E6" t="s">
        <v>78</v>
      </c>
      <c r="F6" t="s">
        <v>72</v>
      </c>
      <c r="G6" t="s">
        <v>73</v>
      </c>
      <c r="H6" t="s">
        <v>74</v>
      </c>
      <c r="I6" s="206" t="s">
        <v>75</v>
      </c>
      <c r="J6" s="206"/>
      <c r="K6" t="s">
        <v>76</v>
      </c>
      <c r="L6">
        <v>0</v>
      </c>
      <c r="M6">
        <v>100001</v>
      </c>
      <c r="N6">
        <v>200</v>
      </c>
      <c r="O6">
        <v>1800</v>
      </c>
      <c r="P6">
        <v>302001</v>
      </c>
      <c r="Q6" s="1">
        <v>309064</v>
      </c>
      <c r="R6">
        <v>1001</v>
      </c>
      <c r="S6" s="242">
        <v>2001</v>
      </c>
      <c r="T6" s="137">
        <v>10101</v>
      </c>
      <c r="U6">
        <v>10102</v>
      </c>
      <c r="V6" s="243">
        <v>10103</v>
      </c>
      <c r="W6">
        <v>1001</v>
      </c>
      <c r="X6">
        <v>1</v>
      </c>
      <c r="Y6">
        <v>1</v>
      </c>
      <c r="AA6" t="s">
        <v>77</v>
      </c>
    </row>
    <row r="7" spans="1:27">
      <c r="A7" t="s">
        <v>79</v>
      </c>
      <c r="B7">
        <v>1002</v>
      </c>
      <c r="C7">
        <v>0</v>
      </c>
      <c r="D7" t="s">
        <v>70</v>
      </c>
      <c r="E7" t="s">
        <v>71</v>
      </c>
      <c r="F7" t="s">
        <v>72</v>
      </c>
      <c r="G7" t="s">
        <v>73</v>
      </c>
      <c r="H7" t="s">
        <v>74</v>
      </c>
      <c r="I7" s="206" t="s">
        <v>75</v>
      </c>
      <c r="J7" s="206"/>
      <c r="K7" t="s">
        <v>80</v>
      </c>
      <c r="L7">
        <v>0</v>
      </c>
      <c r="M7">
        <v>100001</v>
      </c>
      <c r="N7">
        <v>200</v>
      </c>
      <c r="O7">
        <v>1800</v>
      </c>
      <c r="P7">
        <v>302001</v>
      </c>
      <c r="Q7" s="1">
        <v>309064</v>
      </c>
      <c r="R7">
        <v>1002</v>
      </c>
      <c r="S7" s="242">
        <v>2002</v>
      </c>
      <c r="T7" s="137">
        <v>10101</v>
      </c>
      <c r="U7">
        <v>10102</v>
      </c>
      <c r="V7" s="243">
        <v>10403</v>
      </c>
      <c r="W7">
        <v>1000</v>
      </c>
      <c r="X7">
        <v>0</v>
      </c>
      <c r="Y7">
        <v>0</v>
      </c>
      <c r="AA7" t="s">
        <v>79</v>
      </c>
    </row>
    <row r="8" spans="1:27">
      <c r="A8" t="s">
        <v>81</v>
      </c>
      <c r="B8">
        <v>1003</v>
      </c>
      <c r="C8">
        <v>0</v>
      </c>
      <c r="D8" t="s">
        <v>70</v>
      </c>
      <c r="E8" t="s">
        <v>78</v>
      </c>
      <c r="F8" t="s">
        <v>72</v>
      </c>
      <c r="G8" t="s">
        <v>73</v>
      </c>
      <c r="H8" t="s">
        <v>74</v>
      </c>
      <c r="I8" s="206" t="s">
        <v>75</v>
      </c>
      <c r="J8" s="206"/>
      <c r="K8" t="s">
        <v>80</v>
      </c>
      <c r="L8">
        <v>0</v>
      </c>
      <c r="M8">
        <v>100001</v>
      </c>
      <c r="N8">
        <v>200</v>
      </c>
      <c r="O8">
        <v>1800</v>
      </c>
      <c r="P8">
        <v>302001</v>
      </c>
      <c r="Q8" s="1">
        <v>309064</v>
      </c>
      <c r="R8">
        <v>1002</v>
      </c>
      <c r="S8" s="242">
        <v>2002</v>
      </c>
      <c r="T8" s="137">
        <v>10101</v>
      </c>
      <c r="U8">
        <v>10102</v>
      </c>
      <c r="V8" s="243">
        <v>10403</v>
      </c>
      <c r="W8">
        <v>1001</v>
      </c>
      <c r="X8">
        <v>1</v>
      </c>
      <c r="Y8">
        <v>0</v>
      </c>
      <c r="AA8" t="s">
        <v>81</v>
      </c>
    </row>
    <row r="9" spans="1:27">
      <c r="A9" t="s">
        <v>82</v>
      </c>
      <c r="B9">
        <v>1004</v>
      </c>
      <c r="C9">
        <v>1</v>
      </c>
      <c r="D9" t="s">
        <v>70</v>
      </c>
      <c r="E9" t="s">
        <v>71</v>
      </c>
      <c r="F9" t="s">
        <v>72</v>
      </c>
      <c r="G9" t="s">
        <v>73</v>
      </c>
      <c r="H9" t="s">
        <v>74</v>
      </c>
      <c r="I9" s="206" t="s">
        <v>75</v>
      </c>
      <c r="J9" s="206"/>
      <c r="K9" t="s">
        <v>76</v>
      </c>
      <c r="L9">
        <v>0</v>
      </c>
      <c r="M9">
        <v>100001</v>
      </c>
      <c r="N9">
        <v>200</v>
      </c>
      <c r="O9">
        <v>1800</v>
      </c>
      <c r="P9">
        <v>302001</v>
      </c>
      <c r="Q9" s="1">
        <v>309064</v>
      </c>
      <c r="R9">
        <v>1101</v>
      </c>
      <c r="S9" s="242">
        <v>2101</v>
      </c>
      <c r="T9" s="137">
        <v>10101</v>
      </c>
      <c r="U9">
        <v>10102</v>
      </c>
      <c r="V9" s="243">
        <v>10151</v>
      </c>
      <c r="W9">
        <v>1000</v>
      </c>
      <c r="X9">
        <v>0</v>
      </c>
      <c r="Y9">
        <v>9</v>
      </c>
      <c r="AA9" t="s">
        <v>82</v>
      </c>
    </row>
    <row r="10" spans="1:27">
      <c r="A10" t="s">
        <v>83</v>
      </c>
      <c r="B10">
        <v>1005</v>
      </c>
      <c r="C10">
        <v>1</v>
      </c>
      <c r="D10" t="s">
        <v>70</v>
      </c>
      <c r="E10" t="s">
        <v>78</v>
      </c>
      <c r="F10" t="s">
        <v>72</v>
      </c>
      <c r="G10" t="s">
        <v>73</v>
      </c>
      <c r="H10" t="s">
        <v>74</v>
      </c>
      <c r="I10" s="206" t="s">
        <v>75</v>
      </c>
      <c r="J10" s="206"/>
      <c r="K10" t="s">
        <v>76</v>
      </c>
      <c r="L10">
        <v>0</v>
      </c>
      <c r="M10">
        <v>100001</v>
      </c>
      <c r="N10">
        <v>200</v>
      </c>
      <c r="O10">
        <v>1800</v>
      </c>
      <c r="P10">
        <v>302001</v>
      </c>
      <c r="Q10" s="1">
        <v>309064</v>
      </c>
      <c r="R10">
        <v>1101</v>
      </c>
      <c r="S10" s="242">
        <v>2101</v>
      </c>
      <c r="T10" s="137">
        <v>10101</v>
      </c>
      <c r="U10">
        <v>10102</v>
      </c>
      <c r="V10" s="243">
        <v>10151</v>
      </c>
      <c r="W10">
        <v>1001</v>
      </c>
      <c r="X10">
        <v>1</v>
      </c>
      <c r="Y10">
        <v>9</v>
      </c>
      <c r="AA10" t="s">
        <v>83</v>
      </c>
    </row>
    <row r="11" spans="1:27">
      <c r="A11" t="s">
        <v>84</v>
      </c>
      <c r="B11">
        <v>1006</v>
      </c>
      <c r="C11">
        <v>1</v>
      </c>
      <c r="D11" t="s">
        <v>70</v>
      </c>
      <c r="E11" t="s">
        <v>71</v>
      </c>
      <c r="F11" t="s">
        <v>72</v>
      </c>
      <c r="G11" t="s">
        <v>73</v>
      </c>
      <c r="H11" t="s">
        <v>74</v>
      </c>
      <c r="I11" s="206" t="s">
        <v>75</v>
      </c>
      <c r="J11" s="206"/>
      <c r="K11" t="s">
        <v>80</v>
      </c>
      <c r="L11">
        <v>0</v>
      </c>
      <c r="M11">
        <v>100001</v>
      </c>
      <c r="N11">
        <v>200</v>
      </c>
      <c r="O11">
        <v>1800</v>
      </c>
      <c r="P11">
        <v>302001</v>
      </c>
      <c r="Q11" s="1">
        <v>309064</v>
      </c>
      <c r="R11">
        <v>1102</v>
      </c>
      <c r="S11" s="242">
        <v>2102</v>
      </c>
      <c r="T11" s="137">
        <v>10101</v>
      </c>
      <c r="U11">
        <v>10102</v>
      </c>
      <c r="V11" s="243">
        <v>10451</v>
      </c>
      <c r="W11">
        <v>1000</v>
      </c>
      <c r="X11">
        <v>0</v>
      </c>
      <c r="Y11">
        <v>8</v>
      </c>
      <c r="AA11" t="s">
        <v>84</v>
      </c>
    </row>
    <row r="12" spans="1:27">
      <c r="A12" t="s">
        <v>85</v>
      </c>
      <c r="B12">
        <v>1007</v>
      </c>
      <c r="C12">
        <v>1</v>
      </c>
      <c r="D12" t="s">
        <v>70</v>
      </c>
      <c r="E12" t="s">
        <v>78</v>
      </c>
      <c r="F12" t="s">
        <v>72</v>
      </c>
      <c r="G12" t="s">
        <v>73</v>
      </c>
      <c r="H12" t="s">
        <v>74</v>
      </c>
      <c r="I12" s="206" t="s">
        <v>75</v>
      </c>
      <c r="J12" s="206"/>
      <c r="K12" t="s">
        <v>80</v>
      </c>
      <c r="L12">
        <v>0</v>
      </c>
      <c r="M12">
        <v>100001</v>
      </c>
      <c r="N12">
        <v>200</v>
      </c>
      <c r="O12">
        <v>1800</v>
      </c>
      <c r="P12">
        <v>302001</v>
      </c>
      <c r="Q12" s="1">
        <v>309064</v>
      </c>
      <c r="R12">
        <v>1102</v>
      </c>
      <c r="S12" s="242">
        <v>2102</v>
      </c>
      <c r="T12" s="137">
        <v>10101</v>
      </c>
      <c r="U12">
        <v>10102</v>
      </c>
      <c r="V12" s="243">
        <v>10451</v>
      </c>
      <c r="W12">
        <v>1001</v>
      </c>
      <c r="X12">
        <v>1</v>
      </c>
      <c r="Y12">
        <v>8</v>
      </c>
      <c r="AA12" t="s">
        <v>85</v>
      </c>
    </row>
    <row r="13" spans="1:27">
      <c r="A13" t="s">
        <v>86</v>
      </c>
      <c r="B13">
        <v>1008</v>
      </c>
      <c r="C13">
        <v>1</v>
      </c>
      <c r="D13" t="s">
        <v>70</v>
      </c>
      <c r="E13" t="s">
        <v>71</v>
      </c>
      <c r="F13" t="s">
        <v>72</v>
      </c>
      <c r="G13" t="s">
        <v>73</v>
      </c>
      <c r="H13" t="s">
        <v>74</v>
      </c>
      <c r="I13" s="206" t="s">
        <v>75</v>
      </c>
      <c r="J13" s="206"/>
      <c r="K13" t="s">
        <v>76</v>
      </c>
      <c r="L13">
        <v>0</v>
      </c>
      <c r="M13">
        <v>100001</v>
      </c>
      <c r="N13">
        <v>200</v>
      </c>
      <c r="O13">
        <v>1800</v>
      </c>
      <c r="P13">
        <v>302001</v>
      </c>
      <c r="Q13" s="1">
        <v>309064</v>
      </c>
      <c r="R13">
        <v>1103</v>
      </c>
      <c r="S13" s="242">
        <v>2103</v>
      </c>
      <c r="T13" s="137">
        <v>10101</v>
      </c>
      <c r="U13">
        <v>10102</v>
      </c>
      <c r="V13" s="243">
        <v>10151</v>
      </c>
      <c r="W13">
        <v>1000</v>
      </c>
      <c r="X13">
        <v>0</v>
      </c>
      <c r="Y13">
        <v>7</v>
      </c>
      <c r="AA13" t="s">
        <v>86</v>
      </c>
    </row>
    <row r="14" spans="1:27">
      <c r="A14" t="s">
        <v>87</v>
      </c>
      <c r="B14">
        <v>1009</v>
      </c>
      <c r="C14">
        <v>1</v>
      </c>
      <c r="D14" t="s">
        <v>70</v>
      </c>
      <c r="E14" t="s">
        <v>78</v>
      </c>
      <c r="F14" t="s">
        <v>72</v>
      </c>
      <c r="G14" t="s">
        <v>73</v>
      </c>
      <c r="H14" t="s">
        <v>74</v>
      </c>
      <c r="I14" s="206" t="s">
        <v>75</v>
      </c>
      <c r="J14" s="206"/>
      <c r="K14" t="s">
        <v>76</v>
      </c>
      <c r="L14">
        <v>0</v>
      </c>
      <c r="M14">
        <v>100001</v>
      </c>
      <c r="N14">
        <v>200</v>
      </c>
      <c r="O14">
        <v>1800</v>
      </c>
      <c r="P14">
        <v>302001</v>
      </c>
      <c r="Q14" s="1">
        <v>309064</v>
      </c>
      <c r="R14">
        <v>1103</v>
      </c>
      <c r="S14" s="242">
        <v>2103</v>
      </c>
      <c r="T14" s="137">
        <v>10101</v>
      </c>
      <c r="U14">
        <v>10102</v>
      </c>
      <c r="V14" s="243">
        <v>10151</v>
      </c>
      <c r="W14">
        <v>1001</v>
      </c>
      <c r="X14">
        <v>1</v>
      </c>
      <c r="Y14">
        <v>7</v>
      </c>
      <c r="AA14" t="s">
        <v>87</v>
      </c>
    </row>
    <row r="15" spans="1:27">
      <c r="A15" t="s">
        <v>88</v>
      </c>
      <c r="B15">
        <v>1010</v>
      </c>
      <c r="C15">
        <v>1</v>
      </c>
      <c r="D15" t="s">
        <v>70</v>
      </c>
      <c r="E15" t="s">
        <v>71</v>
      </c>
      <c r="F15" t="s">
        <v>72</v>
      </c>
      <c r="G15" t="s">
        <v>73</v>
      </c>
      <c r="H15" t="s">
        <v>74</v>
      </c>
      <c r="I15" s="206" t="s">
        <v>75</v>
      </c>
      <c r="J15" s="206"/>
      <c r="K15" t="s">
        <v>80</v>
      </c>
      <c r="L15">
        <v>0</v>
      </c>
      <c r="M15">
        <v>100001</v>
      </c>
      <c r="N15">
        <v>200</v>
      </c>
      <c r="O15">
        <v>1800</v>
      </c>
      <c r="P15">
        <v>302001</v>
      </c>
      <c r="Q15" s="1">
        <v>309064</v>
      </c>
      <c r="R15">
        <v>1104</v>
      </c>
      <c r="S15" s="242">
        <v>2104</v>
      </c>
      <c r="T15" s="137">
        <v>10101</v>
      </c>
      <c r="U15">
        <v>10102</v>
      </c>
      <c r="V15" s="243">
        <v>10451</v>
      </c>
      <c r="W15">
        <v>1000</v>
      </c>
      <c r="X15">
        <v>0</v>
      </c>
      <c r="Y15">
        <v>5</v>
      </c>
      <c r="AA15" t="s">
        <v>88</v>
      </c>
    </row>
    <row r="16" spans="1:27">
      <c r="A16" t="s">
        <v>89</v>
      </c>
      <c r="B16">
        <v>1011</v>
      </c>
      <c r="C16">
        <v>1</v>
      </c>
      <c r="D16" t="s">
        <v>70</v>
      </c>
      <c r="E16" t="s">
        <v>78</v>
      </c>
      <c r="F16" t="s">
        <v>72</v>
      </c>
      <c r="G16" t="s">
        <v>73</v>
      </c>
      <c r="H16" t="s">
        <v>74</v>
      </c>
      <c r="I16" s="206" t="s">
        <v>75</v>
      </c>
      <c r="J16" s="206"/>
      <c r="K16" t="s">
        <v>80</v>
      </c>
      <c r="L16">
        <v>0</v>
      </c>
      <c r="M16">
        <v>100001</v>
      </c>
      <c r="N16">
        <v>200</v>
      </c>
      <c r="O16">
        <v>1800</v>
      </c>
      <c r="P16">
        <v>302001</v>
      </c>
      <c r="Q16" s="1">
        <v>309064</v>
      </c>
      <c r="R16">
        <v>1104</v>
      </c>
      <c r="S16" s="242">
        <v>2104</v>
      </c>
      <c r="T16" s="137">
        <v>10101</v>
      </c>
      <c r="U16">
        <v>10102</v>
      </c>
      <c r="V16" s="243">
        <v>10451</v>
      </c>
      <c r="W16">
        <v>1001</v>
      </c>
      <c r="X16">
        <v>1</v>
      </c>
      <c r="Y16">
        <v>5</v>
      </c>
      <c r="AA16" t="s">
        <v>89</v>
      </c>
    </row>
    <row r="17" spans="1:27">
      <c r="A17" s="266" t="s">
        <v>1970</v>
      </c>
      <c r="B17" s="246">
        <v>1012</v>
      </c>
      <c r="C17">
        <v>1</v>
      </c>
      <c r="D17" t="s">
        <v>70</v>
      </c>
      <c r="E17" t="s">
        <v>71</v>
      </c>
      <c r="F17" t="s">
        <v>72</v>
      </c>
      <c r="G17" t="s">
        <v>73</v>
      </c>
      <c r="H17" t="s">
        <v>74</v>
      </c>
      <c r="I17" s="206" t="s">
        <v>75</v>
      </c>
      <c r="J17" s="206"/>
      <c r="K17" t="s">
        <v>76</v>
      </c>
      <c r="L17">
        <v>0</v>
      </c>
      <c r="M17">
        <v>100001</v>
      </c>
      <c r="N17">
        <v>200</v>
      </c>
      <c r="O17">
        <v>1800</v>
      </c>
      <c r="P17">
        <v>302001</v>
      </c>
      <c r="Q17" s="1">
        <v>309064</v>
      </c>
      <c r="R17" s="152">
        <v>1105</v>
      </c>
      <c r="S17" s="273">
        <v>2105</v>
      </c>
      <c r="T17" s="137">
        <v>10101</v>
      </c>
      <c r="U17">
        <v>10102</v>
      </c>
      <c r="V17" s="243">
        <v>10151</v>
      </c>
      <c r="W17">
        <v>1000</v>
      </c>
      <c r="X17">
        <v>0</v>
      </c>
      <c r="Y17">
        <v>6</v>
      </c>
      <c r="AA17" s="9" t="s">
        <v>1970</v>
      </c>
    </row>
    <row r="18" spans="1:27">
      <c r="A18" s="266" t="s">
        <v>1971</v>
      </c>
      <c r="B18" s="246">
        <v>1013</v>
      </c>
      <c r="C18">
        <v>1</v>
      </c>
      <c r="D18" t="s">
        <v>70</v>
      </c>
      <c r="E18" t="s">
        <v>78</v>
      </c>
      <c r="F18" t="s">
        <v>72</v>
      </c>
      <c r="G18" t="s">
        <v>73</v>
      </c>
      <c r="H18" t="s">
        <v>74</v>
      </c>
      <c r="I18" s="206" t="s">
        <v>75</v>
      </c>
      <c r="J18" s="206"/>
      <c r="K18" t="s">
        <v>76</v>
      </c>
      <c r="L18">
        <v>0</v>
      </c>
      <c r="M18">
        <v>100001</v>
      </c>
      <c r="N18">
        <v>200</v>
      </c>
      <c r="O18">
        <v>1800</v>
      </c>
      <c r="P18">
        <v>302001</v>
      </c>
      <c r="Q18" s="1">
        <v>309064</v>
      </c>
      <c r="R18" s="152">
        <v>1105</v>
      </c>
      <c r="S18" s="273">
        <v>2105</v>
      </c>
      <c r="T18" s="137">
        <v>10101</v>
      </c>
      <c r="U18">
        <v>10102</v>
      </c>
      <c r="V18" s="243">
        <v>10151</v>
      </c>
      <c r="W18">
        <v>1001</v>
      </c>
      <c r="X18">
        <v>1</v>
      </c>
      <c r="Y18">
        <v>6</v>
      </c>
      <c r="AA18" s="9" t="s">
        <v>1971</v>
      </c>
    </row>
    <row r="19" spans="1:27">
      <c r="A19" s="266" t="s">
        <v>1972</v>
      </c>
      <c r="B19" s="246">
        <v>1014</v>
      </c>
      <c r="C19">
        <v>1</v>
      </c>
      <c r="D19" t="s">
        <v>70</v>
      </c>
      <c r="E19" t="s">
        <v>71</v>
      </c>
      <c r="F19" t="s">
        <v>72</v>
      </c>
      <c r="G19" t="s">
        <v>73</v>
      </c>
      <c r="H19" t="s">
        <v>74</v>
      </c>
      <c r="I19" s="206" t="s">
        <v>75</v>
      </c>
      <c r="J19" s="206"/>
      <c r="K19" t="s">
        <v>80</v>
      </c>
      <c r="L19">
        <v>0</v>
      </c>
      <c r="M19">
        <v>100001</v>
      </c>
      <c r="N19">
        <v>200</v>
      </c>
      <c r="O19">
        <v>1800</v>
      </c>
      <c r="P19">
        <v>302001</v>
      </c>
      <c r="Q19" s="1">
        <v>309064</v>
      </c>
      <c r="R19" s="152">
        <v>1106</v>
      </c>
      <c r="S19" s="273">
        <v>2106</v>
      </c>
      <c r="T19" s="137">
        <v>10101</v>
      </c>
      <c r="U19">
        <v>10102</v>
      </c>
      <c r="V19" s="243">
        <v>10451</v>
      </c>
      <c r="W19">
        <v>1000</v>
      </c>
      <c r="X19">
        <v>0</v>
      </c>
      <c r="Y19">
        <v>4</v>
      </c>
      <c r="AA19" s="9" t="s">
        <v>1972</v>
      </c>
    </row>
    <row r="20" spans="1:27">
      <c r="A20" s="266" t="s">
        <v>1973</v>
      </c>
      <c r="B20" s="246">
        <v>1015</v>
      </c>
      <c r="C20">
        <v>1</v>
      </c>
      <c r="D20" t="s">
        <v>70</v>
      </c>
      <c r="E20" t="s">
        <v>78</v>
      </c>
      <c r="F20" t="s">
        <v>72</v>
      </c>
      <c r="G20" t="s">
        <v>73</v>
      </c>
      <c r="H20" t="s">
        <v>74</v>
      </c>
      <c r="I20" s="206" t="s">
        <v>75</v>
      </c>
      <c r="J20" s="206"/>
      <c r="K20" t="s">
        <v>80</v>
      </c>
      <c r="L20">
        <v>0</v>
      </c>
      <c r="M20">
        <v>100001</v>
      </c>
      <c r="N20">
        <v>200</v>
      </c>
      <c r="O20">
        <v>1800</v>
      </c>
      <c r="P20">
        <v>302001</v>
      </c>
      <c r="Q20" s="1">
        <v>309064</v>
      </c>
      <c r="R20" s="152">
        <v>1106</v>
      </c>
      <c r="S20" s="273">
        <v>2106</v>
      </c>
      <c r="T20" s="137">
        <v>10101</v>
      </c>
      <c r="U20">
        <v>10102</v>
      </c>
      <c r="V20" s="243">
        <v>10451</v>
      </c>
      <c r="W20">
        <v>1001</v>
      </c>
      <c r="X20">
        <v>1</v>
      </c>
      <c r="Y20">
        <v>4</v>
      </c>
      <c r="AA20" s="9" t="s">
        <v>1973</v>
      </c>
    </row>
    <row r="21" spans="1:27">
      <c r="A21" s="217" t="s">
        <v>2052</v>
      </c>
      <c r="B21" s="216">
        <v>1016</v>
      </c>
      <c r="C21">
        <v>1</v>
      </c>
      <c r="D21" t="s">
        <v>70</v>
      </c>
      <c r="E21" t="s">
        <v>71</v>
      </c>
      <c r="F21" t="s">
        <v>72</v>
      </c>
      <c r="G21" t="s">
        <v>73</v>
      </c>
      <c r="H21" t="s">
        <v>74</v>
      </c>
      <c r="I21" s="206" t="s">
        <v>75</v>
      </c>
      <c r="J21" s="206"/>
      <c r="K21" t="s">
        <v>76</v>
      </c>
      <c r="L21">
        <v>0</v>
      </c>
      <c r="M21">
        <v>100001</v>
      </c>
      <c r="N21">
        <v>200</v>
      </c>
      <c r="O21">
        <v>1800</v>
      </c>
      <c r="P21">
        <v>302001</v>
      </c>
      <c r="Q21" s="1">
        <v>309064</v>
      </c>
      <c r="R21" s="118">
        <v>1107</v>
      </c>
      <c r="S21" s="267">
        <v>2107</v>
      </c>
      <c r="T21" s="137">
        <v>10101</v>
      </c>
      <c r="U21">
        <v>10102</v>
      </c>
      <c r="V21" s="243">
        <v>10151</v>
      </c>
      <c r="W21">
        <v>1000</v>
      </c>
      <c r="X21">
        <v>0</v>
      </c>
      <c r="Y21">
        <v>3</v>
      </c>
      <c r="AA21" s="9" t="s">
        <v>1970</v>
      </c>
    </row>
    <row r="22" spans="1:27">
      <c r="A22" s="217" t="s">
        <v>2053</v>
      </c>
      <c r="B22" s="216">
        <v>1017</v>
      </c>
      <c r="C22">
        <v>1</v>
      </c>
      <c r="D22" t="s">
        <v>70</v>
      </c>
      <c r="E22" t="s">
        <v>78</v>
      </c>
      <c r="F22" t="s">
        <v>72</v>
      </c>
      <c r="G22" t="s">
        <v>73</v>
      </c>
      <c r="H22" t="s">
        <v>74</v>
      </c>
      <c r="I22" s="206" t="s">
        <v>75</v>
      </c>
      <c r="J22" s="206"/>
      <c r="K22" t="s">
        <v>76</v>
      </c>
      <c r="L22">
        <v>0</v>
      </c>
      <c r="M22">
        <v>100001</v>
      </c>
      <c r="N22">
        <v>200</v>
      </c>
      <c r="O22">
        <v>1800</v>
      </c>
      <c r="P22">
        <v>302001</v>
      </c>
      <c r="Q22" s="1">
        <v>309064</v>
      </c>
      <c r="R22" s="118">
        <v>1107</v>
      </c>
      <c r="S22" s="267">
        <v>2107</v>
      </c>
      <c r="T22" s="137">
        <v>10101</v>
      </c>
      <c r="U22">
        <v>10102</v>
      </c>
      <c r="V22" s="243">
        <v>10151</v>
      </c>
      <c r="W22">
        <v>1001</v>
      </c>
      <c r="X22">
        <v>1</v>
      </c>
      <c r="Y22">
        <v>3</v>
      </c>
      <c r="AA22" s="9" t="s">
        <v>1971</v>
      </c>
    </row>
    <row r="23" spans="1:27">
      <c r="A23" s="217" t="s">
        <v>2054</v>
      </c>
      <c r="B23" s="216">
        <v>1018</v>
      </c>
      <c r="C23">
        <v>1</v>
      </c>
      <c r="D23" t="s">
        <v>70</v>
      </c>
      <c r="E23" t="s">
        <v>71</v>
      </c>
      <c r="F23" t="s">
        <v>72</v>
      </c>
      <c r="G23" t="s">
        <v>73</v>
      </c>
      <c r="H23" t="s">
        <v>74</v>
      </c>
      <c r="I23" s="206" t="s">
        <v>75</v>
      </c>
      <c r="J23" s="206"/>
      <c r="K23" t="s">
        <v>80</v>
      </c>
      <c r="L23">
        <v>0</v>
      </c>
      <c r="M23">
        <v>100001</v>
      </c>
      <c r="N23">
        <v>200</v>
      </c>
      <c r="O23">
        <v>1800</v>
      </c>
      <c r="P23">
        <v>302001</v>
      </c>
      <c r="Q23" s="1">
        <v>309064</v>
      </c>
      <c r="R23" s="118">
        <v>1108</v>
      </c>
      <c r="S23" s="267">
        <v>2108</v>
      </c>
      <c r="T23" s="137">
        <v>10101</v>
      </c>
      <c r="U23">
        <v>10102</v>
      </c>
      <c r="V23" s="243">
        <v>10451</v>
      </c>
      <c r="W23">
        <v>1000</v>
      </c>
      <c r="X23">
        <v>0</v>
      </c>
      <c r="Y23">
        <v>2</v>
      </c>
      <c r="AA23" s="9" t="s">
        <v>1972</v>
      </c>
    </row>
    <row r="24" spans="1:27">
      <c r="A24" s="217" t="s">
        <v>2055</v>
      </c>
      <c r="B24" s="216">
        <v>1019</v>
      </c>
      <c r="C24">
        <v>1</v>
      </c>
      <c r="D24" t="s">
        <v>70</v>
      </c>
      <c r="E24" t="s">
        <v>78</v>
      </c>
      <c r="F24" t="s">
        <v>72</v>
      </c>
      <c r="G24" t="s">
        <v>73</v>
      </c>
      <c r="H24" t="s">
        <v>74</v>
      </c>
      <c r="I24" s="206" t="s">
        <v>75</v>
      </c>
      <c r="J24" s="206"/>
      <c r="K24" t="s">
        <v>80</v>
      </c>
      <c r="L24">
        <v>0</v>
      </c>
      <c r="M24">
        <v>100001</v>
      </c>
      <c r="N24">
        <v>200</v>
      </c>
      <c r="O24">
        <v>1800</v>
      </c>
      <c r="P24">
        <v>302001</v>
      </c>
      <c r="Q24" s="1">
        <v>309064</v>
      </c>
      <c r="R24" s="118">
        <v>1108</v>
      </c>
      <c r="S24" s="267">
        <v>2108</v>
      </c>
      <c r="T24" s="137">
        <v>10101</v>
      </c>
      <c r="U24">
        <v>10102</v>
      </c>
      <c r="V24" s="243">
        <v>10451</v>
      </c>
      <c r="W24">
        <v>1001</v>
      </c>
      <c r="X24">
        <v>1</v>
      </c>
      <c r="Y24">
        <v>2</v>
      </c>
      <c r="AA24" s="9" t="s">
        <v>1973</v>
      </c>
    </row>
    <row r="25" spans="1:27">
      <c r="A25" s="9" t="s">
        <v>1893</v>
      </c>
      <c r="B25" s="126">
        <v>8000</v>
      </c>
      <c r="C25">
        <v>0</v>
      </c>
      <c r="D25" t="s">
        <v>70</v>
      </c>
      <c r="E25" t="s">
        <v>71</v>
      </c>
      <c r="F25" t="s">
        <v>72</v>
      </c>
      <c r="G25" t="s">
        <v>73</v>
      </c>
      <c r="H25" t="s">
        <v>74</v>
      </c>
      <c r="I25" s="206" t="s">
        <v>75</v>
      </c>
      <c r="J25" s="206"/>
      <c r="K25" t="s">
        <v>76</v>
      </c>
      <c r="L25">
        <v>0</v>
      </c>
      <c r="M25">
        <v>100001</v>
      </c>
      <c r="N25">
        <v>200</v>
      </c>
      <c r="O25">
        <v>1800</v>
      </c>
      <c r="P25">
        <v>302001</v>
      </c>
      <c r="Q25" s="1">
        <v>309064</v>
      </c>
      <c r="R25" s="126">
        <v>8001</v>
      </c>
      <c r="S25" s="126">
        <v>9001</v>
      </c>
      <c r="T25" s="137">
        <v>10101</v>
      </c>
      <c r="U25">
        <v>10102</v>
      </c>
      <c r="V25" s="243">
        <v>10103</v>
      </c>
      <c r="W25">
        <v>1000</v>
      </c>
      <c r="X25">
        <v>0</v>
      </c>
      <c r="Y25">
        <v>1</v>
      </c>
      <c r="AA25" t="s">
        <v>69</v>
      </c>
    </row>
    <row r="26" spans="1:27">
      <c r="A26" s="9" t="s">
        <v>1894</v>
      </c>
      <c r="B26" s="126">
        <v>8001</v>
      </c>
      <c r="C26">
        <v>0</v>
      </c>
      <c r="D26" t="s">
        <v>70</v>
      </c>
      <c r="E26" t="s">
        <v>78</v>
      </c>
      <c r="F26" t="s">
        <v>72</v>
      </c>
      <c r="G26" t="s">
        <v>73</v>
      </c>
      <c r="H26" t="s">
        <v>74</v>
      </c>
      <c r="I26" s="206" t="s">
        <v>75</v>
      </c>
      <c r="J26" s="206"/>
      <c r="K26" t="s">
        <v>76</v>
      </c>
      <c r="L26">
        <v>0</v>
      </c>
      <c r="M26">
        <v>100001</v>
      </c>
      <c r="N26">
        <v>200</v>
      </c>
      <c r="O26">
        <v>1800</v>
      </c>
      <c r="P26">
        <v>302001</v>
      </c>
      <c r="Q26" s="1">
        <v>309064</v>
      </c>
      <c r="R26" s="126">
        <v>8001</v>
      </c>
      <c r="S26" s="126">
        <v>9001</v>
      </c>
      <c r="T26" s="137">
        <v>10101</v>
      </c>
      <c r="U26">
        <v>10102</v>
      </c>
      <c r="V26" s="243">
        <v>10103</v>
      </c>
      <c r="W26">
        <v>1001</v>
      </c>
      <c r="X26">
        <v>1</v>
      </c>
      <c r="Y26">
        <v>1</v>
      </c>
      <c r="AA26" t="s">
        <v>77</v>
      </c>
    </row>
    <row r="27" spans="1:27">
      <c r="A27" s="9" t="s">
        <v>1895</v>
      </c>
      <c r="B27" s="126">
        <v>8002</v>
      </c>
      <c r="C27">
        <v>0</v>
      </c>
      <c r="D27" t="s">
        <v>70</v>
      </c>
      <c r="E27" t="s">
        <v>71</v>
      </c>
      <c r="F27" t="s">
        <v>72</v>
      </c>
      <c r="G27" t="s">
        <v>73</v>
      </c>
      <c r="H27" t="s">
        <v>74</v>
      </c>
      <c r="I27" s="206" t="s">
        <v>75</v>
      </c>
      <c r="J27" s="206"/>
      <c r="K27" t="s">
        <v>80</v>
      </c>
      <c r="L27">
        <v>0</v>
      </c>
      <c r="M27">
        <v>100001</v>
      </c>
      <c r="N27">
        <v>200</v>
      </c>
      <c r="O27">
        <v>1800</v>
      </c>
      <c r="P27">
        <v>302001</v>
      </c>
      <c r="Q27" s="1">
        <v>309064</v>
      </c>
      <c r="R27" s="126">
        <v>8002</v>
      </c>
      <c r="S27" s="126">
        <v>9002</v>
      </c>
      <c r="T27" s="137">
        <v>10101</v>
      </c>
      <c r="U27">
        <v>10102</v>
      </c>
      <c r="V27" s="243">
        <v>10403</v>
      </c>
      <c r="W27">
        <v>1000</v>
      </c>
      <c r="X27">
        <v>0</v>
      </c>
      <c r="Y27">
        <v>0</v>
      </c>
      <c r="AA27" t="s">
        <v>79</v>
      </c>
    </row>
    <row r="28" spans="1:27">
      <c r="A28" s="9" t="s">
        <v>1896</v>
      </c>
      <c r="B28" s="126">
        <v>8003</v>
      </c>
      <c r="C28">
        <v>0</v>
      </c>
      <c r="D28" t="s">
        <v>70</v>
      </c>
      <c r="E28" t="s">
        <v>78</v>
      </c>
      <c r="F28" t="s">
        <v>72</v>
      </c>
      <c r="G28" t="s">
        <v>73</v>
      </c>
      <c r="H28" t="s">
        <v>74</v>
      </c>
      <c r="I28" s="206" t="s">
        <v>75</v>
      </c>
      <c r="J28" s="206"/>
      <c r="K28" t="s">
        <v>80</v>
      </c>
      <c r="L28">
        <v>0</v>
      </c>
      <c r="M28">
        <v>100001</v>
      </c>
      <c r="N28">
        <v>200</v>
      </c>
      <c r="O28">
        <v>1800</v>
      </c>
      <c r="P28">
        <v>302001</v>
      </c>
      <c r="Q28" s="1">
        <v>309064</v>
      </c>
      <c r="R28" s="126">
        <v>8002</v>
      </c>
      <c r="S28" s="126">
        <v>9002</v>
      </c>
      <c r="T28" s="137">
        <v>10101</v>
      </c>
      <c r="U28">
        <v>10102</v>
      </c>
      <c r="V28" s="243">
        <v>10403</v>
      </c>
      <c r="W28">
        <v>1001</v>
      </c>
      <c r="X28">
        <v>1</v>
      </c>
      <c r="Y28">
        <v>0</v>
      </c>
      <c r="AA28" t="s">
        <v>81</v>
      </c>
    </row>
  </sheetData>
  <phoneticPr fontId="4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945"/>
  <sheetViews>
    <sheetView workbookViewId="0">
      <pane ySplit="2" topLeftCell="A926" activePane="bottomLeft" state="frozen"/>
      <selection activeCell="C1" sqref="C1"/>
      <selection pane="bottomLeft" activeCell="I940" sqref="I940:I943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21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21" t="s">
        <v>90</v>
      </c>
      <c r="E1" t="s">
        <v>31</v>
      </c>
      <c r="F1" t="s">
        <v>91</v>
      </c>
      <c r="G1" t="s">
        <v>32</v>
      </c>
      <c r="H1" t="s">
        <v>33</v>
      </c>
      <c r="I1" t="s">
        <v>92</v>
      </c>
      <c r="J1" t="s">
        <v>40</v>
      </c>
      <c r="K1" t="s">
        <v>93</v>
      </c>
      <c r="L1" t="s">
        <v>94</v>
      </c>
      <c r="M1" s="9" t="s">
        <v>1950</v>
      </c>
      <c r="N1" s="9" t="s">
        <v>1930</v>
      </c>
      <c r="O1" t="s">
        <v>48</v>
      </c>
    </row>
    <row r="2" spans="1:23">
      <c r="A2" t="s">
        <v>49</v>
      </c>
      <c r="C2" t="s">
        <v>95</v>
      </c>
      <c r="D2" s="321" t="s">
        <v>96</v>
      </c>
      <c r="E2" t="s">
        <v>97</v>
      </c>
      <c r="I2" t="s">
        <v>98</v>
      </c>
      <c r="J2" t="s">
        <v>99</v>
      </c>
      <c r="K2" t="s">
        <v>100</v>
      </c>
      <c r="L2" t="s">
        <v>101</v>
      </c>
      <c r="M2" s="9" t="s">
        <v>1951</v>
      </c>
      <c r="N2" s="9" t="s">
        <v>1931</v>
      </c>
      <c r="O2" t="s">
        <v>102</v>
      </c>
    </row>
    <row r="3" spans="1:23">
      <c r="A3" t="s">
        <v>64</v>
      </c>
      <c r="B3" t="s">
        <v>65</v>
      </c>
      <c r="C3" t="s">
        <v>65</v>
      </c>
      <c r="D3" s="321" t="s">
        <v>66</v>
      </c>
      <c r="E3" t="s">
        <v>66</v>
      </c>
      <c r="F3" t="s">
        <v>66</v>
      </c>
      <c r="G3" t="s">
        <v>66</v>
      </c>
      <c r="H3" t="s">
        <v>66</v>
      </c>
      <c r="I3" t="s">
        <v>65</v>
      </c>
      <c r="J3" t="s">
        <v>65</v>
      </c>
      <c r="K3" t="s">
        <v>65</v>
      </c>
      <c r="L3" t="s">
        <v>65</v>
      </c>
      <c r="M3" t="s">
        <v>66</v>
      </c>
      <c r="N3" t="s">
        <v>65</v>
      </c>
      <c r="O3" t="s">
        <v>65</v>
      </c>
    </row>
    <row r="4" spans="1:23">
      <c r="A4" t="s">
        <v>67</v>
      </c>
    </row>
    <row r="5" spans="1:23">
      <c r="B5">
        <v>1001</v>
      </c>
      <c r="C5">
        <v>1000</v>
      </c>
      <c r="D5" s="321" t="s">
        <v>103</v>
      </c>
      <c r="E5" s="8" t="s">
        <v>104</v>
      </c>
      <c r="F5" t="s">
        <v>105</v>
      </c>
      <c r="G5" s="112" t="s">
        <v>105</v>
      </c>
      <c r="H5" s="175" t="s">
        <v>106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21" t="s">
        <v>107</v>
      </c>
      <c r="E6" s="8" t="s">
        <v>108</v>
      </c>
      <c r="F6" t="s">
        <v>108</v>
      </c>
      <c r="G6" s="112" t="s">
        <v>108</v>
      </c>
      <c r="H6" s="175" t="s">
        <v>109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21" t="s">
        <v>110</v>
      </c>
      <c r="E7" s="8" t="s">
        <v>111</v>
      </c>
      <c r="F7" t="s">
        <v>111</v>
      </c>
      <c r="G7" s="112" t="s">
        <v>111</v>
      </c>
      <c r="H7" s="175" t="s">
        <v>112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21" t="s">
        <v>113</v>
      </c>
      <c r="E8" s="8" t="s">
        <v>114</v>
      </c>
      <c r="F8" t="s">
        <v>115</v>
      </c>
      <c r="G8" s="112" t="s">
        <v>115</v>
      </c>
      <c r="H8" s="175" t="s">
        <v>116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21" t="s">
        <v>117</v>
      </c>
      <c r="E9" s="8" t="s">
        <v>118</v>
      </c>
      <c r="F9" t="s">
        <v>118</v>
      </c>
      <c r="G9" s="112" t="s">
        <v>118</v>
      </c>
      <c r="H9" s="175" t="s">
        <v>119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21" t="s">
        <v>120</v>
      </c>
      <c r="E10" s="8" t="s">
        <v>121</v>
      </c>
      <c r="F10" t="s">
        <v>122</v>
      </c>
      <c r="G10" s="112" t="s">
        <v>121</v>
      </c>
      <c r="H10" s="175" t="s">
        <v>123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21" t="s">
        <v>124</v>
      </c>
      <c r="E11" s="8" t="s">
        <v>125</v>
      </c>
      <c r="F11" t="s">
        <v>126</v>
      </c>
      <c r="G11" t="s">
        <v>127</v>
      </c>
      <c r="H11" s="89" t="s">
        <v>128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1213</v>
      </c>
      <c r="V11" s="236">
        <v>1</v>
      </c>
      <c r="W11" s="245" t="s">
        <v>1828</v>
      </c>
    </row>
    <row r="12" spans="1:23">
      <c r="B12">
        <v>1008</v>
      </c>
      <c r="C12">
        <v>1000</v>
      </c>
      <c r="D12" s="321" t="s">
        <v>129</v>
      </c>
      <c r="E12" s="8" t="s">
        <v>130</v>
      </c>
      <c r="F12" t="s">
        <v>130</v>
      </c>
      <c r="G12" t="s">
        <v>131</v>
      </c>
      <c r="H12" s="89" t="s">
        <v>132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1217</v>
      </c>
      <c r="V12" s="236">
        <v>1</v>
      </c>
      <c r="W12" s="245" t="s">
        <v>1828</v>
      </c>
    </row>
    <row r="13" spans="1:23">
      <c r="B13">
        <v>1009</v>
      </c>
      <c r="C13">
        <v>1000</v>
      </c>
      <c r="D13" s="321" t="s">
        <v>133</v>
      </c>
      <c r="E13" s="8" t="s">
        <v>134</v>
      </c>
      <c r="F13" t="s">
        <v>134</v>
      </c>
      <c r="G13" t="s">
        <v>135</v>
      </c>
      <c r="H13" s="89" t="s">
        <v>136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1220</v>
      </c>
      <c r="V13" s="236">
        <v>1</v>
      </c>
      <c r="W13" s="245" t="s">
        <v>1828</v>
      </c>
    </row>
    <row r="14" spans="1:23">
      <c r="B14">
        <v>1010</v>
      </c>
      <c r="C14">
        <v>1000</v>
      </c>
      <c r="D14" s="321" t="s">
        <v>137</v>
      </c>
      <c r="E14" s="8" t="s">
        <v>138</v>
      </c>
      <c r="F14" t="s">
        <v>138</v>
      </c>
      <c r="G14" t="s">
        <v>139</v>
      </c>
      <c r="H14" s="89" t="s">
        <v>140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1277</v>
      </c>
      <c r="V14" s="236">
        <v>1</v>
      </c>
      <c r="W14" s="245" t="s">
        <v>1828</v>
      </c>
    </row>
    <row r="15" spans="1:23">
      <c r="B15">
        <v>1011</v>
      </c>
      <c r="C15">
        <v>1000</v>
      </c>
      <c r="D15" s="321" t="s">
        <v>141</v>
      </c>
      <c r="E15" s="8" t="s">
        <v>142</v>
      </c>
      <c r="F15" t="s">
        <v>143</v>
      </c>
      <c r="G15" t="s">
        <v>144</v>
      </c>
      <c r="H15" s="89" t="s">
        <v>145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222</v>
      </c>
      <c r="V15" s="236">
        <v>1</v>
      </c>
      <c r="W15" s="245" t="s">
        <v>1828</v>
      </c>
    </row>
    <row r="16" spans="1:23">
      <c r="B16">
        <v>1012</v>
      </c>
      <c r="C16">
        <v>1000</v>
      </c>
      <c r="D16" s="321" t="s">
        <v>146</v>
      </c>
      <c r="E16" s="8" t="s">
        <v>147</v>
      </c>
      <c r="F16" t="s">
        <v>147</v>
      </c>
      <c r="G16" t="s">
        <v>148</v>
      </c>
      <c r="H16" s="89" t="s">
        <v>149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227</v>
      </c>
      <c r="V16" s="236">
        <v>1</v>
      </c>
      <c r="W16" s="245" t="s">
        <v>1828</v>
      </c>
    </row>
    <row r="17" spans="2:23">
      <c r="B17">
        <v>1013</v>
      </c>
      <c r="C17">
        <v>1000</v>
      </c>
      <c r="D17" s="321" t="s">
        <v>150</v>
      </c>
      <c r="E17" s="8" t="s">
        <v>151</v>
      </c>
      <c r="F17" t="s">
        <v>152</v>
      </c>
      <c r="G17" t="s">
        <v>153</v>
      </c>
      <c r="H17" s="89" t="s">
        <v>154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232</v>
      </c>
      <c r="V17" s="236">
        <v>1</v>
      </c>
      <c r="W17" s="245" t="s">
        <v>1828</v>
      </c>
    </row>
    <row r="18" spans="2:23">
      <c r="B18">
        <v>1014</v>
      </c>
      <c r="C18">
        <v>1000</v>
      </c>
      <c r="D18" s="321" t="s">
        <v>155</v>
      </c>
      <c r="E18" s="8" t="s">
        <v>156</v>
      </c>
      <c r="F18" t="s">
        <v>157</v>
      </c>
      <c r="G18" t="s">
        <v>158</v>
      </c>
      <c r="H18" s="89" t="s">
        <v>159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1829</v>
      </c>
      <c r="V18" s="236">
        <v>1</v>
      </c>
      <c r="W18" s="245" t="s">
        <v>1828</v>
      </c>
    </row>
    <row r="19" spans="2:23">
      <c r="B19">
        <v>1015</v>
      </c>
      <c r="C19">
        <v>1000</v>
      </c>
      <c r="D19" s="321" t="s">
        <v>160</v>
      </c>
      <c r="E19" s="8" t="s">
        <v>161</v>
      </c>
      <c r="F19" t="s">
        <v>162</v>
      </c>
      <c r="G19" t="s">
        <v>163</v>
      </c>
      <c r="H19" s="89" t="s">
        <v>164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277</v>
      </c>
      <c r="V19" s="236">
        <v>1</v>
      </c>
      <c r="W19" s="245" t="s">
        <v>1828</v>
      </c>
    </row>
    <row r="20" spans="2:23">
      <c r="B20">
        <v>1016</v>
      </c>
      <c r="C20">
        <v>1000</v>
      </c>
      <c r="D20" s="321" t="s">
        <v>165</v>
      </c>
      <c r="E20" s="8" t="s">
        <v>166</v>
      </c>
      <c r="F20" t="s">
        <v>167</v>
      </c>
      <c r="G20" t="s">
        <v>168</v>
      </c>
      <c r="H20" s="89" t="s">
        <v>169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313</v>
      </c>
      <c r="V20" s="236">
        <v>1</v>
      </c>
      <c r="W20" s="245" t="s">
        <v>1828</v>
      </c>
    </row>
    <row r="21" spans="2:23">
      <c r="B21">
        <v>1017</v>
      </c>
      <c r="C21">
        <v>1000</v>
      </c>
      <c r="D21" s="321" t="s">
        <v>170</v>
      </c>
      <c r="E21" s="8" t="s">
        <v>171</v>
      </c>
      <c r="F21" t="s">
        <v>172</v>
      </c>
      <c r="G21" t="s">
        <v>173</v>
      </c>
      <c r="H21" s="89" t="s">
        <v>174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1223</v>
      </c>
      <c r="V21" s="246">
        <v>2</v>
      </c>
      <c r="W21" s="247" t="s">
        <v>1830</v>
      </c>
    </row>
    <row r="22" spans="2:23">
      <c r="B22">
        <v>1018</v>
      </c>
      <c r="C22">
        <v>1000</v>
      </c>
      <c r="D22" s="321" t="s">
        <v>175</v>
      </c>
      <c r="E22" s="8" t="s">
        <v>176</v>
      </c>
      <c r="F22" t="s">
        <v>177</v>
      </c>
      <c r="G22" t="s">
        <v>178</v>
      </c>
      <c r="H22" s="89" t="s">
        <v>179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1270</v>
      </c>
      <c r="V22" s="246">
        <v>2</v>
      </c>
      <c r="W22" s="247" t="s">
        <v>1830</v>
      </c>
    </row>
    <row r="23" spans="2:23">
      <c r="B23">
        <v>1019</v>
      </c>
      <c r="C23">
        <v>1000</v>
      </c>
      <c r="D23" s="321" t="s">
        <v>180</v>
      </c>
      <c r="E23" s="8" t="s">
        <v>181</v>
      </c>
      <c r="F23" t="s">
        <v>182</v>
      </c>
      <c r="G23" t="s">
        <v>183</v>
      </c>
      <c r="H23" s="89" t="s">
        <v>184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1273</v>
      </c>
      <c r="V23" s="246">
        <v>2</v>
      </c>
      <c r="W23" s="247" t="s">
        <v>1830</v>
      </c>
    </row>
    <row r="24" spans="2:23">
      <c r="B24">
        <v>1020</v>
      </c>
      <c r="C24">
        <v>1000</v>
      </c>
      <c r="D24" s="321" t="s">
        <v>185</v>
      </c>
      <c r="E24" s="8" t="s">
        <v>186</v>
      </c>
      <c r="F24" t="s">
        <v>187</v>
      </c>
      <c r="G24" t="s">
        <v>188</v>
      </c>
      <c r="H24" s="89" t="s">
        <v>189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213</v>
      </c>
      <c r="V24" s="246">
        <v>2</v>
      </c>
      <c r="W24" s="247" t="s">
        <v>1830</v>
      </c>
    </row>
    <row r="25" spans="2:23">
      <c r="B25">
        <v>1021</v>
      </c>
      <c r="C25">
        <v>1000</v>
      </c>
      <c r="D25" s="321" t="s">
        <v>190</v>
      </c>
      <c r="E25" s="8" t="s">
        <v>191</v>
      </c>
      <c r="F25" t="s">
        <v>192</v>
      </c>
      <c r="G25" t="s">
        <v>193</v>
      </c>
      <c r="H25" s="89" t="s">
        <v>194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217</v>
      </c>
      <c r="V25" s="246">
        <v>2</v>
      </c>
      <c r="W25" s="247" t="s">
        <v>1830</v>
      </c>
    </row>
    <row r="26" spans="2:23">
      <c r="B26">
        <v>1022</v>
      </c>
      <c r="C26">
        <v>1000</v>
      </c>
      <c r="D26" s="321" t="s">
        <v>195</v>
      </c>
      <c r="E26" s="8" t="s">
        <v>196</v>
      </c>
      <c r="F26" t="s">
        <v>196</v>
      </c>
      <c r="G26" t="s">
        <v>197</v>
      </c>
      <c r="H26" s="89" t="s">
        <v>198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264</v>
      </c>
      <c r="V26" s="246">
        <v>2</v>
      </c>
      <c r="W26" s="247" t="s">
        <v>1830</v>
      </c>
    </row>
    <row r="27" spans="2:23">
      <c r="B27">
        <v>1023</v>
      </c>
      <c r="C27">
        <v>1000</v>
      </c>
      <c r="D27" s="321" t="s">
        <v>199</v>
      </c>
      <c r="E27" s="8" t="s">
        <v>200</v>
      </c>
      <c r="F27" t="s">
        <v>201</v>
      </c>
      <c r="G27" t="s">
        <v>202</v>
      </c>
      <c r="H27" s="89" t="s">
        <v>203</v>
      </c>
      <c r="I27">
        <v>305025</v>
      </c>
      <c r="J27">
        <v>50</v>
      </c>
      <c r="K27">
        <v>0</v>
      </c>
      <c r="O27">
        <v>2901</v>
      </c>
      <c r="R27" s="8"/>
      <c r="T27" s="246">
        <v>305038</v>
      </c>
      <c r="U27" s="246" t="s">
        <v>268</v>
      </c>
      <c r="V27" s="246">
        <v>2</v>
      </c>
      <c r="W27" s="247" t="s">
        <v>1830</v>
      </c>
    </row>
    <row r="28" spans="2:23">
      <c r="B28">
        <v>1024</v>
      </c>
      <c r="C28">
        <v>1000</v>
      </c>
      <c r="D28" s="321" t="s">
        <v>199</v>
      </c>
      <c r="E28" s="8" t="s">
        <v>204</v>
      </c>
      <c r="F28" t="s">
        <v>205</v>
      </c>
      <c r="G28" t="s">
        <v>206</v>
      </c>
      <c r="H28" s="89" t="s">
        <v>207</v>
      </c>
      <c r="I28">
        <v>305026</v>
      </c>
      <c r="J28">
        <v>50</v>
      </c>
      <c r="K28">
        <v>0</v>
      </c>
      <c r="O28">
        <v>2902</v>
      </c>
      <c r="R28" s="8"/>
      <c r="T28" s="246">
        <v>305300</v>
      </c>
      <c r="U28" s="246" t="s">
        <v>318</v>
      </c>
      <c r="V28" s="246">
        <v>2</v>
      </c>
      <c r="W28" s="247" t="s">
        <v>1830</v>
      </c>
    </row>
    <row r="29" spans="2:23">
      <c r="B29">
        <v>1025</v>
      </c>
      <c r="C29">
        <v>1000</v>
      </c>
      <c r="D29" s="321" t="s">
        <v>208</v>
      </c>
      <c r="E29" s="8" t="s">
        <v>209</v>
      </c>
      <c r="F29" t="s">
        <v>209</v>
      </c>
      <c r="G29" t="s">
        <v>210</v>
      </c>
      <c r="H29" s="89" t="s">
        <v>211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176</v>
      </c>
      <c r="V29" s="213">
        <v>0</v>
      </c>
      <c r="W29" s="244" t="s">
        <v>1827</v>
      </c>
    </row>
    <row r="30" spans="2:23" ht="15">
      <c r="B30">
        <v>1026</v>
      </c>
      <c r="C30">
        <v>1000</v>
      </c>
      <c r="D30" s="321" t="s">
        <v>212</v>
      </c>
      <c r="E30" s="8" t="s">
        <v>213</v>
      </c>
      <c r="F30" t="s">
        <v>213</v>
      </c>
      <c r="G30" s="112" t="s">
        <v>214</v>
      </c>
      <c r="H30" s="44" t="s">
        <v>215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181</v>
      </c>
      <c r="V30" s="213">
        <v>0</v>
      </c>
      <c r="W30" s="244" t="s">
        <v>1827</v>
      </c>
    </row>
    <row r="31" spans="2:23" ht="15">
      <c r="B31">
        <v>1027</v>
      </c>
      <c r="C31">
        <v>1000</v>
      </c>
      <c r="D31" s="321" t="s">
        <v>216</v>
      </c>
      <c r="E31" s="8" t="s">
        <v>217</v>
      </c>
      <c r="F31" t="s">
        <v>218</v>
      </c>
      <c r="G31" s="112" t="s">
        <v>219</v>
      </c>
      <c r="H31" s="44" t="s">
        <v>220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186</v>
      </c>
      <c r="V31" s="213">
        <v>0</v>
      </c>
      <c r="W31" s="244" t="s">
        <v>1827</v>
      </c>
    </row>
    <row r="32" spans="2:23" ht="15">
      <c r="B32">
        <v>1028</v>
      </c>
      <c r="C32">
        <v>1000</v>
      </c>
      <c r="D32" s="321" t="s">
        <v>221</v>
      </c>
      <c r="E32" s="8" t="s">
        <v>222</v>
      </c>
      <c r="F32" t="s">
        <v>223</v>
      </c>
      <c r="G32" s="112" t="s">
        <v>224</v>
      </c>
      <c r="H32" s="44" t="s">
        <v>225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191</v>
      </c>
      <c r="V32" s="213">
        <v>0</v>
      </c>
      <c r="W32" s="244" t="s">
        <v>1827</v>
      </c>
    </row>
    <row r="33" spans="2:23" ht="15">
      <c r="B33">
        <v>1029</v>
      </c>
      <c r="C33">
        <v>1000</v>
      </c>
      <c r="D33" s="321" t="s">
        <v>226</v>
      </c>
      <c r="E33" s="8" t="s">
        <v>227</v>
      </c>
      <c r="F33" t="s">
        <v>228</v>
      </c>
      <c r="G33" s="112" t="s">
        <v>229</v>
      </c>
      <c r="H33" s="44" t="s">
        <v>230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196</v>
      </c>
      <c r="V33" s="213">
        <v>0</v>
      </c>
      <c r="W33" s="244" t="s">
        <v>1827</v>
      </c>
    </row>
    <row r="34" spans="2:23" ht="18.75">
      <c r="B34">
        <v>1030</v>
      </c>
      <c r="C34">
        <v>1000</v>
      </c>
      <c r="D34" s="321" t="s">
        <v>231</v>
      </c>
      <c r="E34" s="8" t="s">
        <v>232</v>
      </c>
      <c r="F34" t="s">
        <v>233</v>
      </c>
      <c r="G34" s="112" t="s">
        <v>234</v>
      </c>
      <c r="H34" s="44" t="s">
        <v>235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282</v>
      </c>
      <c r="V34" s="213">
        <v>0</v>
      </c>
      <c r="W34" s="244" t="s">
        <v>1827</v>
      </c>
    </row>
    <row r="35" spans="2:23" ht="15">
      <c r="B35">
        <v>1031</v>
      </c>
      <c r="C35">
        <v>1000</v>
      </c>
      <c r="D35" s="322" t="s">
        <v>236</v>
      </c>
      <c r="E35" s="112" t="s">
        <v>237</v>
      </c>
      <c r="F35" t="s">
        <v>238</v>
      </c>
      <c r="G35" s="112" t="s">
        <v>239</v>
      </c>
      <c r="H35" s="176" t="s">
        <v>240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287</v>
      </c>
      <c r="V35" s="213">
        <v>0</v>
      </c>
      <c r="W35" s="244" t="s">
        <v>1827</v>
      </c>
    </row>
    <row r="36" spans="2:23" ht="15">
      <c r="B36">
        <v>1032</v>
      </c>
      <c r="C36">
        <v>1000</v>
      </c>
      <c r="D36" s="322" t="s">
        <v>241</v>
      </c>
      <c r="E36" s="112" t="s">
        <v>242</v>
      </c>
      <c r="F36" t="s">
        <v>243</v>
      </c>
      <c r="G36" s="112" t="s">
        <v>244</v>
      </c>
      <c r="H36" s="176" t="s">
        <v>245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323</v>
      </c>
      <c r="V36" s="213">
        <v>0</v>
      </c>
      <c r="W36" s="244" t="s">
        <v>1827</v>
      </c>
    </row>
    <row r="37" spans="2:23" ht="16.5">
      <c r="B37">
        <v>1033</v>
      </c>
      <c r="C37">
        <v>1000</v>
      </c>
      <c r="D37" s="322" t="s">
        <v>246</v>
      </c>
      <c r="E37" s="112" t="s">
        <v>247</v>
      </c>
      <c r="F37" t="s">
        <v>248</v>
      </c>
      <c r="G37" s="177" t="s">
        <v>248</v>
      </c>
      <c r="H37" s="178" t="s">
        <v>249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1230</v>
      </c>
      <c r="V37" s="124">
        <v>6</v>
      </c>
      <c r="W37" s="250" t="s">
        <v>1833</v>
      </c>
    </row>
    <row r="38" spans="2:23" ht="16.5">
      <c r="B38">
        <v>1034</v>
      </c>
      <c r="C38">
        <v>1000</v>
      </c>
      <c r="D38" s="322" t="s">
        <v>250</v>
      </c>
      <c r="E38" s="179" t="s">
        <v>251</v>
      </c>
      <c r="F38" t="s">
        <v>251</v>
      </c>
      <c r="G38" s="177" t="s">
        <v>252</v>
      </c>
      <c r="H38" s="178" t="s">
        <v>253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1237</v>
      </c>
      <c r="V38" s="124">
        <v>6</v>
      </c>
      <c r="W38" s="250" t="s">
        <v>1833</v>
      </c>
    </row>
    <row r="39" spans="2:23" ht="16.5">
      <c r="B39">
        <v>1035</v>
      </c>
      <c r="C39">
        <v>1000</v>
      </c>
      <c r="D39" s="322" t="s">
        <v>254</v>
      </c>
      <c r="E39" s="112" t="s">
        <v>255</v>
      </c>
      <c r="F39" t="s">
        <v>256</v>
      </c>
      <c r="G39" s="177" t="s">
        <v>257</v>
      </c>
      <c r="H39" s="178" t="s">
        <v>258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1241</v>
      </c>
      <c r="V39" s="124">
        <v>6</v>
      </c>
      <c r="W39" s="250" t="s">
        <v>1833</v>
      </c>
    </row>
    <row r="40" spans="2:23" ht="16.5">
      <c r="B40">
        <v>1036</v>
      </c>
      <c r="C40">
        <v>1000</v>
      </c>
      <c r="D40" s="322" t="s">
        <v>259</v>
      </c>
      <c r="E40" s="112" t="s">
        <v>260</v>
      </c>
      <c r="F40" t="s">
        <v>261</v>
      </c>
      <c r="G40" s="177" t="s">
        <v>261</v>
      </c>
      <c r="H40" s="178" t="s">
        <v>262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309</v>
      </c>
      <c r="V40" s="124">
        <v>6</v>
      </c>
      <c r="W40" s="250" t="s">
        <v>1833</v>
      </c>
    </row>
    <row r="41" spans="2:23" ht="16.5">
      <c r="B41">
        <v>1037</v>
      </c>
      <c r="C41">
        <v>1000</v>
      </c>
      <c r="D41" s="321" t="s">
        <v>263</v>
      </c>
      <c r="E41" s="8" t="s">
        <v>264</v>
      </c>
      <c r="F41" t="s">
        <v>264</v>
      </c>
      <c r="G41" s="180" t="s">
        <v>265</v>
      </c>
      <c r="H41" s="181" t="s">
        <v>266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1245</v>
      </c>
      <c r="V41" s="134">
        <v>7</v>
      </c>
      <c r="W41" s="251" t="s">
        <v>538</v>
      </c>
    </row>
    <row r="42" spans="2:23" ht="16.5">
      <c r="B42">
        <v>1038</v>
      </c>
      <c r="C42">
        <v>1000</v>
      </c>
      <c r="D42" s="321" t="s">
        <v>267</v>
      </c>
      <c r="E42" s="8" t="s">
        <v>268</v>
      </c>
      <c r="F42" t="s">
        <v>269</v>
      </c>
      <c r="G42" s="180" t="s">
        <v>270</v>
      </c>
      <c r="H42" s="182" t="s">
        <v>271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1251</v>
      </c>
      <c r="V42" s="134">
        <v>7</v>
      </c>
      <c r="W42" s="251" t="s">
        <v>538</v>
      </c>
    </row>
    <row r="43" spans="2:23" ht="20.25" customHeight="1">
      <c r="B43">
        <v>1039</v>
      </c>
      <c r="C43">
        <v>1000</v>
      </c>
      <c r="D43" s="321" t="s">
        <v>272</v>
      </c>
      <c r="E43" s="8" t="s">
        <v>273</v>
      </c>
      <c r="F43" t="s">
        <v>273</v>
      </c>
      <c r="G43" s="180" t="s">
        <v>274</v>
      </c>
      <c r="H43" s="182" t="s">
        <v>275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1255</v>
      </c>
      <c r="V43" s="134">
        <v>7</v>
      </c>
      <c r="W43" s="251" t="s">
        <v>538</v>
      </c>
    </row>
    <row r="44" spans="2:23" ht="16.5" customHeight="1">
      <c r="B44">
        <v>1040</v>
      </c>
      <c r="C44">
        <v>1000</v>
      </c>
      <c r="D44" s="321" t="s">
        <v>276</v>
      </c>
      <c r="E44" s="8" t="s">
        <v>277</v>
      </c>
      <c r="F44" t="s">
        <v>278</v>
      </c>
      <c r="G44" s="180" t="s">
        <v>279</v>
      </c>
      <c r="H44" s="182" t="s">
        <v>280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328</v>
      </c>
      <c r="V44" s="134">
        <v>7</v>
      </c>
      <c r="W44" s="251" t="s">
        <v>538</v>
      </c>
    </row>
    <row r="45" spans="2:23" ht="16.5">
      <c r="B45">
        <v>1041</v>
      </c>
      <c r="C45">
        <v>1000</v>
      </c>
      <c r="D45" s="321" t="s">
        <v>281</v>
      </c>
      <c r="E45" s="8" t="s">
        <v>282</v>
      </c>
      <c r="F45" t="s">
        <v>283</v>
      </c>
      <c r="G45" s="180" t="s">
        <v>284</v>
      </c>
      <c r="H45" s="182" t="s">
        <v>285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161</v>
      </c>
      <c r="V45" s="243">
        <v>3</v>
      </c>
      <c r="W45" s="248" t="s">
        <v>1831</v>
      </c>
    </row>
    <row r="46" spans="2:23" ht="16.5">
      <c r="B46">
        <v>1042</v>
      </c>
      <c r="C46">
        <v>1000</v>
      </c>
      <c r="D46" s="321" t="s">
        <v>286</v>
      </c>
      <c r="E46" s="8" t="s">
        <v>287</v>
      </c>
      <c r="F46" t="s">
        <v>288</v>
      </c>
      <c r="G46" s="180" t="s">
        <v>289</v>
      </c>
      <c r="H46" s="182" t="s">
        <v>290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200</v>
      </c>
      <c r="V46" s="216">
        <v>4</v>
      </c>
      <c r="W46" s="249" t="s">
        <v>1832</v>
      </c>
    </row>
    <row r="47" spans="2:23" ht="18.75">
      <c r="B47">
        <v>1043</v>
      </c>
      <c r="C47">
        <v>1000</v>
      </c>
      <c r="D47" s="322" t="s">
        <v>291</v>
      </c>
      <c r="E47" s="112" t="s">
        <v>292</v>
      </c>
      <c r="F47" t="s">
        <v>292</v>
      </c>
      <c r="G47" s="183" t="s">
        <v>293</v>
      </c>
      <c r="H47" s="182" t="s">
        <v>294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204</v>
      </c>
      <c r="V47" s="216">
        <v>4</v>
      </c>
      <c r="W47" s="249" t="s">
        <v>1832</v>
      </c>
    </row>
    <row r="48" spans="2:23" ht="18.75">
      <c r="B48">
        <v>1044</v>
      </c>
      <c r="C48">
        <v>1000</v>
      </c>
      <c r="D48" s="322" t="s">
        <v>295</v>
      </c>
      <c r="E48" s="112" t="s">
        <v>296</v>
      </c>
      <c r="F48" t="s">
        <v>297</v>
      </c>
      <c r="G48" s="183" t="s">
        <v>298</v>
      </c>
      <c r="H48" s="182" t="s">
        <v>299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300</v>
      </c>
      <c r="V48" s="216">
        <v>4</v>
      </c>
      <c r="W48" s="249" t="s">
        <v>1832</v>
      </c>
    </row>
    <row r="49" spans="2:23" ht="16.5">
      <c r="B49">
        <v>1045</v>
      </c>
      <c r="C49">
        <v>1000</v>
      </c>
      <c r="D49" s="321" t="s">
        <v>199</v>
      </c>
      <c r="E49" s="8" t="s">
        <v>300</v>
      </c>
      <c r="F49" t="s">
        <v>301</v>
      </c>
      <c r="G49" s="21" t="s">
        <v>302</v>
      </c>
      <c r="H49" s="64" t="s">
        <v>303</v>
      </c>
      <c r="I49" s="112">
        <v>305050</v>
      </c>
      <c r="J49">
        <v>50</v>
      </c>
      <c r="K49">
        <v>0</v>
      </c>
      <c r="O49" s="112">
        <v>2903</v>
      </c>
      <c r="R49" s="8"/>
      <c r="T49" s="216">
        <v>305051</v>
      </c>
      <c r="U49" s="216" t="s">
        <v>340</v>
      </c>
      <c r="V49" s="216">
        <v>4</v>
      </c>
      <c r="W49" s="249" t="s">
        <v>1832</v>
      </c>
    </row>
    <row r="50" spans="2:23" ht="15">
      <c r="B50">
        <v>1046</v>
      </c>
      <c r="C50">
        <v>1000</v>
      </c>
      <c r="D50" s="321" t="s">
        <v>304</v>
      </c>
      <c r="E50" s="8" t="s">
        <v>305</v>
      </c>
      <c r="F50" t="s">
        <v>305</v>
      </c>
      <c r="G50" s="52" t="s">
        <v>306</v>
      </c>
      <c r="H50" s="44" t="s">
        <v>307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>
      <c r="B51">
        <v>1047</v>
      </c>
      <c r="C51">
        <v>1000</v>
      </c>
      <c r="D51" s="321" t="s">
        <v>308</v>
      </c>
      <c r="E51" s="8" t="s">
        <v>309</v>
      </c>
      <c r="F51" t="s">
        <v>309</v>
      </c>
      <c r="G51" s="184" t="s">
        <v>310</v>
      </c>
      <c r="H51" s="182" t="s">
        <v>311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>
      <c r="B52">
        <v>1049</v>
      </c>
      <c r="C52">
        <v>1000</v>
      </c>
      <c r="D52" s="321" t="s">
        <v>312</v>
      </c>
      <c r="E52" s="8" t="s">
        <v>313</v>
      </c>
      <c r="F52" t="s">
        <v>314</v>
      </c>
      <c r="G52" s="21" t="s">
        <v>315</v>
      </c>
      <c r="H52" s="64" t="s">
        <v>316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>
      <c r="B53">
        <v>1050</v>
      </c>
      <c r="C53">
        <v>1000</v>
      </c>
      <c r="D53" s="321" t="s">
        <v>317</v>
      </c>
      <c r="E53" s="8" t="s">
        <v>318</v>
      </c>
      <c r="F53" t="s">
        <v>319</v>
      </c>
      <c r="G53" s="64" t="s">
        <v>320</v>
      </c>
      <c r="H53" s="60" t="s">
        <v>321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>
      <c r="B54">
        <v>1052</v>
      </c>
      <c r="C54">
        <v>1000</v>
      </c>
      <c r="D54" s="321" t="s">
        <v>322</v>
      </c>
      <c r="E54" s="8" t="s">
        <v>323</v>
      </c>
      <c r="F54" t="s">
        <v>324</v>
      </c>
      <c r="G54" s="185" t="s">
        <v>325</v>
      </c>
      <c r="H54" s="64" t="s">
        <v>326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>
      <c r="B55">
        <v>1053</v>
      </c>
      <c r="C55">
        <v>1000</v>
      </c>
      <c r="D55" s="321" t="s">
        <v>327</v>
      </c>
      <c r="E55" s="8" t="s">
        <v>328</v>
      </c>
      <c r="F55" t="s">
        <v>329</v>
      </c>
      <c r="G55" s="185" t="s">
        <v>330</v>
      </c>
      <c r="H55" s="64" t="s">
        <v>331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>
      <c r="B56">
        <v>1054</v>
      </c>
      <c r="C56">
        <v>1000</v>
      </c>
      <c r="D56" s="322" t="s">
        <v>332</v>
      </c>
      <c r="E56" s="186" t="s">
        <v>333</v>
      </c>
      <c r="F56" t="s">
        <v>333</v>
      </c>
      <c r="G56" s="64" t="s">
        <v>334</v>
      </c>
      <c r="H56" s="64" t="s">
        <v>335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>
      <c r="B57">
        <v>1055</v>
      </c>
      <c r="C57">
        <v>1000</v>
      </c>
      <c r="D57" s="322" t="s">
        <v>336</v>
      </c>
      <c r="E57" s="186" t="s">
        <v>337</v>
      </c>
      <c r="F57" t="s">
        <v>338</v>
      </c>
      <c r="G57" s="21" t="s">
        <v>338</v>
      </c>
      <c r="H57" s="64" t="s">
        <v>339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>
      <c r="B58">
        <v>1057</v>
      </c>
      <c r="C58">
        <v>1000</v>
      </c>
      <c r="D58" s="321" t="s">
        <v>199</v>
      </c>
      <c r="E58" s="8" t="s">
        <v>340</v>
      </c>
      <c r="F58" t="s">
        <v>341</v>
      </c>
      <c r="G58" s="21" t="s">
        <v>342</v>
      </c>
      <c r="H58" s="64" t="s">
        <v>343</v>
      </c>
      <c r="I58" s="112">
        <v>305051</v>
      </c>
      <c r="J58">
        <v>50</v>
      </c>
      <c r="K58">
        <v>0</v>
      </c>
      <c r="O58">
        <v>2904</v>
      </c>
      <c r="R58" s="8"/>
    </row>
    <row r="59" spans="2:23" ht="16.5">
      <c r="B59">
        <v>1058</v>
      </c>
      <c r="C59">
        <v>1000</v>
      </c>
      <c r="D59" s="321" t="s">
        <v>344</v>
      </c>
      <c r="E59" s="8" t="s">
        <v>345</v>
      </c>
      <c r="F59" t="s">
        <v>346</v>
      </c>
      <c r="G59" s="77" t="s">
        <v>347</v>
      </c>
      <c r="H59" s="78" t="s">
        <v>348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>
      <c r="B60">
        <v>1059</v>
      </c>
      <c r="C60">
        <v>1000</v>
      </c>
      <c r="D60" s="321" t="s">
        <v>349</v>
      </c>
      <c r="E60" s="8" t="s">
        <v>350</v>
      </c>
      <c r="F60" t="s">
        <v>350</v>
      </c>
      <c r="G60" s="77" t="s">
        <v>351</v>
      </c>
      <c r="H60" s="78" t="s">
        <v>352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>
      <c r="B61">
        <v>1060</v>
      </c>
      <c r="C61">
        <v>1000</v>
      </c>
      <c r="D61" s="321" t="s">
        <v>353</v>
      </c>
      <c r="E61" s="8" t="s">
        <v>354</v>
      </c>
      <c r="F61" t="s">
        <v>355</v>
      </c>
      <c r="G61" s="77" t="s">
        <v>356</v>
      </c>
      <c r="H61" s="78" t="s">
        <v>357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>
      <c r="B62">
        <v>1061</v>
      </c>
      <c r="C62">
        <v>1000</v>
      </c>
      <c r="D62" s="321" t="s">
        <v>358</v>
      </c>
      <c r="E62" s="8" t="s">
        <v>359</v>
      </c>
      <c r="F62" t="s">
        <v>359</v>
      </c>
      <c r="G62" s="77" t="s">
        <v>360</v>
      </c>
      <c r="H62" s="78" t="s">
        <v>361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>
      <c r="B63">
        <v>1062</v>
      </c>
      <c r="C63">
        <v>1000</v>
      </c>
      <c r="D63" s="321" t="s">
        <v>362</v>
      </c>
      <c r="E63" s="8" t="s">
        <v>363</v>
      </c>
      <c r="F63" t="s">
        <v>363</v>
      </c>
      <c r="G63" s="77" t="s">
        <v>364</v>
      </c>
      <c r="H63" s="78" t="s">
        <v>365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>
      <c r="B64">
        <v>1064</v>
      </c>
      <c r="C64">
        <v>1000</v>
      </c>
      <c r="D64" s="322" t="s">
        <v>366</v>
      </c>
      <c r="E64" s="43" t="s">
        <v>367</v>
      </c>
      <c r="F64" s="8" t="s">
        <v>368</v>
      </c>
      <c r="G64" s="77" t="s">
        <v>369</v>
      </c>
      <c r="H64" s="78" t="s">
        <v>370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>
      <c r="B65">
        <v>1065</v>
      </c>
      <c r="C65">
        <v>1000</v>
      </c>
      <c r="D65" s="322" t="s">
        <v>371</v>
      </c>
      <c r="E65" s="43" t="s">
        <v>372</v>
      </c>
      <c r="F65" t="s">
        <v>373</v>
      </c>
      <c r="G65" s="77" t="s">
        <v>373</v>
      </c>
      <c r="H65" s="78" t="s">
        <v>374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>
      <c r="B66">
        <v>1066</v>
      </c>
      <c r="C66">
        <v>1000</v>
      </c>
      <c r="D66" s="322" t="s">
        <v>375</v>
      </c>
      <c r="E66" s="43" t="s">
        <v>376</v>
      </c>
      <c r="F66" t="s">
        <v>377</v>
      </c>
      <c r="G66" s="77" t="s">
        <v>378</v>
      </c>
      <c r="H66" s="78" t="s">
        <v>379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>
      <c r="B67">
        <v>1067</v>
      </c>
      <c r="C67">
        <v>1000</v>
      </c>
      <c r="D67" s="322" t="s">
        <v>380</v>
      </c>
      <c r="E67" s="43" t="s">
        <v>381</v>
      </c>
      <c r="F67" t="s">
        <v>382</v>
      </c>
      <c r="G67" s="77" t="s">
        <v>383</v>
      </c>
      <c r="H67" s="78" t="s">
        <v>384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21" t="s">
        <v>141</v>
      </c>
      <c r="E68" s="8" t="s">
        <v>385</v>
      </c>
      <c r="F68" t="s">
        <v>386</v>
      </c>
      <c r="G68" s="8" t="s">
        <v>144</v>
      </c>
      <c r="H68" s="89" t="s">
        <v>145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>
      <c r="B69">
        <v>1069</v>
      </c>
      <c r="C69">
        <v>1000</v>
      </c>
      <c r="D69" s="322" t="s">
        <v>387</v>
      </c>
      <c r="E69" s="8" t="s">
        <v>388</v>
      </c>
      <c r="F69" t="s">
        <v>389</v>
      </c>
      <c r="G69" s="77" t="s">
        <v>390</v>
      </c>
      <c r="H69" s="78" t="s">
        <v>391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>
      <c r="B70">
        <v>1070</v>
      </c>
      <c r="C70">
        <v>1000</v>
      </c>
      <c r="D70" s="322" t="s">
        <v>392</v>
      </c>
      <c r="E70" s="8" t="s">
        <v>393</v>
      </c>
      <c r="F70" t="s">
        <v>394</v>
      </c>
      <c r="G70" s="77" t="s">
        <v>395</v>
      </c>
      <c r="H70" s="78" t="s">
        <v>396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21" t="s">
        <v>165</v>
      </c>
      <c r="E71" s="8" t="s">
        <v>397</v>
      </c>
      <c r="F71" t="s">
        <v>398</v>
      </c>
      <c r="G71" s="8" t="s">
        <v>168</v>
      </c>
      <c r="H71" s="89" t="s">
        <v>169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21" t="s">
        <v>170</v>
      </c>
      <c r="E72" s="8" t="s">
        <v>399</v>
      </c>
      <c r="F72" t="s">
        <v>400</v>
      </c>
      <c r="G72" s="8" t="s">
        <v>173</v>
      </c>
      <c r="H72" s="89" t="s">
        <v>174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>
      <c r="B73">
        <v>1073</v>
      </c>
      <c r="C73">
        <v>1000</v>
      </c>
      <c r="D73" s="321" t="s">
        <v>401</v>
      </c>
      <c r="E73" s="8" t="s">
        <v>402</v>
      </c>
      <c r="F73" t="s">
        <v>403</v>
      </c>
      <c r="G73" s="77" t="s">
        <v>404</v>
      </c>
      <c r="H73" s="78" t="s">
        <v>405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21" t="s">
        <v>406</v>
      </c>
      <c r="E74" s="8" t="s">
        <v>407</v>
      </c>
      <c r="F74" t="s">
        <v>408</v>
      </c>
      <c r="G74" s="187" t="s">
        <v>409</v>
      </c>
      <c r="H74" s="64" t="s">
        <v>410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>
      <c r="B75">
        <v>1076</v>
      </c>
      <c r="C75">
        <v>1000</v>
      </c>
      <c r="D75" s="321" t="s">
        <v>411</v>
      </c>
      <c r="E75" s="8" t="s">
        <v>412</v>
      </c>
      <c r="F75" t="s">
        <v>413</v>
      </c>
      <c r="G75" s="77" t="s">
        <v>414</v>
      </c>
      <c r="H75" s="21" t="s">
        <v>415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>
      <c r="B76">
        <v>1077</v>
      </c>
      <c r="C76">
        <v>1000</v>
      </c>
      <c r="D76" s="321" t="s">
        <v>416</v>
      </c>
      <c r="E76" s="8" t="s">
        <v>417</v>
      </c>
      <c r="F76" s="77" t="s">
        <v>418</v>
      </c>
      <c r="G76" s="77" t="s">
        <v>418</v>
      </c>
      <c r="H76" s="77" t="s">
        <v>419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>
      <c r="B77">
        <v>1078</v>
      </c>
      <c r="C77">
        <v>1000</v>
      </c>
      <c r="D77" s="321" t="s">
        <v>420</v>
      </c>
      <c r="E77" s="8" t="s">
        <v>421</v>
      </c>
      <c r="F77" s="21" t="s">
        <v>421</v>
      </c>
      <c r="G77" s="77" t="s">
        <v>422</v>
      </c>
      <c r="H77" s="21" t="s">
        <v>423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>
      <c r="B78">
        <v>1079</v>
      </c>
      <c r="C78">
        <v>1000</v>
      </c>
      <c r="D78" s="321" t="s">
        <v>424</v>
      </c>
      <c r="E78" s="8" t="s">
        <v>425</v>
      </c>
      <c r="F78" t="s">
        <v>425</v>
      </c>
      <c r="G78" s="77" t="s">
        <v>426</v>
      </c>
      <c r="H78" s="21" t="s">
        <v>427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>
      <c r="B79">
        <v>1080</v>
      </c>
      <c r="C79">
        <v>1000</v>
      </c>
      <c r="D79" s="321" t="s">
        <v>428</v>
      </c>
      <c r="E79" s="8" t="s">
        <v>429</v>
      </c>
      <c r="F79" t="s">
        <v>429</v>
      </c>
      <c r="G79" s="77" t="s">
        <v>430</v>
      </c>
      <c r="H79" s="21" t="s">
        <v>431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>
      <c r="B80">
        <v>1081</v>
      </c>
      <c r="C80">
        <v>1000</v>
      </c>
      <c r="D80" s="321" t="s">
        <v>432</v>
      </c>
      <c r="E80" s="8" t="s">
        <v>433</v>
      </c>
      <c r="F80" t="s">
        <v>434</v>
      </c>
      <c r="G80" s="77" t="s">
        <v>435</v>
      </c>
      <c r="H80" s="21" t="s">
        <v>436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>
      <c r="B81">
        <v>1082</v>
      </c>
      <c r="C81">
        <v>1000</v>
      </c>
      <c r="D81" s="321" t="s">
        <v>437</v>
      </c>
      <c r="E81" s="8" t="s">
        <v>438</v>
      </c>
      <c r="F81" t="s">
        <v>439</v>
      </c>
      <c r="G81" s="77" t="s">
        <v>440</v>
      </c>
      <c r="H81" s="21" t="s">
        <v>441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>
      <c r="B82">
        <v>1083</v>
      </c>
      <c r="C82">
        <v>1000</v>
      </c>
      <c r="D82" s="321" t="s">
        <v>442</v>
      </c>
      <c r="E82" s="8" t="s">
        <v>443</v>
      </c>
      <c r="F82" t="s">
        <v>444</v>
      </c>
      <c r="G82" s="77" t="s">
        <v>445</v>
      </c>
      <c r="H82" s="21" t="s">
        <v>446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>
      <c r="B83">
        <v>1084</v>
      </c>
      <c r="C83">
        <v>1000</v>
      </c>
      <c r="D83" s="321" t="s">
        <v>447</v>
      </c>
      <c r="E83" s="8" t="s">
        <v>448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>
      <c r="B84">
        <v>1085</v>
      </c>
      <c r="C84">
        <v>1000</v>
      </c>
      <c r="D84" s="321" t="s">
        <v>449</v>
      </c>
      <c r="E84" s="8" t="s">
        <v>450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>
      <c r="B85">
        <v>1086</v>
      </c>
      <c r="C85">
        <v>1000</v>
      </c>
      <c r="D85" s="321" t="s">
        <v>451</v>
      </c>
      <c r="E85" s="14" t="s">
        <v>452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>
      <c r="B86">
        <v>1087</v>
      </c>
      <c r="C86">
        <v>1000</v>
      </c>
      <c r="D86" s="321" t="s">
        <v>453</v>
      </c>
      <c r="E86" s="14" t="s">
        <v>454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>
      <c r="B87">
        <v>1088</v>
      </c>
      <c r="C87">
        <v>1000</v>
      </c>
      <c r="D87" s="321" t="s">
        <v>455</v>
      </c>
      <c r="E87" s="14" t="s">
        <v>456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>
      <c r="B88">
        <v>1089</v>
      </c>
      <c r="C88">
        <v>1000</v>
      </c>
      <c r="D88" s="321" t="s">
        <v>457</v>
      </c>
      <c r="E88" s="14" t="s">
        <v>458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>
      <c r="B89">
        <v>1090</v>
      </c>
      <c r="C89">
        <v>1000</v>
      </c>
      <c r="D89" s="321" t="s">
        <v>459</v>
      </c>
      <c r="E89" s="188" t="s">
        <v>460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>
      <c r="B90">
        <v>1091</v>
      </c>
      <c r="C90">
        <v>1000</v>
      </c>
      <c r="D90" s="321" t="s">
        <v>461</v>
      </c>
      <c r="E90" s="188" t="s">
        <v>462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>
      <c r="B91">
        <v>1092</v>
      </c>
      <c r="C91">
        <v>1000</v>
      </c>
      <c r="D91" s="321" t="s">
        <v>463</v>
      </c>
      <c r="E91" s="188" t="s">
        <v>464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>
      <c r="B92">
        <v>1093</v>
      </c>
      <c r="C92">
        <v>1000</v>
      </c>
      <c r="D92" s="323" t="s">
        <v>465</v>
      </c>
      <c r="E92" s="188" t="s">
        <v>466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>
      <c r="B93">
        <v>1094</v>
      </c>
      <c r="C93">
        <v>1000</v>
      </c>
      <c r="D93" s="321" t="s">
        <v>467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>
      <c r="B94">
        <v>1095</v>
      </c>
      <c r="C94">
        <v>1000</v>
      </c>
      <c r="D94" s="321" t="s">
        <v>468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>
      <c r="B95">
        <v>1096</v>
      </c>
      <c r="C95">
        <v>1000</v>
      </c>
      <c r="D95" s="321" t="s">
        <v>469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>
      <c r="B96">
        <v>1097</v>
      </c>
      <c r="C96">
        <v>1000</v>
      </c>
      <c r="D96" s="321" t="s">
        <v>470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>
      <c r="B97">
        <v>1098</v>
      </c>
      <c r="C97">
        <v>1000</v>
      </c>
      <c r="D97" s="321" t="s">
        <v>471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>
      <c r="B98">
        <v>1099</v>
      </c>
      <c r="C98">
        <v>1000</v>
      </c>
      <c r="D98" s="321" t="s">
        <v>472</v>
      </c>
      <c r="E98" s="188" t="s">
        <v>473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>
      <c r="B99">
        <v>1100</v>
      </c>
      <c r="C99">
        <v>1000</v>
      </c>
      <c r="D99" s="321" t="s">
        <v>474</v>
      </c>
      <c r="E99" s="188" t="s">
        <v>475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>
      <c r="B100">
        <v>1101</v>
      </c>
      <c r="C100">
        <v>1000</v>
      </c>
      <c r="D100" s="321" t="s">
        <v>476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>
      <c r="B101">
        <v>1102</v>
      </c>
      <c r="C101">
        <v>1000</v>
      </c>
      <c r="D101" s="321" t="s">
        <v>477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>
      <c r="B102">
        <v>1103</v>
      </c>
      <c r="C102">
        <v>1000</v>
      </c>
      <c r="D102" s="324" t="s">
        <v>478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M102"/>
      <c r="N102"/>
      <c r="O102">
        <v>0</v>
      </c>
      <c r="P102"/>
      <c r="R102" s="194"/>
    </row>
    <row r="103" spans="2:18" ht="16.5">
      <c r="B103">
        <v>1104</v>
      </c>
      <c r="C103">
        <v>1000</v>
      </c>
      <c r="D103" s="321" t="s">
        <v>476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>
      <c r="B104">
        <v>1105</v>
      </c>
      <c r="C104">
        <v>1000</v>
      </c>
      <c r="D104" s="321" t="s">
        <v>477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>
      <c r="B105">
        <v>1106</v>
      </c>
      <c r="C105">
        <v>1000</v>
      </c>
      <c r="D105" s="324" t="s">
        <v>478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M105"/>
      <c r="N105"/>
      <c r="O105">
        <v>0</v>
      </c>
      <c r="P105"/>
      <c r="R105" s="194"/>
    </row>
    <row r="106" spans="2:18" ht="16.5">
      <c r="B106">
        <v>1107</v>
      </c>
      <c r="C106">
        <v>1000</v>
      </c>
      <c r="D106" s="323" t="s">
        <v>479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>
      <c r="B107">
        <v>1108</v>
      </c>
      <c r="C107">
        <v>1000</v>
      </c>
      <c r="D107" s="323" t="s">
        <v>480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M107"/>
      <c r="N107"/>
      <c r="O107">
        <v>0</v>
      </c>
      <c r="P107"/>
      <c r="R107" s="194"/>
    </row>
    <row r="108" spans="2:18" ht="16.5">
      <c r="B108">
        <v>1109</v>
      </c>
      <c r="C108">
        <v>1000</v>
      </c>
      <c r="D108" s="323" t="s">
        <v>481</v>
      </c>
      <c r="E108" t="s">
        <v>482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>
      <c r="B109">
        <v>1110</v>
      </c>
      <c r="C109">
        <v>1000</v>
      </c>
      <c r="D109" s="323" t="s">
        <v>483</v>
      </c>
      <c r="E109" t="s">
        <v>484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>
      <c r="B110">
        <v>1111</v>
      </c>
      <c r="C110">
        <v>1000</v>
      </c>
      <c r="D110" s="323" t="s">
        <v>485</v>
      </c>
      <c r="E110" t="s">
        <v>486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>
      <c r="B111">
        <v>1112</v>
      </c>
      <c r="C111">
        <v>1000</v>
      </c>
      <c r="D111" s="323" t="s">
        <v>487</v>
      </c>
      <c r="E111" t="s">
        <v>488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>
      <c r="B112">
        <v>1113</v>
      </c>
      <c r="C112">
        <v>1000</v>
      </c>
      <c r="D112" s="323" t="s">
        <v>489</v>
      </c>
      <c r="E112" t="s">
        <v>490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>
      <c r="B113">
        <v>1114</v>
      </c>
      <c r="C113">
        <v>1000</v>
      </c>
      <c r="D113" s="323" t="s">
        <v>491</v>
      </c>
      <c r="E113" t="s">
        <v>492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>
      <c r="B114">
        <v>1115</v>
      </c>
      <c r="C114">
        <v>1000</v>
      </c>
      <c r="D114" s="323" t="s">
        <v>493</v>
      </c>
      <c r="E114" t="s">
        <v>494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>
      <c r="B115">
        <v>1116</v>
      </c>
      <c r="C115">
        <v>1000</v>
      </c>
      <c r="D115" s="323" t="s">
        <v>495</v>
      </c>
      <c r="E115" t="s">
        <v>496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>
      <c r="B116">
        <v>1117</v>
      </c>
      <c r="C116">
        <v>1000</v>
      </c>
      <c r="D116" s="323" t="s">
        <v>497</v>
      </c>
      <c r="E116" t="s">
        <v>498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>
      <c r="B117">
        <v>1118</v>
      </c>
      <c r="C117">
        <v>1000</v>
      </c>
      <c r="D117" s="323" t="s">
        <v>499</v>
      </c>
      <c r="E117" s="9" t="s">
        <v>500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>
      <c r="B118">
        <v>1119</v>
      </c>
      <c r="C118">
        <v>1000</v>
      </c>
      <c r="D118" s="323" t="s">
        <v>501</v>
      </c>
      <c r="E118" s="9" t="s">
        <v>502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>
      <c r="B119">
        <v>1120</v>
      </c>
      <c r="C119">
        <v>1000</v>
      </c>
      <c r="D119" s="323" t="s">
        <v>503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>
      <c r="B120">
        <v>1121</v>
      </c>
      <c r="C120">
        <v>1000</v>
      </c>
      <c r="D120" s="323" t="s">
        <v>504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>
      <c r="B121">
        <v>1122</v>
      </c>
      <c r="C121">
        <v>1000</v>
      </c>
      <c r="D121" s="323" t="s">
        <v>505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>
      <c r="B122">
        <v>1123</v>
      </c>
      <c r="C122">
        <v>1000</v>
      </c>
      <c r="D122" s="323" t="s">
        <v>506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>
      <c r="B123">
        <v>1124</v>
      </c>
      <c r="C123">
        <v>1000</v>
      </c>
      <c r="D123" s="325" t="s">
        <v>507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>
      <c r="B124">
        <v>1125</v>
      </c>
      <c r="C124">
        <v>1000</v>
      </c>
      <c r="D124" s="323" t="s">
        <v>508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>
      <c r="B125">
        <v>1126</v>
      </c>
      <c r="C125">
        <v>1000</v>
      </c>
      <c r="D125" s="323" t="s">
        <v>509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>
      <c r="B126">
        <v>1127</v>
      </c>
      <c r="C126">
        <v>1000</v>
      </c>
      <c r="D126" s="323" t="s">
        <v>510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>
      <c r="B127" s="73">
        <v>1128</v>
      </c>
      <c r="C127">
        <v>1000</v>
      </c>
      <c r="D127" s="323" t="s">
        <v>511</v>
      </c>
      <c r="E127" s="191" t="s">
        <v>512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P127"/>
      <c r="R127" s="95"/>
    </row>
    <row r="128" spans="2:18" s="73" customFormat="1" ht="16.5">
      <c r="B128" s="73">
        <v>1129</v>
      </c>
      <c r="C128">
        <v>1000</v>
      </c>
      <c r="D128" s="323" t="s">
        <v>513</v>
      </c>
      <c r="E128" s="191" t="s">
        <v>514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P128"/>
      <c r="R128" s="95"/>
    </row>
    <row r="129" spans="2:18" s="73" customFormat="1" ht="16.5">
      <c r="B129" s="73">
        <v>1130</v>
      </c>
      <c r="C129">
        <v>1000</v>
      </c>
      <c r="D129" s="323" t="s">
        <v>515</v>
      </c>
      <c r="E129" s="191" t="s">
        <v>516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P129"/>
      <c r="R129" s="95"/>
    </row>
    <row r="130" spans="2:18" s="73" customFormat="1" ht="16.5">
      <c r="B130" s="73">
        <v>1131</v>
      </c>
      <c r="C130">
        <v>1000</v>
      </c>
      <c r="D130" s="323" t="s">
        <v>517</v>
      </c>
      <c r="E130" s="191" t="s">
        <v>518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P130"/>
      <c r="R130" s="95"/>
    </row>
    <row r="131" spans="2:18" ht="16.5">
      <c r="B131" s="73">
        <v>1132</v>
      </c>
      <c r="C131">
        <v>1000</v>
      </c>
      <c r="D131" s="323" t="s">
        <v>519</v>
      </c>
      <c r="E131" s="7" t="s">
        <v>520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>
      <c r="B132" s="73">
        <v>1133</v>
      </c>
      <c r="C132">
        <v>1000</v>
      </c>
      <c r="D132" s="323" t="s">
        <v>521</v>
      </c>
      <c r="E132" s="7" t="s">
        <v>522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>
      <c r="B133" s="73">
        <v>1134</v>
      </c>
      <c r="C133">
        <v>1000</v>
      </c>
      <c r="D133" s="323" t="s">
        <v>523</v>
      </c>
      <c r="E133" s="7" t="s">
        <v>524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>
      <c r="B134" s="73">
        <v>1135</v>
      </c>
      <c r="C134">
        <v>1000</v>
      </c>
      <c r="D134" s="323" t="s">
        <v>525</v>
      </c>
      <c r="E134" s="7" t="s">
        <v>526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>
      <c r="B135" s="73">
        <v>1136</v>
      </c>
      <c r="C135">
        <v>1000</v>
      </c>
      <c r="D135" s="323" t="s">
        <v>527</v>
      </c>
      <c r="E135" s="7" t="s">
        <v>528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>
      <c r="B136" s="73">
        <v>1137</v>
      </c>
      <c r="C136">
        <v>1000</v>
      </c>
      <c r="D136" s="323" t="s">
        <v>529</v>
      </c>
      <c r="E136" s="191" t="s">
        <v>530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>
      <c r="B137" s="73">
        <v>1138</v>
      </c>
      <c r="C137">
        <v>1000</v>
      </c>
      <c r="D137" s="323" t="s">
        <v>531</v>
      </c>
      <c r="E137" s="191" t="s">
        <v>532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>
      <c r="B138" s="73">
        <v>1139</v>
      </c>
      <c r="C138">
        <v>1000</v>
      </c>
      <c r="D138" s="323" t="s">
        <v>533</v>
      </c>
      <c r="E138" s="141" t="s">
        <v>534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>
      <c r="B139" s="73">
        <v>1140</v>
      </c>
      <c r="C139">
        <v>1000</v>
      </c>
      <c r="D139" s="323" t="s">
        <v>535</v>
      </c>
      <c r="E139" s="141" t="s">
        <v>536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>
      <c r="B140" s="73">
        <v>1141</v>
      </c>
      <c r="C140">
        <v>1000</v>
      </c>
      <c r="D140" s="323" t="s">
        <v>537</v>
      </c>
      <c r="E140" s="141" t="s">
        <v>538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>
      <c r="B141" s="73">
        <v>1142</v>
      </c>
      <c r="C141" s="174">
        <v>1000</v>
      </c>
      <c r="D141" s="321" t="s">
        <v>344</v>
      </c>
      <c r="E141" s="195" t="s">
        <v>345</v>
      </c>
      <c r="F141" s="174" t="s">
        <v>346</v>
      </c>
      <c r="G141" s="196" t="s">
        <v>347</v>
      </c>
      <c r="H141" s="197" t="s">
        <v>348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>
      <c r="B142" s="73">
        <v>1143</v>
      </c>
      <c r="C142" s="174">
        <v>1000</v>
      </c>
      <c r="D142" s="321" t="s">
        <v>349</v>
      </c>
      <c r="E142" s="195" t="s">
        <v>350</v>
      </c>
      <c r="F142" s="174" t="s">
        <v>350</v>
      </c>
      <c r="G142" s="196" t="s">
        <v>351</v>
      </c>
      <c r="H142" s="197" t="s">
        <v>352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>
      <c r="B143" s="73">
        <v>1144</v>
      </c>
      <c r="C143" s="174">
        <v>1000</v>
      </c>
      <c r="D143" s="321" t="s">
        <v>353</v>
      </c>
      <c r="E143" s="195" t="s">
        <v>354</v>
      </c>
      <c r="F143" s="174" t="s">
        <v>355</v>
      </c>
      <c r="G143" s="196" t="s">
        <v>356</v>
      </c>
      <c r="H143" s="197" t="s">
        <v>357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>
      <c r="B144" s="73">
        <v>1145</v>
      </c>
      <c r="C144" s="174">
        <v>1000</v>
      </c>
      <c r="D144" s="321" t="s">
        <v>358</v>
      </c>
      <c r="E144" s="195" t="s">
        <v>359</v>
      </c>
      <c r="F144" s="174" t="s">
        <v>359</v>
      </c>
      <c r="G144" s="196" t="s">
        <v>360</v>
      </c>
      <c r="H144" s="197" t="s">
        <v>361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>
      <c r="B145" s="73">
        <v>1146</v>
      </c>
      <c r="C145" s="174">
        <v>1000</v>
      </c>
      <c r="D145" s="321" t="s">
        <v>362</v>
      </c>
      <c r="E145" s="195" t="s">
        <v>363</v>
      </c>
      <c r="F145" s="174" t="s">
        <v>363</v>
      </c>
      <c r="G145" s="196" t="s">
        <v>364</v>
      </c>
      <c r="H145" s="197" t="s">
        <v>365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>
      <c r="B146" s="73">
        <v>1147</v>
      </c>
      <c r="C146">
        <v>1000</v>
      </c>
      <c r="D146" s="323" t="s">
        <v>539</v>
      </c>
      <c r="E146" s="191" t="s">
        <v>540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>
      <c r="B147" s="73">
        <v>1148</v>
      </c>
      <c r="C147">
        <v>1000</v>
      </c>
      <c r="D147" s="323" t="s">
        <v>541</v>
      </c>
      <c r="E147" s="191" t="s">
        <v>542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>
      <c r="B148" s="73">
        <v>1149</v>
      </c>
      <c r="C148">
        <v>1000</v>
      </c>
      <c r="D148" s="323" t="s">
        <v>543</v>
      </c>
      <c r="E148" s="141" t="s">
        <v>544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>
      <c r="B149" s="73">
        <v>1150</v>
      </c>
      <c r="C149">
        <v>1000</v>
      </c>
      <c r="D149" s="323" t="s">
        <v>545</v>
      </c>
      <c r="E149" s="141" t="s">
        <v>546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>
      <c r="B150" s="73">
        <v>1151</v>
      </c>
      <c r="C150">
        <v>1000</v>
      </c>
      <c r="D150" s="323" t="s">
        <v>547</v>
      </c>
      <c r="E150" s="141" t="s">
        <v>536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>
      <c r="B151" s="73">
        <v>1152</v>
      </c>
      <c r="C151">
        <v>1000</v>
      </c>
      <c r="D151" s="323" t="s">
        <v>548</v>
      </c>
      <c r="E151" s="191" t="s">
        <v>549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P151"/>
      <c r="R151" s="95"/>
    </row>
    <row r="152" spans="2:18" s="73" customFormat="1" ht="16.5">
      <c r="B152" s="73">
        <v>1153</v>
      </c>
      <c r="C152">
        <v>1000</v>
      </c>
      <c r="D152" s="323" t="s">
        <v>550</v>
      </c>
      <c r="E152" s="191" t="s">
        <v>551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P152"/>
      <c r="R152" s="95"/>
    </row>
    <row r="153" spans="2:18" s="174" customFormat="1" ht="16.5">
      <c r="B153" s="73">
        <v>1154</v>
      </c>
      <c r="C153" s="174">
        <v>1000</v>
      </c>
      <c r="D153" s="323" t="s">
        <v>552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M153"/>
      <c r="N153"/>
      <c r="O153">
        <v>1001</v>
      </c>
      <c r="R153" s="195"/>
    </row>
    <row r="154" spans="2:18" s="174" customFormat="1" ht="16.5">
      <c r="B154" s="73">
        <v>1155</v>
      </c>
      <c r="C154" s="174">
        <v>1000</v>
      </c>
      <c r="D154" s="323" t="s">
        <v>553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M154"/>
      <c r="N154"/>
      <c r="O154">
        <v>1002</v>
      </c>
      <c r="R154" s="195"/>
    </row>
    <row r="155" spans="2:18" s="174" customFormat="1" ht="16.5">
      <c r="B155" s="73">
        <v>1156</v>
      </c>
      <c r="C155" s="174">
        <v>1000</v>
      </c>
      <c r="D155" s="323" t="s">
        <v>554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M155"/>
      <c r="N155"/>
      <c r="O155">
        <v>1003</v>
      </c>
      <c r="R155" s="195"/>
    </row>
    <row r="156" spans="2:18" s="174" customFormat="1" ht="16.5">
      <c r="B156" s="73">
        <v>1157</v>
      </c>
      <c r="C156" s="174">
        <v>1000</v>
      </c>
      <c r="D156" s="323" t="s">
        <v>555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M156"/>
      <c r="N156"/>
      <c r="O156">
        <v>1004</v>
      </c>
      <c r="R156" s="195"/>
    </row>
    <row r="157" spans="2:18" s="174" customFormat="1" ht="16.5">
      <c r="B157" s="73">
        <v>1158</v>
      </c>
      <c r="C157" s="174">
        <v>1000</v>
      </c>
      <c r="D157" s="323" t="s">
        <v>556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M157"/>
      <c r="N157"/>
      <c r="O157">
        <v>1005</v>
      </c>
      <c r="R157" s="195"/>
    </row>
    <row r="158" spans="2:18" s="128" customFormat="1" ht="16.5">
      <c r="B158" s="128">
        <v>1159</v>
      </c>
      <c r="C158" s="128">
        <v>1000</v>
      </c>
      <c r="D158" s="321" t="s">
        <v>424</v>
      </c>
      <c r="E158" s="169" t="s">
        <v>425</v>
      </c>
      <c r="F158" s="128" t="s">
        <v>425</v>
      </c>
      <c r="G158" s="199" t="s">
        <v>426</v>
      </c>
      <c r="H158" s="200" t="s">
        <v>427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>
      <c r="B159" s="128">
        <v>1160</v>
      </c>
      <c r="C159" s="128">
        <v>1000</v>
      </c>
      <c r="D159" s="321" t="s">
        <v>428</v>
      </c>
      <c r="E159" s="169" t="s">
        <v>429</v>
      </c>
      <c r="F159" s="128" t="s">
        <v>429</v>
      </c>
      <c r="G159" s="199" t="s">
        <v>430</v>
      </c>
      <c r="H159" s="200" t="s">
        <v>431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>
      <c r="B160" s="128">
        <v>1161</v>
      </c>
      <c r="C160" s="128">
        <v>1000</v>
      </c>
      <c r="D160" s="321" t="s">
        <v>432</v>
      </c>
      <c r="E160" s="169" t="s">
        <v>433</v>
      </c>
      <c r="F160" s="128" t="s">
        <v>434</v>
      </c>
      <c r="G160" s="199" t="s">
        <v>435</v>
      </c>
      <c r="H160" s="200" t="s">
        <v>436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>
      <c r="B161" s="128">
        <v>1162</v>
      </c>
      <c r="C161" s="128">
        <v>1000</v>
      </c>
      <c r="D161" s="321" t="s">
        <v>437</v>
      </c>
      <c r="E161" s="169" t="s">
        <v>438</v>
      </c>
      <c r="F161" s="128" t="s">
        <v>439</v>
      </c>
      <c r="G161" s="199" t="s">
        <v>440</v>
      </c>
      <c r="H161" s="200" t="s">
        <v>441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21" t="s">
        <v>442</v>
      </c>
      <c r="E162" s="169" t="s">
        <v>443</v>
      </c>
      <c r="F162" s="128" t="s">
        <v>444</v>
      </c>
      <c r="G162" s="199" t="s">
        <v>445</v>
      </c>
      <c r="H162" s="200" t="s">
        <v>446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>
      <c r="B163" s="128">
        <v>1164</v>
      </c>
      <c r="C163">
        <v>1000</v>
      </c>
      <c r="D163" s="323" t="s">
        <v>557</v>
      </c>
      <c r="E163" s="191" t="s">
        <v>558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P163"/>
      <c r="R163" s="95"/>
    </row>
    <row r="164" spans="2:18" s="73" customFormat="1" ht="16.5">
      <c r="B164" s="128">
        <v>1165</v>
      </c>
      <c r="C164">
        <v>1000</v>
      </c>
      <c r="D164" s="323" t="s">
        <v>559</v>
      </c>
      <c r="E164" s="191" t="s">
        <v>560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P164"/>
      <c r="R164" s="95"/>
    </row>
    <row r="165" spans="2:18" ht="16.5">
      <c r="B165" s="128">
        <v>1166</v>
      </c>
      <c r="C165">
        <v>1000</v>
      </c>
      <c r="D165" s="323" t="s">
        <v>561</v>
      </c>
      <c r="E165" s="142" t="s">
        <v>562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>
      <c r="B166" s="128">
        <v>1167</v>
      </c>
      <c r="C166">
        <v>1000</v>
      </c>
      <c r="D166" s="323" t="s">
        <v>563</v>
      </c>
      <c r="E166" s="142" t="s">
        <v>564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>
      <c r="B167" s="128">
        <v>1168</v>
      </c>
      <c r="C167">
        <v>1000</v>
      </c>
      <c r="D167" s="323" t="s">
        <v>565</v>
      </c>
      <c r="E167" s="142" t="s">
        <v>566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>
      <c r="B168" s="128">
        <v>1169</v>
      </c>
      <c r="C168">
        <v>1000</v>
      </c>
      <c r="D168" s="323" t="s">
        <v>567</v>
      </c>
      <c r="E168" s="142" t="s">
        <v>568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3" t="s">
        <v>569</v>
      </c>
      <c r="E169" s="142" t="s">
        <v>570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>
      <c r="B170" s="128">
        <v>1171</v>
      </c>
      <c r="C170">
        <v>1000</v>
      </c>
      <c r="D170" s="321" t="s">
        <v>451</v>
      </c>
      <c r="E170" s="14" t="s">
        <v>452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>
      <c r="B171" s="128">
        <v>1172</v>
      </c>
      <c r="C171">
        <v>1000</v>
      </c>
      <c r="D171" s="321" t="s">
        <v>453</v>
      </c>
      <c r="E171" s="14" t="s">
        <v>454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>
      <c r="B172" s="128">
        <v>1173</v>
      </c>
      <c r="C172">
        <v>1000</v>
      </c>
      <c r="D172" s="321" t="s">
        <v>455</v>
      </c>
      <c r="E172" s="14" t="s">
        <v>456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>
      <c r="B173" s="128">
        <v>1174</v>
      </c>
      <c r="C173">
        <v>1000</v>
      </c>
      <c r="D173" s="321" t="s">
        <v>457</v>
      </c>
      <c r="E173" s="14" t="s">
        <v>458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>
      <c r="B174">
        <v>1175</v>
      </c>
      <c r="C174">
        <v>1000</v>
      </c>
      <c r="D174" s="323" t="s">
        <v>571</v>
      </c>
      <c r="E174" s="191" t="s">
        <v>572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>
      <c r="B175">
        <v>1176</v>
      </c>
      <c r="C175">
        <v>1000</v>
      </c>
      <c r="D175" s="323" t="s">
        <v>573</v>
      </c>
      <c r="E175" s="9" t="s">
        <v>574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>
      <c r="B176">
        <v>1177</v>
      </c>
      <c r="C176">
        <v>1000</v>
      </c>
      <c r="D176" s="323" t="s">
        <v>575</v>
      </c>
      <c r="E176" s="9" t="s">
        <v>574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>
      <c r="B177">
        <v>1178</v>
      </c>
      <c r="C177">
        <v>1000</v>
      </c>
      <c r="D177" s="323" t="s">
        <v>576</v>
      </c>
      <c r="E177" s="9" t="s">
        <v>574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21" t="s">
        <v>577</v>
      </c>
      <c r="E178" t="s">
        <v>574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21" t="s">
        <v>578</v>
      </c>
      <c r="E179" t="s">
        <v>579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21" t="s">
        <v>580</v>
      </c>
      <c r="E180" t="s">
        <v>581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21" t="s">
        <v>582</v>
      </c>
      <c r="E181" t="s">
        <v>583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21" t="s">
        <v>584</v>
      </c>
      <c r="E182" t="s">
        <v>583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21" t="s">
        <v>585</v>
      </c>
      <c r="E183" t="s">
        <v>583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21" t="s">
        <v>586</v>
      </c>
      <c r="E184" t="s">
        <v>583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21" t="s">
        <v>587</v>
      </c>
      <c r="E185" t="s">
        <v>583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21" t="s">
        <v>588</v>
      </c>
      <c r="E186" t="s">
        <v>583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534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536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538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21" t="s">
        <v>1749</v>
      </c>
      <c r="E205" t="s">
        <v>1751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21" t="s">
        <v>1750</v>
      </c>
      <c r="E206" t="s">
        <v>1752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>
      <c r="B213" s="207">
        <v>1214</v>
      </c>
      <c r="C213">
        <v>1000</v>
      </c>
      <c r="D213" s="323" t="s">
        <v>1756</v>
      </c>
      <c r="E213" s="221" t="s">
        <v>1757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>
      <c r="B214" s="207">
        <v>1215</v>
      </c>
      <c r="C214">
        <v>1000</v>
      </c>
      <c r="D214" s="323"/>
      <c r="E214" s="9" t="s">
        <v>1758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>
      <c r="B215" s="207">
        <v>1216</v>
      </c>
      <c r="C215">
        <v>1000</v>
      </c>
      <c r="D215" s="323"/>
      <c r="E215" s="9" t="s">
        <v>1758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>
      <c r="B216" s="207">
        <v>1217</v>
      </c>
      <c r="C216">
        <v>1000</v>
      </c>
      <c r="D216" s="323"/>
      <c r="E216" s="9" t="s">
        <v>1758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1758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1758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>
      <c r="B219">
        <v>1220</v>
      </c>
      <c r="C219">
        <v>1000</v>
      </c>
      <c r="D219" s="321" t="s">
        <v>467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>
      <c r="B220">
        <v>1221</v>
      </c>
      <c r="C220">
        <v>1000</v>
      </c>
      <c r="D220" s="321" t="s">
        <v>468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>
      <c r="B221">
        <v>1222</v>
      </c>
      <c r="C221">
        <v>1000</v>
      </c>
      <c r="D221" s="321" t="s">
        <v>469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>
      <c r="B222">
        <v>1223</v>
      </c>
      <c r="C222">
        <v>1000</v>
      </c>
      <c r="D222" s="321" t="s">
        <v>470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>
      <c r="B223">
        <v>1224</v>
      </c>
      <c r="C223">
        <v>1000</v>
      </c>
      <c r="D223" s="321" t="s">
        <v>471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>
      <c r="B224">
        <v>1225</v>
      </c>
      <c r="C224">
        <v>1000</v>
      </c>
      <c r="D224" s="323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>
      <c r="B225">
        <v>1226</v>
      </c>
      <c r="C225">
        <v>1000</v>
      </c>
      <c r="D225" s="323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P225"/>
      <c r="R225" s="194"/>
    </row>
    <row r="226" spans="2:18" ht="16.5">
      <c r="B226">
        <v>1228</v>
      </c>
      <c r="C226">
        <v>1000</v>
      </c>
      <c r="D226" s="323" t="s">
        <v>1762</v>
      </c>
      <c r="E226" s="223" t="s">
        <v>1763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>
      <c r="B227">
        <v>1229</v>
      </c>
      <c r="C227">
        <v>1000</v>
      </c>
      <c r="D227" s="323" t="s">
        <v>1764</v>
      </c>
      <c r="E227" s="224" t="s">
        <v>1765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>
      <c r="B228">
        <v>1230</v>
      </c>
      <c r="C228">
        <v>1000</v>
      </c>
      <c r="D228" s="323" t="s">
        <v>1766</v>
      </c>
      <c r="E228" s="223" t="s">
        <v>1767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>
      <c r="B229">
        <v>1231</v>
      </c>
      <c r="C229">
        <v>1000</v>
      </c>
      <c r="D229" s="323" t="s">
        <v>1768</v>
      </c>
      <c r="E229" s="225" t="s">
        <v>1769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>
      <c r="B230">
        <v>1232</v>
      </c>
      <c r="C230">
        <v>1000</v>
      </c>
      <c r="D230" s="323" t="s">
        <v>481</v>
      </c>
      <c r="E230" t="s">
        <v>482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>
      <c r="B231">
        <v>1233</v>
      </c>
      <c r="C231">
        <v>1000</v>
      </c>
      <c r="D231" s="323" t="s">
        <v>483</v>
      </c>
      <c r="E231" t="s">
        <v>484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>
      <c r="B232">
        <v>1234</v>
      </c>
      <c r="C232">
        <v>1000</v>
      </c>
      <c r="D232" s="323" t="s">
        <v>485</v>
      </c>
      <c r="E232" t="s">
        <v>486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>
      <c r="B233">
        <v>1235</v>
      </c>
      <c r="C233">
        <v>1000</v>
      </c>
      <c r="D233" s="323" t="s">
        <v>487</v>
      </c>
      <c r="E233" t="s">
        <v>488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>
      <c r="B234">
        <v>1236</v>
      </c>
      <c r="C234">
        <v>1000</v>
      </c>
      <c r="D234" s="323"/>
      <c r="E234" t="s">
        <v>1770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>
      <c r="B235">
        <v>1237</v>
      </c>
      <c r="C235">
        <v>1000</v>
      </c>
      <c r="D235" s="323"/>
      <c r="E235" t="s">
        <v>1771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>
      <c r="B236">
        <v>1238</v>
      </c>
      <c r="C236">
        <v>1000</v>
      </c>
      <c r="D236" s="323"/>
      <c r="E236" t="s">
        <v>1772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>
      <c r="B237">
        <v>1239</v>
      </c>
      <c r="C237">
        <v>1000</v>
      </c>
      <c r="D237" s="323"/>
      <c r="E237" t="s">
        <v>1773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>
      <c r="B238">
        <v>1240</v>
      </c>
      <c r="C238">
        <v>1000</v>
      </c>
      <c r="D238" s="323"/>
      <c r="E238" s="226" t="s">
        <v>1774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>
      <c r="B239">
        <v>1241</v>
      </c>
      <c r="C239">
        <v>1000</v>
      </c>
      <c r="D239" s="323"/>
      <c r="E239" t="s">
        <v>490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>
      <c r="B240">
        <v>1242</v>
      </c>
      <c r="C240">
        <v>1000</v>
      </c>
      <c r="D240" s="323"/>
      <c r="E240" t="s">
        <v>492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>
      <c r="B241">
        <v>1243</v>
      </c>
      <c r="C241">
        <v>1000</v>
      </c>
      <c r="D241" s="323"/>
      <c r="E241" t="s">
        <v>494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>
      <c r="B242">
        <v>1244</v>
      </c>
      <c r="C242">
        <v>1000</v>
      </c>
      <c r="D242" s="323"/>
      <c r="E242" t="s">
        <v>496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>
      <c r="B243">
        <v>1245</v>
      </c>
      <c r="C243">
        <v>1000</v>
      </c>
      <c r="D243" s="323"/>
      <c r="E243" t="s">
        <v>498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21" t="s">
        <v>1779</v>
      </c>
      <c r="E244" t="s">
        <v>1778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1780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1781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1782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1783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>
      <c r="B249">
        <v>1251</v>
      </c>
      <c r="C249">
        <v>1000</v>
      </c>
      <c r="D249" s="323" t="s">
        <v>1785</v>
      </c>
      <c r="E249" s="221" t="s">
        <v>1786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>
      <c r="B250">
        <v>1252</v>
      </c>
      <c r="C250">
        <v>1000</v>
      </c>
      <c r="D250" s="323"/>
      <c r="E250" s="198" t="s">
        <v>1787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>
      <c r="B251">
        <v>1253</v>
      </c>
      <c r="C251">
        <v>1000</v>
      </c>
      <c r="D251" s="323"/>
      <c r="E251" s="228" t="s">
        <v>1788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>
      <c r="B252">
        <v>1254</v>
      </c>
      <c r="C252">
        <v>1000</v>
      </c>
      <c r="D252" s="323"/>
      <c r="E252" s="198" t="s">
        <v>1789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1790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>
      <c r="B254">
        <v>1256</v>
      </c>
      <c r="C254">
        <v>1000</v>
      </c>
      <c r="D254" s="323" t="s">
        <v>573</v>
      </c>
      <c r="E254" s="9" t="s">
        <v>574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>
      <c r="B255">
        <v>1257</v>
      </c>
      <c r="C255">
        <v>1000</v>
      </c>
      <c r="D255" s="323" t="s">
        <v>575</v>
      </c>
      <c r="E255" s="9" t="s">
        <v>574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>
      <c r="B256">
        <v>1258</v>
      </c>
      <c r="C256">
        <v>1000</v>
      </c>
      <c r="D256" s="323" t="s">
        <v>576</v>
      </c>
      <c r="E256" s="9" t="s">
        <v>574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21" t="s">
        <v>577</v>
      </c>
      <c r="E257" t="s">
        <v>574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>
      <c r="B258">
        <v>1260</v>
      </c>
      <c r="C258">
        <v>1000</v>
      </c>
      <c r="D258" s="323" t="s">
        <v>1794</v>
      </c>
      <c r="E258" s="191" t="s">
        <v>1796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>
      <c r="B259">
        <v>1261</v>
      </c>
      <c r="C259">
        <v>1000</v>
      </c>
      <c r="D259" s="323" t="s">
        <v>1795</v>
      </c>
      <c r="E259" s="191" t="s">
        <v>1797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>
      <c r="B260">
        <v>1262</v>
      </c>
      <c r="C260">
        <v>1000</v>
      </c>
      <c r="D260" s="323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>
      <c r="B261">
        <v>1263</v>
      </c>
      <c r="C261">
        <v>1000</v>
      </c>
      <c r="D261" s="323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>
      <c r="B262">
        <v>1264</v>
      </c>
      <c r="C262">
        <v>1000</v>
      </c>
      <c r="D262" s="323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>
      <c r="B263">
        <v>1265</v>
      </c>
      <c r="C263">
        <v>1000</v>
      </c>
      <c r="D263" s="323" t="s">
        <v>1805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>
      <c r="B264">
        <v>1266</v>
      </c>
      <c r="C264">
        <v>1000</v>
      </c>
      <c r="D264" s="323" t="s">
        <v>1806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>
      <c r="B265">
        <v>1267</v>
      </c>
      <c r="C265">
        <v>1000</v>
      </c>
      <c r="D265" s="323" t="s">
        <v>1807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>
      <c r="B266">
        <v>1268</v>
      </c>
      <c r="C266">
        <v>1000</v>
      </c>
      <c r="D266" s="323" t="s">
        <v>1808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>
      <c r="B267">
        <v>1269</v>
      </c>
      <c r="C267">
        <v>1000</v>
      </c>
      <c r="D267" s="323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>
      <c r="B268">
        <v>1270</v>
      </c>
      <c r="C268">
        <v>1000</v>
      </c>
      <c r="D268" s="323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>
      <c r="B269">
        <v>1271</v>
      </c>
      <c r="C269">
        <v>1000</v>
      </c>
      <c r="D269" s="323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>
      <c r="B275">
        <v>1277</v>
      </c>
      <c r="C275">
        <v>1000</v>
      </c>
      <c r="D275" s="323" t="s">
        <v>1836</v>
      </c>
      <c r="E275" s="191" t="s">
        <v>1834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>
      <c r="B276">
        <v>1278</v>
      </c>
      <c r="C276">
        <v>1000</v>
      </c>
      <c r="D276" s="323" t="s">
        <v>1837</v>
      </c>
      <c r="E276" s="191" t="s">
        <v>1835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>
      <c r="B277">
        <v>1279</v>
      </c>
      <c r="C277">
        <v>1000</v>
      </c>
      <c r="D277" s="323"/>
      <c r="E277" s="9" t="s">
        <v>1838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>
      <c r="B278">
        <v>1280</v>
      </c>
      <c r="C278">
        <v>1000</v>
      </c>
      <c r="D278" s="323"/>
      <c r="E278" s="9" t="s">
        <v>1839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>
      <c r="B279">
        <v>1281</v>
      </c>
      <c r="C279">
        <v>1000</v>
      </c>
      <c r="D279" s="323"/>
      <c r="E279" s="9" t="s">
        <v>1840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>
      <c r="B280">
        <v>1282</v>
      </c>
      <c r="C280">
        <v>1000</v>
      </c>
      <c r="D280" s="323"/>
      <c r="E280" s="9" t="s">
        <v>1841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>
      <c r="B284" s="207">
        <v>1286</v>
      </c>
      <c r="C284">
        <v>1000</v>
      </c>
      <c r="D284" s="323" t="s">
        <v>1857</v>
      </c>
      <c r="E284" s="221" t="s">
        <v>1858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>
      <c r="B285" s="207">
        <v>1287</v>
      </c>
      <c r="C285">
        <v>1000</v>
      </c>
      <c r="D285" s="323"/>
      <c r="E285" s="9" t="s">
        <v>1859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>
      <c r="B286" s="207">
        <v>1288</v>
      </c>
      <c r="C286">
        <v>1000</v>
      </c>
      <c r="D286" s="323"/>
      <c r="E286" s="9" t="s">
        <v>1859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>
      <c r="B287" s="207">
        <v>1289</v>
      </c>
      <c r="C287">
        <v>1000</v>
      </c>
      <c r="D287" s="323"/>
      <c r="E287" s="9" t="s">
        <v>1859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1859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1859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1892</v>
      </c>
      <c r="B290">
        <v>1292</v>
      </c>
      <c r="C290">
        <v>1000</v>
      </c>
      <c r="E290" s="244" t="s">
        <v>1827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1213</v>
      </c>
      <c r="V290" s="236">
        <v>1</v>
      </c>
      <c r="W290" s="245" t="s">
        <v>1828</v>
      </c>
    </row>
    <row r="291" spans="1:23">
      <c r="A291" s="126"/>
      <c r="B291">
        <v>1293</v>
      </c>
      <c r="C291">
        <v>1000</v>
      </c>
      <c r="E291" s="244" t="s">
        <v>1827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1217</v>
      </c>
      <c r="V291" s="236">
        <v>1</v>
      </c>
      <c r="W291" s="245" t="s">
        <v>1828</v>
      </c>
    </row>
    <row r="292" spans="1:23">
      <c r="A292" s="126"/>
      <c r="B292">
        <v>1294</v>
      </c>
      <c r="C292">
        <v>1000</v>
      </c>
      <c r="E292" s="244" t="s">
        <v>1827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1220</v>
      </c>
      <c r="V292" s="236">
        <v>1</v>
      </c>
      <c r="W292" s="245" t="s">
        <v>1828</v>
      </c>
    </row>
    <row r="293" spans="1:23">
      <c r="A293" s="126"/>
      <c r="B293">
        <v>1295</v>
      </c>
      <c r="C293">
        <v>1000</v>
      </c>
      <c r="E293" s="244" t="s">
        <v>1827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1277</v>
      </c>
      <c r="V293" s="236">
        <v>1</v>
      </c>
      <c r="W293" s="245" t="s">
        <v>1828</v>
      </c>
    </row>
    <row r="294" spans="1:23">
      <c r="A294" s="126"/>
      <c r="B294">
        <v>1296</v>
      </c>
      <c r="C294">
        <v>1000</v>
      </c>
      <c r="E294" s="245" t="s">
        <v>1828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222</v>
      </c>
      <c r="V294" s="236">
        <v>1</v>
      </c>
      <c r="W294" s="245" t="s">
        <v>1828</v>
      </c>
    </row>
    <row r="295" spans="1:23">
      <c r="A295" s="126"/>
      <c r="B295">
        <v>1297</v>
      </c>
      <c r="C295">
        <v>1000</v>
      </c>
      <c r="E295" s="245" t="s">
        <v>1828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227</v>
      </c>
      <c r="V295" s="236">
        <v>1</v>
      </c>
      <c r="W295" s="245" t="s">
        <v>1828</v>
      </c>
    </row>
    <row r="296" spans="1:23">
      <c r="A296" s="126"/>
      <c r="B296">
        <v>1298</v>
      </c>
      <c r="C296">
        <v>1000</v>
      </c>
      <c r="E296" s="245" t="s">
        <v>1828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232</v>
      </c>
      <c r="V296" s="236">
        <v>1</v>
      </c>
      <c r="W296" s="245" t="s">
        <v>1828</v>
      </c>
    </row>
    <row r="297" spans="1:23">
      <c r="A297" s="126"/>
      <c r="B297">
        <v>1299</v>
      </c>
      <c r="C297">
        <v>1000</v>
      </c>
      <c r="E297" s="247" t="s">
        <v>1830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1829</v>
      </c>
      <c r="V297" s="236">
        <v>1</v>
      </c>
      <c r="W297" s="245" t="s">
        <v>1828</v>
      </c>
    </row>
    <row r="298" spans="1:23">
      <c r="A298" s="126"/>
      <c r="B298">
        <v>1300</v>
      </c>
      <c r="C298">
        <v>1000</v>
      </c>
      <c r="E298" s="247" t="s">
        <v>1830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1213</v>
      </c>
      <c r="V298" s="236">
        <v>1</v>
      </c>
      <c r="W298" s="245" t="s">
        <v>1828</v>
      </c>
    </row>
    <row r="299" spans="1:23">
      <c r="A299" s="126"/>
      <c r="B299">
        <v>1301</v>
      </c>
      <c r="C299">
        <v>1000</v>
      </c>
      <c r="E299" s="247" t="s">
        <v>1830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1217</v>
      </c>
      <c r="V299" s="236">
        <v>1</v>
      </c>
      <c r="W299" s="245" t="s">
        <v>1828</v>
      </c>
    </row>
    <row r="300" spans="1:23">
      <c r="A300" s="126"/>
      <c r="B300">
        <v>1302</v>
      </c>
      <c r="C300">
        <v>1000</v>
      </c>
      <c r="E300" s="249" t="s">
        <v>1832</v>
      </c>
      <c r="H300" s="89"/>
      <c r="I300" s="254">
        <v>305055</v>
      </c>
      <c r="J300">
        <v>50</v>
      </c>
      <c r="K300">
        <v>0</v>
      </c>
      <c r="O300">
        <v>2905</v>
      </c>
      <c r="R300" s="8"/>
      <c r="T300" s="236">
        <v>305009</v>
      </c>
      <c r="U300" s="236" t="s">
        <v>1220</v>
      </c>
      <c r="V300" s="236">
        <v>1</v>
      </c>
      <c r="W300" s="245" t="s">
        <v>1828</v>
      </c>
    </row>
    <row r="301" spans="1:23">
      <c r="A301" s="126"/>
      <c r="B301">
        <v>1303</v>
      </c>
      <c r="C301">
        <v>1000</v>
      </c>
      <c r="E301" s="249" t="s">
        <v>1832</v>
      </c>
      <c r="H301" s="89"/>
      <c r="I301" s="254">
        <v>305056</v>
      </c>
      <c r="J301">
        <v>50</v>
      </c>
      <c r="K301">
        <v>0</v>
      </c>
      <c r="O301">
        <v>2906</v>
      </c>
      <c r="R301" s="8"/>
      <c r="T301" s="236">
        <v>305023</v>
      </c>
      <c r="U301" s="236" t="s">
        <v>1277</v>
      </c>
      <c r="V301" s="236">
        <v>1</v>
      </c>
      <c r="W301" s="245" t="s">
        <v>1828</v>
      </c>
    </row>
    <row r="302" spans="1:23">
      <c r="A302" s="126"/>
      <c r="B302">
        <v>1304</v>
      </c>
      <c r="C302">
        <v>1000</v>
      </c>
      <c r="E302" s="249" t="s">
        <v>1886</v>
      </c>
      <c r="H302" s="89"/>
      <c r="I302" s="254">
        <v>306104</v>
      </c>
      <c r="J302">
        <v>50</v>
      </c>
      <c r="K302">
        <v>0</v>
      </c>
      <c r="O302">
        <v>3001</v>
      </c>
      <c r="R302" s="8"/>
      <c r="T302" s="236">
        <v>305034</v>
      </c>
      <c r="U302" s="236" t="s">
        <v>222</v>
      </c>
      <c r="V302" s="236">
        <v>1</v>
      </c>
      <c r="W302" s="245" t="s">
        <v>1828</v>
      </c>
    </row>
    <row r="303" spans="1:23">
      <c r="A303" s="126"/>
      <c r="B303">
        <v>1305</v>
      </c>
      <c r="C303">
        <v>1000</v>
      </c>
      <c r="E303" s="249" t="s">
        <v>1886</v>
      </c>
      <c r="H303" s="89"/>
      <c r="I303" s="254">
        <v>306105</v>
      </c>
      <c r="J303">
        <v>50</v>
      </c>
      <c r="K303">
        <v>0</v>
      </c>
      <c r="O303">
        <v>3002</v>
      </c>
      <c r="R303" s="8"/>
      <c r="T303" s="236">
        <v>305035</v>
      </c>
      <c r="U303" s="236" t="s">
        <v>227</v>
      </c>
      <c r="V303" s="236">
        <v>1</v>
      </c>
      <c r="W303" s="245" t="s">
        <v>1828</v>
      </c>
    </row>
    <row r="304" spans="1:23">
      <c r="A304" s="126"/>
      <c r="B304">
        <v>1306</v>
      </c>
      <c r="C304">
        <v>1000</v>
      </c>
      <c r="E304" s="249" t="s">
        <v>1886</v>
      </c>
      <c r="H304" s="89"/>
      <c r="I304" s="254">
        <v>306106</v>
      </c>
      <c r="J304">
        <v>50</v>
      </c>
      <c r="K304">
        <v>0</v>
      </c>
      <c r="O304">
        <v>3003</v>
      </c>
      <c r="R304" s="8"/>
      <c r="T304" s="236">
        <v>305036</v>
      </c>
      <c r="U304" s="236" t="s">
        <v>232</v>
      </c>
      <c r="V304" s="236">
        <v>1</v>
      </c>
      <c r="W304" s="245" t="s">
        <v>1828</v>
      </c>
    </row>
    <row r="305" spans="1:23">
      <c r="A305" s="126"/>
      <c r="B305">
        <v>1307</v>
      </c>
      <c r="C305">
        <v>1000</v>
      </c>
      <c r="E305" s="249" t="s">
        <v>1886</v>
      </c>
      <c r="H305" s="89"/>
      <c r="I305" s="254">
        <v>306107</v>
      </c>
      <c r="J305">
        <v>50</v>
      </c>
      <c r="K305">
        <v>0</v>
      </c>
      <c r="O305">
        <v>3004</v>
      </c>
      <c r="R305" s="8"/>
      <c r="T305" s="236">
        <v>305039</v>
      </c>
      <c r="U305" s="236" t="s">
        <v>1829</v>
      </c>
      <c r="V305" s="236">
        <v>1</v>
      </c>
      <c r="W305" s="245" t="s">
        <v>1828</v>
      </c>
    </row>
    <row r="306" spans="1:23">
      <c r="A306" s="126"/>
      <c r="B306">
        <v>1308</v>
      </c>
      <c r="C306">
        <v>1000</v>
      </c>
      <c r="E306" s="250" t="s">
        <v>1833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1213</v>
      </c>
      <c r="V306" s="236">
        <v>1</v>
      </c>
      <c r="W306" s="245" t="s">
        <v>1828</v>
      </c>
    </row>
    <row r="307" spans="1:23">
      <c r="A307" s="126"/>
      <c r="B307">
        <v>1309</v>
      </c>
      <c r="C307">
        <v>1000</v>
      </c>
      <c r="E307" s="250" t="s">
        <v>1833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1217</v>
      </c>
      <c r="V307" s="236">
        <v>1</v>
      </c>
      <c r="W307" s="245" t="s">
        <v>1828</v>
      </c>
    </row>
    <row r="308" spans="1:23">
      <c r="A308" s="126"/>
      <c r="B308">
        <v>1310</v>
      </c>
      <c r="C308">
        <v>1000</v>
      </c>
      <c r="E308" s="250" t="s">
        <v>1833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1220</v>
      </c>
      <c r="V308" s="236">
        <v>1</v>
      </c>
      <c r="W308" s="245" t="s">
        <v>1828</v>
      </c>
    </row>
    <row r="309" spans="1:23">
      <c r="A309" s="126"/>
      <c r="B309">
        <v>1311</v>
      </c>
      <c r="C309">
        <v>1000</v>
      </c>
      <c r="E309" s="250" t="s">
        <v>1833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1277</v>
      </c>
      <c r="V309" s="236">
        <v>1</v>
      </c>
      <c r="W309" s="245" t="s">
        <v>1828</v>
      </c>
    </row>
    <row r="310" spans="1:23">
      <c r="A310" s="126"/>
      <c r="B310">
        <v>1312</v>
      </c>
      <c r="C310">
        <v>1000</v>
      </c>
      <c r="E310" s="251" t="s">
        <v>538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232</v>
      </c>
      <c r="V310" s="236">
        <v>1</v>
      </c>
      <c r="W310" s="245" t="s">
        <v>1828</v>
      </c>
    </row>
    <row r="311" spans="1:23">
      <c r="A311" s="126"/>
      <c r="B311">
        <v>1313</v>
      </c>
      <c r="C311">
        <v>1000</v>
      </c>
      <c r="E311" s="251" t="s">
        <v>538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1829</v>
      </c>
      <c r="V311" s="236">
        <v>1</v>
      </c>
      <c r="W311" s="245" t="s">
        <v>1828</v>
      </c>
    </row>
    <row r="312" spans="1:23">
      <c r="A312" s="126"/>
      <c r="B312">
        <v>1314</v>
      </c>
      <c r="C312">
        <v>1000</v>
      </c>
      <c r="E312" s="251" t="s">
        <v>538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222</v>
      </c>
      <c r="V312" s="236">
        <v>1</v>
      </c>
      <c r="W312" s="245" t="s">
        <v>1828</v>
      </c>
    </row>
    <row r="313" spans="1:23">
      <c r="A313" s="126"/>
      <c r="B313">
        <v>1315</v>
      </c>
      <c r="C313">
        <v>1000</v>
      </c>
      <c r="E313" s="251" t="s">
        <v>538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227</v>
      </c>
      <c r="V313" s="236">
        <v>1</v>
      </c>
      <c r="W313" s="245" t="s">
        <v>1828</v>
      </c>
    </row>
    <row r="314" spans="1:23" ht="16.5">
      <c r="B314">
        <v>1316</v>
      </c>
      <c r="C314">
        <v>1000</v>
      </c>
      <c r="D314" s="323"/>
      <c r="E314" s="9" t="s">
        <v>1758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>
      <c r="B315">
        <v>1317</v>
      </c>
      <c r="C315">
        <v>1000</v>
      </c>
      <c r="D315" s="323"/>
      <c r="E315" s="9" t="s">
        <v>1758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>
      <c r="B316">
        <v>1318</v>
      </c>
      <c r="C316">
        <v>1000</v>
      </c>
      <c r="D316" s="323"/>
      <c r="E316" s="9" t="s">
        <v>1758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1758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1758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>
      <c r="B319">
        <v>1321</v>
      </c>
      <c r="C319">
        <v>1000</v>
      </c>
      <c r="D319" s="323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>
      <c r="B320">
        <v>1322</v>
      </c>
      <c r="C320">
        <v>1000</v>
      </c>
      <c r="D320" s="323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>
      <c r="B323">
        <v>1325</v>
      </c>
      <c r="C323">
        <v>1000</v>
      </c>
      <c r="D323" s="323" t="s">
        <v>1905</v>
      </c>
      <c r="E323" s="191" t="s">
        <v>1904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>
      <c r="B324">
        <v>1326</v>
      </c>
      <c r="C324">
        <v>1000</v>
      </c>
      <c r="D324" s="323" t="s">
        <v>1906</v>
      </c>
      <c r="E324" s="191" t="s">
        <v>1907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>
      <c r="B325">
        <v>1327</v>
      </c>
      <c r="C325">
        <v>1000</v>
      </c>
      <c r="D325" s="323" t="s">
        <v>1914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>
      <c r="B326">
        <v>1328</v>
      </c>
      <c r="C326">
        <v>1000</v>
      </c>
      <c r="D326" s="323" t="s">
        <v>1915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>
      <c r="B327">
        <v>1329</v>
      </c>
      <c r="C327">
        <v>1000</v>
      </c>
      <c r="D327" s="323" t="s">
        <v>1916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>
      <c r="B328">
        <v>1330</v>
      </c>
      <c r="C328">
        <v>1000</v>
      </c>
      <c r="D328" s="323" t="s">
        <v>1917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>
      <c r="B329">
        <v>1331</v>
      </c>
      <c r="C329">
        <v>1000</v>
      </c>
      <c r="D329" s="323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>
      <c r="B330">
        <v>1332</v>
      </c>
      <c r="C330">
        <v>1000</v>
      </c>
      <c r="D330" s="323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>
      <c r="B331">
        <v>1333</v>
      </c>
      <c r="C331">
        <v>1000</v>
      </c>
      <c r="D331" s="323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>
      <c r="B334">
        <v>1336</v>
      </c>
      <c r="C334">
        <v>1000</v>
      </c>
      <c r="D334" s="323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>
      <c r="B335">
        <v>1337</v>
      </c>
      <c r="C335">
        <v>1000</v>
      </c>
      <c r="D335" s="323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21" t="s">
        <v>1932</v>
      </c>
      <c r="E338" t="s">
        <v>1934</v>
      </c>
      <c r="I338">
        <v>200083</v>
      </c>
      <c r="J338">
        <v>150</v>
      </c>
      <c r="K338">
        <v>0</v>
      </c>
      <c r="M338" t="s">
        <v>1953</v>
      </c>
      <c r="O338">
        <v>541</v>
      </c>
    </row>
    <row r="339" spans="2:18">
      <c r="B339">
        <v>1341</v>
      </c>
      <c r="C339">
        <v>1000</v>
      </c>
      <c r="D339" s="321" t="s">
        <v>1933</v>
      </c>
      <c r="E339" t="s">
        <v>1935</v>
      </c>
      <c r="I339">
        <v>200090</v>
      </c>
      <c r="J339">
        <v>150</v>
      </c>
      <c r="K339">
        <v>0</v>
      </c>
      <c r="M339" t="s">
        <v>1953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>
      <c r="B345">
        <v>1347</v>
      </c>
      <c r="C345">
        <v>1000</v>
      </c>
      <c r="D345" s="323" t="s">
        <v>1957</v>
      </c>
      <c r="E345" s="191" t="s">
        <v>1959</v>
      </c>
      <c r="G345" s="77"/>
      <c r="H345" s="21"/>
      <c r="I345" s="238">
        <v>200084</v>
      </c>
      <c r="J345">
        <v>150</v>
      </c>
      <c r="K345">
        <v>0</v>
      </c>
      <c r="M345" s="9" t="s">
        <v>1961</v>
      </c>
      <c r="O345">
        <v>542</v>
      </c>
      <c r="R345" s="8"/>
    </row>
    <row r="346" spans="2:18" ht="16.5">
      <c r="B346">
        <v>1348</v>
      </c>
      <c r="C346">
        <v>1000</v>
      </c>
      <c r="D346" s="323" t="s">
        <v>1958</v>
      </c>
      <c r="E346" s="191" t="s">
        <v>1960</v>
      </c>
      <c r="G346" s="77"/>
      <c r="H346" s="21"/>
      <c r="I346" s="238">
        <v>200085</v>
      </c>
      <c r="J346">
        <v>150</v>
      </c>
      <c r="K346">
        <v>0</v>
      </c>
      <c r="M346" s="9" t="s">
        <v>1961</v>
      </c>
      <c r="O346">
        <v>820</v>
      </c>
      <c r="R346" s="8"/>
    </row>
    <row r="347" spans="2:18" ht="16.5">
      <c r="B347">
        <v>1349</v>
      </c>
      <c r="C347">
        <v>1000</v>
      </c>
      <c r="D347" s="323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>
      <c r="B348">
        <v>1350</v>
      </c>
      <c r="C348">
        <v>1000</v>
      </c>
      <c r="D348" s="323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>
      <c r="B349">
        <v>1351</v>
      </c>
      <c r="C349">
        <v>1000</v>
      </c>
      <c r="D349" s="323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>
      <c r="B352">
        <v>1354</v>
      </c>
      <c r="C352">
        <v>1000</v>
      </c>
      <c r="D352" s="323"/>
      <c r="E352" s="9" t="s">
        <v>1787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>
      <c r="B353">
        <v>1355</v>
      </c>
      <c r="C353">
        <v>1000</v>
      </c>
      <c r="D353" s="323"/>
      <c r="E353" s="265" t="s">
        <v>1788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>
      <c r="B354">
        <v>1356</v>
      </c>
      <c r="C354">
        <v>1000</v>
      </c>
      <c r="D354" s="323"/>
      <c r="E354" s="9" t="s">
        <v>1789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1790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>
      <c r="B356">
        <v>1358</v>
      </c>
      <c r="C356">
        <v>1000</v>
      </c>
      <c r="D356" s="323"/>
      <c r="E356" s="265" t="s">
        <v>1788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>
      <c r="B357">
        <v>1359</v>
      </c>
      <c r="C357">
        <v>1000</v>
      </c>
      <c r="D357" s="323"/>
      <c r="E357" s="9" t="s">
        <v>1789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1790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>
      <c r="B359" s="131">
        <v>1361</v>
      </c>
      <c r="C359">
        <v>1000</v>
      </c>
      <c r="D359" s="323" t="s">
        <v>1966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>
      <c r="B360" s="131">
        <v>1362</v>
      </c>
      <c r="C360">
        <v>1000</v>
      </c>
      <c r="D360" s="323" t="s">
        <v>1967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>
      <c r="B361" s="131">
        <v>1363</v>
      </c>
      <c r="C361">
        <v>1000</v>
      </c>
      <c r="D361" s="323" t="s">
        <v>1968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>
      <c r="B362" s="131">
        <v>1364</v>
      </c>
      <c r="C362">
        <v>1000</v>
      </c>
      <c r="D362" s="323" t="s">
        <v>1969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>
      <c r="B363" s="131">
        <v>1365</v>
      </c>
      <c r="C363">
        <v>1000</v>
      </c>
      <c r="D363" s="323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>
      <c r="B364" s="131">
        <v>1366</v>
      </c>
      <c r="C364">
        <v>1000</v>
      </c>
      <c r="D364" s="323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>
      <c r="B365" s="131">
        <v>1367</v>
      </c>
      <c r="C365">
        <v>1000</v>
      </c>
      <c r="D365" s="323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>
      <c r="B368">
        <v>1370</v>
      </c>
      <c r="C368">
        <v>1000</v>
      </c>
      <c r="D368" s="323"/>
      <c r="E368" s="9" t="s">
        <v>1838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>
      <c r="B369">
        <v>1371</v>
      </c>
      <c r="C369">
        <v>1000</v>
      </c>
      <c r="D369" s="323"/>
      <c r="E369" s="9" t="s">
        <v>1839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>
      <c r="B370">
        <v>1372</v>
      </c>
      <c r="C370">
        <v>1000</v>
      </c>
      <c r="D370" s="323"/>
      <c r="E370" s="9" t="s">
        <v>1840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>
      <c r="B371">
        <v>1373</v>
      </c>
      <c r="C371">
        <v>1000</v>
      </c>
      <c r="D371" s="323"/>
      <c r="E371" s="9" t="s">
        <v>1841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>
      <c r="B372" s="242">
        <v>1374</v>
      </c>
      <c r="C372" s="242">
        <v>1000</v>
      </c>
      <c r="D372" s="323"/>
      <c r="E372" s="198" t="s">
        <v>1978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>
      <c r="B373" s="242">
        <v>1375</v>
      </c>
      <c r="C373" s="242">
        <v>1000</v>
      </c>
      <c r="D373" s="323"/>
      <c r="E373" s="198" t="s">
        <v>1979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>
      <c r="B374" s="242">
        <v>1376</v>
      </c>
      <c r="C374" s="242">
        <v>1000</v>
      </c>
      <c r="D374" s="323"/>
      <c r="E374" s="268" t="s">
        <v>1980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>
      <c r="B375" s="242">
        <v>1377</v>
      </c>
      <c r="C375" s="242">
        <v>1000</v>
      </c>
      <c r="D375" s="323"/>
      <c r="E375" s="198" t="s">
        <v>1981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>
      <c r="B376" s="242">
        <v>1378</v>
      </c>
      <c r="C376">
        <v>1000</v>
      </c>
      <c r="D376" s="323" t="s">
        <v>1984</v>
      </c>
      <c r="E376" s="191" t="s">
        <v>1982</v>
      </c>
      <c r="G376" s="77"/>
      <c r="H376" s="21"/>
      <c r="I376" s="238">
        <v>200093</v>
      </c>
      <c r="J376">
        <v>150</v>
      </c>
      <c r="K376">
        <v>0</v>
      </c>
      <c r="M376" t="s">
        <v>1986</v>
      </c>
      <c r="O376">
        <v>543</v>
      </c>
      <c r="R376" s="8"/>
    </row>
    <row r="377" spans="2:18" ht="16.5">
      <c r="B377" s="242">
        <v>1379</v>
      </c>
      <c r="C377">
        <v>1000</v>
      </c>
      <c r="D377" s="323" t="s">
        <v>1985</v>
      </c>
      <c r="E377" s="191" t="s">
        <v>1983</v>
      </c>
      <c r="G377" s="77"/>
      <c r="H377" s="21"/>
      <c r="I377" s="238">
        <v>200094</v>
      </c>
      <c r="J377">
        <v>150</v>
      </c>
      <c r="K377">
        <v>0</v>
      </c>
      <c r="M377" s="9" t="s">
        <v>2017</v>
      </c>
      <c r="O377">
        <v>544</v>
      </c>
      <c r="R377" s="8"/>
    </row>
    <row r="378" spans="2:18" ht="16.5">
      <c r="B378" s="242">
        <v>1380</v>
      </c>
      <c r="C378">
        <v>1000</v>
      </c>
      <c r="D378" s="323"/>
      <c r="E378" s="198" t="s">
        <v>1987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>
      <c r="B379" s="242">
        <v>1381</v>
      </c>
      <c r="C379">
        <v>1000</v>
      </c>
      <c r="D379" s="323"/>
      <c r="E379" s="198" t="s">
        <v>1988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>
      <c r="B380" s="242">
        <v>1382</v>
      </c>
      <c r="C380">
        <v>1000</v>
      </c>
      <c r="D380" s="323"/>
      <c r="E380" s="198" t="s">
        <v>1989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>
      <c r="B381" s="242">
        <v>1383</v>
      </c>
      <c r="C381">
        <v>1000</v>
      </c>
      <c r="D381" s="323"/>
      <c r="E381" s="198" t="s">
        <v>1990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>
      <c r="B382" s="242">
        <v>1384</v>
      </c>
      <c r="C382">
        <v>1000</v>
      </c>
      <c r="D382" s="323"/>
      <c r="E382" s="198" t="s">
        <v>1991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>
      <c r="B383" s="242">
        <v>1385</v>
      </c>
      <c r="C383">
        <v>1000</v>
      </c>
      <c r="D383" s="323" t="s">
        <v>1993</v>
      </c>
      <c r="E383" s="191" t="s">
        <v>1992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>
      <c r="B384" s="242">
        <v>1386</v>
      </c>
      <c r="C384">
        <v>1000</v>
      </c>
      <c r="D384" s="323"/>
      <c r="E384" s="198" t="s">
        <v>1998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>
      <c r="B385" s="242">
        <v>1387</v>
      </c>
      <c r="C385">
        <v>1000</v>
      </c>
      <c r="D385" s="323"/>
      <c r="E385" s="198" t="s">
        <v>1994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>
      <c r="B386" s="242">
        <v>1388</v>
      </c>
      <c r="C386">
        <v>1000</v>
      </c>
      <c r="D386" s="323"/>
      <c r="E386" s="198" t="s">
        <v>1995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>
      <c r="B387" s="242">
        <v>1389</v>
      </c>
      <c r="C387">
        <v>1000</v>
      </c>
      <c r="D387" s="323"/>
      <c r="E387" s="198" t="s">
        <v>1996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>
      <c r="B388" s="242">
        <v>1390</v>
      </c>
      <c r="C388">
        <v>1000</v>
      </c>
      <c r="D388" s="323"/>
      <c r="E388" s="198" t="s">
        <v>1997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>
      <c r="B389" s="242">
        <v>1391</v>
      </c>
      <c r="C389">
        <v>1000</v>
      </c>
      <c r="D389" s="323" t="s">
        <v>2002</v>
      </c>
      <c r="E389" s="191" t="s">
        <v>2000</v>
      </c>
      <c r="G389" s="77"/>
      <c r="H389" s="21"/>
      <c r="I389">
        <v>200091</v>
      </c>
      <c r="J389">
        <v>150</v>
      </c>
      <c r="K389">
        <v>0</v>
      </c>
      <c r="M389" s="9" t="s">
        <v>2004</v>
      </c>
      <c r="O389">
        <v>545</v>
      </c>
      <c r="R389" s="8"/>
    </row>
    <row r="390" spans="2:18" ht="16.5">
      <c r="B390" s="242">
        <v>1392</v>
      </c>
      <c r="C390">
        <v>1000</v>
      </c>
      <c r="D390" s="323" t="s">
        <v>2003</v>
      </c>
      <c r="E390" s="191" t="s">
        <v>2001</v>
      </c>
      <c r="G390" s="77"/>
      <c r="H390" s="21"/>
      <c r="I390">
        <v>200092</v>
      </c>
      <c r="J390">
        <v>150</v>
      </c>
      <c r="K390">
        <v>0</v>
      </c>
      <c r="M390" s="9" t="s">
        <v>2004</v>
      </c>
      <c r="O390">
        <v>821</v>
      </c>
      <c r="R390" s="8"/>
    </row>
    <row r="391" spans="2:18" ht="16.5">
      <c r="B391" s="242">
        <v>1393</v>
      </c>
      <c r="C391">
        <v>1000</v>
      </c>
      <c r="D391" s="323"/>
      <c r="E391" s="198" t="s">
        <v>2005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>
      <c r="B392" s="242">
        <v>1394</v>
      </c>
      <c r="C392">
        <v>1000</v>
      </c>
      <c r="D392" s="323"/>
      <c r="E392" s="198" t="s">
        <v>2006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>
      <c r="B393" s="242">
        <v>1395</v>
      </c>
      <c r="C393">
        <v>1000</v>
      </c>
      <c r="D393" s="323"/>
      <c r="E393" s="198" t="s">
        <v>2007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>
      <c r="B394" s="242">
        <v>1396</v>
      </c>
      <c r="C394">
        <v>1000</v>
      </c>
      <c r="D394" s="323"/>
      <c r="E394" s="198" t="s">
        <v>2008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>
      <c r="B395" s="242">
        <v>1397</v>
      </c>
      <c r="C395">
        <v>1000</v>
      </c>
      <c r="D395" s="323" t="s">
        <v>2009</v>
      </c>
      <c r="E395" s="191" t="s">
        <v>2013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>
      <c r="B396" s="242">
        <v>1398</v>
      </c>
      <c r="C396">
        <v>1000</v>
      </c>
      <c r="D396" s="323" t="s">
        <v>2010</v>
      </c>
      <c r="E396" s="191" t="s">
        <v>2014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>
      <c r="B397" s="242">
        <v>1399</v>
      </c>
      <c r="C397">
        <v>1000</v>
      </c>
      <c r="D397" s="323" t="s">
        <v>2011</v>
      </c>
      <c r="E397" s="191" t="s">
        <v>2015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>
      <c r="B398" s="242">
        <v>1400</v>
      </c>
      <c r="C398">
        <v>1000</v>
      </c>
      <c r="D398" s="323" t="s">
        <v>2012</v>
      </c>
      <c r="E398" s="191" t="s">
        <v>2016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>
      <c r="B399" s="242">
        <v>1401</v>
      </c>
      <c r="C399">
        <v>1000</v>
      </c>
      <c r="D399" s="323"/>
      <c r="E399" s="198" t="s">
        <v>2018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>
      <c r="B400" s="242">
        <v>1402</v>
      </c>
      <c r="C400">
        <v>1000</v>
      </c>
      <c r="D400" s="323"/>
      <c r="E400" s="198" t="s">
        <v>2019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>
      <c r="B401" s="242">
        <v>1403</v>
      </c>
      <c r="C401">
        <v>1000</v>
      </c>
      <c r="D401" s="323"/>
      <c r="E401" s="198" t="s">
        <v>2020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>
      <c r="B402" s="242">
        <v>1404</v>
      </c>
      <c r="C402">
        <v>1000</v>
      </c>
      <c r="D402" s="323"/>
      <c r="E402" s="198" t="s">
        <v>2021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>
      <c r="B403" s="242">
        <v>1405</v>
      </c>
      <c r="C403">
        <v>1000</v>
      </c>
      <c r="D403" s="323"/>
      <c r="E403" s="198" t="s">
        <v>2022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>
      <c r="B404" s="242">
        <v>1406</v>
      </c>
      <c r="C404">
        <v>1000</v>
      </c>
      <c r="D404" s="323" t="s">
        <v>2044</v>
      </c>
      <c r="E404" s="191" t="s">
        <v>2041</v>
      </c>
      <c r="G404" s="77"/>
      <c r="H404" s="21"/>
      <c r="I404">
        <v>20000107</v>
      </c>
      <c r="J404">
        <v>150</v>
      </c>
      <c r="K404">
        <v>0</v>
      </c>
      <c r="M404" s="9" t="s">
        <v>2051</v>
      </c>
      <c r="O404">
        <v>546</v>
      </c>
      <c r="R404" s="8"/>
    </row>
    <row r="405" spans="2:18" ht="16.5">
      <c r="B405" s="242">
        <v>1407</v>
      </c>
      <c r="C405">
        <v>1000</v>
      </c>
      <c r="D405" s="323" t="s">
        <v>2046</v>
      </c>
      <c r="E405" s="191" t="s">
        <v>2045</v>
      </c>
      <c r="G405" s="77"/>
      <c r="H405" s="21"/>
      <c r="I405">
        <v>200096</v>
      </c>
      <c r="J405">
        <v>150</v>
      </c>
      <c r="K405">
        <v>0</v>
      </c>
      <c r="M405" s="9" t="s">
        <v>2051</v>
      </c>
      <c r="O405">
        <v>822</v>
      </c>
      <c r="R405" s="8"/>
    </row>
    <row r="406" spans="2:18" ht="16.5">
      <c r="B406" s="242">
        <v>1408</v>
      </c>
      <c r="C406">
        <v>1000</v>
      </c>
      <c r="D406" s="323"/>
      <c r="E406" s="271" t="s">
        <v>2047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>
      <c r="B407" s="242">
        <v>1409</v>
      </c>
      <c r="C407">
        <v>1000</v>
      </c>
      <c r="D407" s="323"/>
      <c r="E407" s="272" t="s">
        <v>2048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>
      <c r="B408" s="242">
        <v>1410</v>
      </c>
      <c r="C408">
        <v>1000</v>
      </c>
      <c r="D408" s="323"/>
      <c r="E408" s="272" t="s">
        <v>2049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>
      <c r="B409" s="242">
        <v>1411</v>
      </c>
      <c r="C409">
        <v>1000</v>
      </c>
      <c r="D409" s="323"/>
      <c r="E409" s="272" t="s">
        <v>2050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>
      <c r="B410" s="242">
        <v>1412</v>
      </c>
      <c r="C410">
        <v>1000</v>
      </c>
      <c r="D410" s="323" t="s">
        <v>2071</v>
      </c>
      <c r="E410" s="191" t="s">
        <v>2064</v>
      </c>
      <c r="G410" s="77"/>
      <c r="H410" s="21"/>
      <c r="I410" s="274">
        <v>200099</v>
      </c>
      <c r="J410">
        <v>150</v>
      </c>
      <c r="K410">
        <v>0</v>
      </c>
      <c r="O410">
        <v>547</v>
      </c>
      <c r="R410" s="8"/>
    </row>
    <row r="411" spans="2:18" ht="16.5">
      <c r="B411" s="242">
        <v>1413</v>
      </c>
      <c r="C411">
        <v>1000</v>
      </c>
      <c r="D411" s="323" t="s">
        <v>2072</v>
      </c>
      <c r="E411" s="191" t="s">
        <v>2065</v>
      </c>
      <c r="G411" s="77"/>
      <c r="H411" s="21"/>
      <c r="I411" s="274">
        <v>200098</v>
      </c>
      <c r="J411">
        <v>150</v>
      </c>
      <c r="K411">
        <v>0</v>
      </c>
      <c r="O411">
        <v>548</v>
      </c>
      <c r="R411" s="8"/>
    </row>
    <row r="412" spans="2:18" ht="16.5">
      <c r="B412" s="242">
        <v>1414</v>
      </c>
      <c r="C412">
        <v>1000</v>
      </c>
      <c r="D412" s="323"/>
      <c r="E412" s="272" t="s">
        <v>2066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>
      <c r="B413" s="242">
        <v>1415</v>
      </c>
      <c r="C413">
        <v>1000</v>
      </c>
      <c r="D413" s="323"/>
      <c r="E413" s="272" t="s">
        <v>2067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>
      <c r="B414" s="242">
        <v>1416</v>
      </c>
      <c r="C414">
        <v>1000</v>
      </c>
      <c r="D414" s="323"/>
      <c r="E414" s="272" t="s">
        <v>2068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>
      <c r="B415" s="242">
        <v>1417</v>
      </c>
      <c r="C415">
        <v>1000</v>
      </c>
      <c r="D415" s="323"/>
      <c r="E415" s="272" t="s">
        <v>2069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>
      <c r="B416" s="242">
        <v>1418</v>
      </c>
      <c r="C416">
        <v>1000</v>
      </c>
      <c r="D416" s="323"/>
      <c r="E416" s="272" t="s">
        <v>2070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>
      <c r="B417" s="242">
        <v>1419</v>
      </c>
      <c r="C417">
        <v>1000</v>
      </c>
      <c r="D417" s="323"/>
      <c r="E417" s="272" t="s">
        <v>2073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>
      <c r="B418" s="242">
        <v>1420</v>
      </c>
      <c r="C418">
        <v>1000</v>
      </c>
      <c r="D418" s="323"/>
      <c r="E418" s="272" t="s">
        <v>2074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>
      <c r="B419" s="242">
        <v>1421</v>
      </c>
      <c r="C419">
        <v>1000</v>
      </c>
      <c r="D419" s="323"/>
      <c r="E419" s="272" t="s">
        <v>2075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>
      <c r="B420" s="242">
        <v>1422</v>
      </c>
      <c r="C420">
        <v>1000</v>
      </c>
      <c r="D420" s="323"/>
      <c r="E420" s="272" t="s">
        <v>2076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>
      <c r="B421" s="242">
        <v>1423</v>
      </c>
      <c r="C421">
        <v>1000</v>
      </c>
      <c r="D421" s="323"/>
      <c r="E421" s="272" t="s">
        <v>2077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>
      <c r="B422" s="242">
        <v>1424</v>
      </c>
      <c r="C422">
        <v>1000</v>
      </c>
      <c r="D422" s="323"/>
      <c r="E422" s="272" t="s">
        <v>2078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>
      <c r="B423" s="242">
        <v>1425</v>
      </c>
      <c r="C423">
        <v>1000</v>
      </c>
      <c r="D423" s="323"/>
      <c r="E423" s="272" t="s">
        <v>2079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>
      <c r="B424" s="242">
        <v>1426</v>
      </c>
      <c r="C424">
        <v>1000</v>
      </c>
      <c r="D424" s="323"/>
      <c r="E424" s="272" t="s">
        <v>2080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>
      <c r="B425" s="242">
        <v>1427</v>
      </c>
      <c r="C425">
        <v>1000</v>
      </c>
      <c r="D425" s="323"/>
      <c r="E425" s="272" t="s">
        <v>2081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>
      <c r="B426" s="242">
        <v>1428</v>
      </c>
      <c r="C426">
        <v>1000</v>
      </c>
      <c r="D426" s="323"/>
      <c r="E426" s="272" t="s">
        <v>2082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>
      <c r="B427" s="242">
        <v>1429</v>
      </c>
      <c r="C427">
        <v>1000</v>
      </c>
      <c r="D427" s="323"/>
      <c r="E427" s="9" t="s">
        <v>2083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>
      <c r="B428" s="242">
        <v>1430</v>
      </c>
      <c r="C428">
        <v>1000</v>
      </c>
      <c r="D428" s="323"/>
      <c r="E428" s="9" t="s">
        <v>2084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>
      <c r="B429" s="242">
        <v>1431</v>
      </c>
      <c r="C429">
        <v>1000</v>
      </c>
      <c r="D429" s="323"/>
      <c r="E429" s="9" t="s">
        <v>2085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>
      <c r="B430" s="242">
        <v>1432</v>
      </c>
      <c r="C430">
        <v>1000</v>
      </c>
      <c r="D430" s="323"/>
      <c r="E430" s="9" t="s">
        <v>2086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>
      <c r="B431" s="242">
        <v>1433</v>
      </c>
      <c r="C431">
        <v>1000</v>
      </c>
      <c r="D431" s="323"/>
      <c r="E431" s="9" t="s">
        <v>2087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>
      <c r="B432" s="242">
        <v>1434</v>
      </c>
      <c r="C432">
        <v>1000</v>
      </c>
      <c r="D432" s="323"/>
      <c r="E432" s="9" t="s">
        <v>2088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>
      <c r="B433" s="242">
        <v>1435</v>
      </c>
      <c r="C433">
        <v>1000</v>
      </c>
      <c r="D433" s="323"/>
      <c r="E433" s="9" t="s">
        <v>2089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>
      <c r="B434" s="242">
        <v>1436</v>
      </c>
      <c r="C434">
        <v>1000</v>
      </c>
      <c r="D434" s="323"/>
      <c r="E434" s="9" t="s">
        <v>2090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>
      <c r="B435" s="242">
        <v>1437</v>
      </c>
      <c r="C435">
        <v>1000</v>
      </c>
      <c r="D435" s="323"/>
      <c r="E435" s="9" t="s">
        <v>2091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>
      <c r="B436" s="242">
        <v>1438</v>
      </c>
      <c r="C436" s="242">
        <v>1000</v>
      </c>
      <c r="D436" s="323"/>
      <c r="E436" s="198" t="s">
        <v>1978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>
      <c r="B437" s="242">
        <v>1439</v>
      </c>
      <c r="C437" s="242">
        <v>1000</v>
      </c>
      <c r="D437" s="323"/>
      <c r="E437" s="198" t="s">
        <v>1979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>
      <c r="B438" s="242">
        <v>1440</v>
      </c>
      <c r="C438" s="242">
        <v>1000</v>
      </c>
      <c r="D438" s="323"/>
      <c r="E438" s="268" t="s">
        <v>1980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>
      <c r="B439" s="242">
        <v>1441</v>
      </c>
      <c r="C439" s="242">
        <v>1000</v>
      </c>
      <c r="D439" s="323"/>
      <c r="E439" s="198" t="s">
        <v>1981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>
      <c r="B440" s="242">
        <v>1442</v>
      </c>
      <c r="C440" s="242">
        <v>1000</v>
      </c>
      <c r="D440" s="323"/>
      <c r="E440" s="191" t="s">
        <v>2093</v>
      </c>
      <c r="G440" s="77"/>
      <c r="H440" s="21"/>
      <c r="I440" s="127">
        <v>20000106</v>
      </c>
      <c r="J440">
        <v>150</v>
      </c>
      <c r="K440">
        <v>0</v>
      </c>
      <c r="M440" s="9" t="s">
        <v>2110</v>
      </c>
      <c r="O440">
        <v>549</v>
      </c>
      <c r="R440" s="8"/>
    </row>
    <row r="441" spans="2:18" ht="16.5">
      <c r="B441" s="242">
        <v>1443</v>
      </c>
      <c r="C441" s="242">
        <v>1000</v>
      </c>
      <c r="D441" s="323"/>
      <c r="E441" s="191" t="s">
        <v>2095</v>
      </c>
      <c r="G441" s="77"/>
      <c r="H441" s="21"/>
      <c r="I441" s="127">
        <v>200097</v>
      </c>
      <c r="J441">
        <v>150</v>
      </c>
      <c r="K441">
        <v>0</v>
      </c>
      <c r="M441" s="9" t="s">
        <v>2110</v>
      </c>
      <c r="O441">
        <v>823</v>
      </c>
      <c r="R441" s="8"/>
    </row>
    <row r="442" spans="2:18" ht="16.5">
      <c r="B442" s="242">
        <v>1444</v>
      </c>
      <c r="C442" s="242">
        <v>1000</v>
      </c>
      <c r="D442" s="323"/>
      <c r="E442" s="280" t="s">
        <v>2099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>
      <c r="B443" s="242">
        <v>1445</v>
      </c>
      <c r="C443" s="242">
        <v>1000</v>
      </c>
      <c r="D443" s="323"/>
      <c r="E443" s="280" t="s">
        <v>2098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>
      <c r="B444" s="242">
        <v>1446</v>
      </c>
      <c r="C444" s="242">
        <v>1000</v>
      </c>
      <c r="D444" s="323"/>
      <c r="E444" s="280" t="s">
        <v>2097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>
      <c r="B445" s="242">
        <v>1447</v>
      </c>
      <c r="C445" s="242">
        <v>1000</v>
      </c>
      <c r="D445" s="323"/>
      <c r="E445" s="198" t="s">
        <v>2096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>
      <c r="B446" s="242">
        <v>1448</v>
      </c>
      <c r="C446" s="242">
        <v>1000</v>
      </c>
      <c r="D446" s="323"/>
      <c r="E446" s="198" t="s">
        <v>2111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>
      <c r="B447" s="242">
        <v>1449</v>
      </c>
      <c r="C447" s="242">
        <v>1000</v>
      </c>
      <c r="D447" s="323"/>
      <c r="E447" s="198" t="s">
        <v>2112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>
      <c r="B448" s="242">
        <v>1450</v>
      </c>
      <c r="C448" s="242">
        <v>1000</v>
      </c>
      <c r="D448" s="323"/>
      <c r="E448" s="198" t="s">
        <v>2113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>
      <c r="B449" s="242">
        <v>1451</v>
      </c>
      <c r="C449" s="242">
        <v>1000</v>
      </c>
      <c r="D449" s="323"/>
      <c r="E449" s="198" t="s">
        <v>2114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>
      <c r="B450" s="242">
        <v>1452</v>
      </c>
      <c r="C450" s="242">
        <v>1000</v>
      </c>
      <c r="D450" s="323"/>
      <c r="E450" s="198" t="s">
        <v>2115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>
      <c r="B451" s="242">
        <v>1453</v>
      </c>
      <c r="C451" s="242">
        <v>1000</v>
      </c>
      <c r="D451" s="323"/>
      <c r="E451" s="191" t="s">
        <v>2116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>
      <c r="B452" s="242">
        <v>1454</v>
      </c>
      <c r="C452" s="242">
        <v>1000</v>
      </c>
      <c r="D452" s="323"/>
      <c r="E452" s="198" t="s">
        <v>2117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>
      <c r="B453" s="242">
        <v>1455</v>
      </c>
      <c r="C453" s="242">
        <v>1000</v>
      </c>
      <c r="D453" s="323"/>
      <c r="E453" s="198" t="s">
        <v>2118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>
      <c r="B454" s="242">
        <v>1456</v>
      </c>
      <c r="C454" s="242">
        <v>1000</v>
      </c>
      <c r="D454" s="323"/>
      <c r="E454" s="198" t="s">
        <v>2119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>
      <c r="B455" s="242">
        <v>1457</v>
      </c>
      <c r="C455" s="242">
        <v>1000</v>
      </c>
      <c r="D455" s="323"/>
      <c r="E455" s="198" t="s">
        <v>2120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>
      <c r="B456" s="242">
        <v>1458</v>
      </c>
      <c r="C456" s="242">
        <v>1000</v>
      </c>
      <c r="D456" s="323"/>
      <c r="E456" s="198" t="s">
        <v>2121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>
      <c r="B457" s="242">
        <v>1459</v>
      </c>
      <c r="C457">
        <v>1000</v>
      </c>
      <c r="D457" s="323"/>
      <c r="E457" s="198" t="s">
        <v>2005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>
      <c r="B458" s="242">
        <v>1460</v>
      </c>
      <c r="C458">
        <v>1000</v>
      </c>
      <c r="D458" s="323"/>
      <c r="E458" s="198" t="s">
        <v>2006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>
      <c r="B459" s="242">
        <v>1461</v>
      </c>
      <c r="C459">
        <v>1000</v>
      </c>
      <c r="D459" s="323"/>
      <c r="E459" s="198" t="s">
        <v>2007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>
      <c r="B460" s="242">
        <v>1462</v>
      </c>
      <c r="C460">
        <v>1000</v>
      </c>
      <c r="D460" s="323"/>
      <c r="E460" s="198" t="s">
        <v>2008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>
      <c r="B461" s="242">
        <v>1463</v>
      </c>
      <c r="C461">
        <v>1000</v>
      </c>
      <c r="D461" s="323"/>
      <c r="E461" s="9" t="s">
        <v>2122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>
      <c r="B462" s="242">
        <v>1464</v>
      </c>
      <c r="C462">
        <v>1000</v>
      </c>
      <c r="D462" s="323"/>
      <c r="E462" s="9" t="s">
        <v>2123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>
      <c r="B463" s="242">
        <v>1465</v>
      </c>
      <c r="C463">
        <v>1000</v>
      </c>
      <c r="D463" s="323"/>
      <c r="E463" s="9" t="s">
        <v>2124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>
      <c r="B464" s="242">
        <v>1466</v>
      </c>
      <c r="C464">
        <v>1000</v>
      </c>
      <c r="D464" s="323"/>
      <c r="E464" s="9" t="s">
        <v>2125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>
      <c r="B465" s="242">
        <v>1467</v>
      </c>
      <c r="C465">
        <v>1000</v>
      </c>
      <c r="D465" s="323"/>
      <c r="E465" s="9" t="s">
        <v>2087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>
      <c r="B466" s="242">
        <v>1468</v>
      </c>
      <c r="C466">
        <v>1000</v>
      </c>
      <c r="D466" s="323"/>
      <c r="E466" s="9" t="s">
        <v>2088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>
      <c r="B467" s="242">
        <v>1469</v>
      </c>
      <c r="C467">
        <v>1000</v>
      </c>
      <c r="D467" s="323"/>
      <c r="E467" s="9" t="s">
        <v>1827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>
      <c r="B468" s="242">
        <v>1470</v>
      </c>
      <c r="C468">
        <v>1000</v>
      </c>
      <c r="D468" s="323"/>
      <c r="E468" s="9" t="s">
        <v>2090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>
      <c r="B469" s="242">
        <v>1471</v>
      </c>
      <c r="C469">
        <v>1000</v>
      </c>
      <c r="D469" s="323"/>
      <c r="E469" s="9" t="s">
        <v>2126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>
      <c r="B470" s="242">
        <v>1472</v>
      </c>
      <c r="C470">
        <v>1000</v>
      </c>
      <c r="D470" s="323"/>
      <c r="E470" s="9" t="s">
        <v>2127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>
      <c r="B471" s="242">
        <v>1473</v>
      </c>
      <c r="C471">
        <v>1000</v>
      </c>
      <c r="D471" s="323"/>
      <c r="E471" s="9" t="s">
        <v>2128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>
      <c r="B472" s="242">
        <v>1474</v>
      </c>
      <c r="C472">
        <v>1000</v>
      </c>
      <c r="D472" s="323"/>
      <c r="E472" s="9" t="s">
        <v>2129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>
      <c r="B473" s="242">
        <v>1475</v>
      </c>
      <c r="C473">
        <v>1000</v>
      </c>
      <c r="D473" s="323"/>
      <c r="E473" s="9" t="s">
        <v>2130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s="275" customFormat="1" ht="15.75" customHeight="1">
      <c r="B474" s="275">
        <v>1999</v>
      </c>
      <c r="C474" s="275">
        <v>1000</v>
      </c>
      <c r="D474" s="321" t="s">
        <v>589</v>
      </c>
      <c r="E474" s="276" t="s">
        <v>590</v>
      </c>
      <c r="F474" s="275" t="s">
        <v>591</v>
      </c>
      <c r="G474" s="275" t="s">
        <v>592</v>
      </c>
      <c r="H474" s="277" t="s">
        <v>593</v>
      </c>
      <c r="I474" s="275">
        <v>302002</v>
      </c>
      <c r="J474" s="275">
        <v>1</v>
      </c>
      <c r="K474" s="275">
        <v>1</v>
      </c>
      <c r="O474" s="275">
        <v>9999</v>
      </c>
      <c r="R474" s="276"/>
    </row>
    <row r="475" spans="2:18">
      <c r="B475">
        <v>3001</v>
      </c>
      <c r="C475">
        <v>1001</v>
      </c>
      <c r="D475" s="321" t="s">
        <v>103</v>
      </c>
      <c r="E475" s="8" t="s">
        <v>104</v>
      </c>
      <c r="F475" s="8" t="s">
        <v>105</v>
      </c>
      <c r="G475" s="112" t="s">
        <v>105</v>
      </c>
      <c r="H475" s="175" t="s">
        <v>106</v>
      </c>
      <c r="I475">
        <v>200004</v>
      </c>
      <c r="J475">
        <v>150</v>
      </c>
      <c r="K475">
        <v>0</v>
      </c>
      <c r="O475">
        <v>501</v>
      </c>
      <c r="R475" s="8"/>
    </row>
    <row r="476" spans="2:18">
      <c r="B476">
        <v>3002</v>
      </c>
      <c r="C476">
        <v>1001</v>
      </c>
      <c r="D476" s="321" t="s">
        <v>107</v>
      </c>
      <c r="E476" s="8" t="s">
        <v>108</v>
      </c>
      <c r="F476" s="8" t="s">
        <v>108</v>
      </c>
      <c r="G476" s="112" t="s">
        <v>108</v>
      </c>
      <c r="H476" s="175" t="s">
        <v>109</v>
      </c>
      <c r="I476">
        <v>200003</v>
      </c>
      <c r="J476">
        <v>150</v>
      </c>
      <c r="K476">
        <v>0</v>
      </c>
      <c r="O476">
        <v>502</v>
      </c>
      <c r="R476" s="8"/>
    </row>
    <row r="477" spans="2:18">
      <c r="B477">
        <v>3003</v>
      </c>
      <c r="C477">
        <v>1001</v>
      </c>
      <c r="D477" s="321" t="s">
        <v>110</v>
      </c>
      <c r="E477" s="8" t="s">
        <v>111</v>
      </c>
      <c r="F477" s="8" t="s">
        <v>111</v>
      </c>
      <c r="G477" s="112" t="s">
        <v>111</v>
      </c>
      <c r="H477" s="175" t="s">
        <v>112</v>
      </c>
      <c r="I477">
        <v>200005</v>
      </c>
      <c r="J477">
        <v>150</v>
      </c>
      <c r="K477">
        <v>0</v>
      </c>
      <c r="O477">
        <v>503</v>
      </c>
    </row>
    <row r="478" spans="2:18">
      <c r="B478">
        <v>3004</v>
      </c>
      <c r="C478">
        <v>1001</v>
      </c>
      <c r="D478" s="321" t="s">
        <v>113</v>
      </c>
      <c r="E478" s="8" t="s">
        <v>114</v>
      </c>
      <c r="F478" s="8" t="s">
        <v>115</v>
      </c>
      <c r="G478" s="112" t="s">
        <v>115</v>
      </c>
      <c r="H478" s="175" t="s">
        <v>116</v>
      </c>
      <c r="I478">
        <v>200006</v>
      </c>
      <c r="J478">
        <v>150</v>
      </c>
      <c r="K478">
        <v>0</v>
      </c>
      <c r="O478">
        <v>504</v>
      </c>
    </row>
    <row r="479" spans="2:18">
      <c r="B479">
        <v>3005</v>
      </c>
      <c r="C479">
        <v>1001</v>
      </c>
      <c r="D479" s="321" t="s">
        <v>117</v>
      </c>
      <c r="E479" s="8" t="s">
        <v>118</v>
      </c>
      <c r="F479" s="8" t="s">
        <v>118</v>
      </c>
      <c r="G479" s="112" t="s">
        <v>118</v>
      </c>
      <c r="H479" s="175" t="s">
        <v>119</v>
      </c>
      <c r="I479">
        <v>200007</v>
      </c>
      <c r="J479">
        <v>150</v>
      </c>
      <c r="K479">
        <v>0</v>
      </c>
      <c r="O479">
        <v>505</v>
      </c>
    </row>
    <row r="480" spans="2:18">
      <c r="B480">
        <v>3006</v>
      </c>
      <c r="C480">
        <v>1001</v>
      </c>
      <c r="D480" s="321" t="s">
        <v>120</v>
      </c>
      <c r="E480" s="8" t="s">
        <v>121</v>
      </c>
      <c r="F480" s="8" t="s">
        <v>122</v>
      </c>
      <c r="G480" s="112" t="s">
        <v>121</v>
      </c>
      <c r="H480" s="175" t="s">
        <v>123</v>
      </c>
      <c r="I480">
        <v>200008</v>
      </c>
      <c r="J480">
        <v>150</v>
      </c>
      <c r="K480">
        <v>0</v>
      </c>
      <c r="O480">
        <v>506</v>
      </c>
    </row>
    <row r="481" spans="2:15">
      <c r="B481">
        <v>3007</v>
      </c>
      <c r="C481">
        <v>1001</v>
      </c>
      <c r="D481" s="321" t="s">
        <v>124</v>
      </c>
      <c r="E481" s="8" t="s">
        <v>125</v>
      </c>
      <c r="F481" s="8" t="s">
        <v>126</v>
      </c>
      <c r="G481" t="s">
        <v>127</v>
      </c>
      <c r="H481" s="89" t="s">
        <v>128</v>
      </c>
      <c r="I481">
        <v>305010</v>
      </c>
      <c r="J481">
        <v>50</v>
      </c>
      <c r="K481">
        <v>0</v>
      </c>
      <c r="O481">
        <v>2200</v>
      </c>
    </row>
    <row r="482" spans="2:15">
      <c r="B482">
        <v>3008</v>
      </c>
      <c r="C482">
        <v>1001</v>
      </c>
      <c r="D482" s="321" t="s">
        <v>129</v>
      </c>
      <c r="E482" s="8" t="s">
        <v>130</v>
      </c>
      <c r="F482" s="8" t="s">
        <v>130</v>
      </c>
      <c r="G482" t="s">
        <v>131</v>
      </c>
      <c r="H482" s="89" t="s">
        <v>132</v>
      </c>
      <c r="I482">
        <v>305021</v>
      </c>
      <c r="J482">
        <v>50</v>
      </c>
      <c r="K482">
        <v>0</v>
      </c>
      <c r="O482">
        <v>2201</v>
      </c>
    </row>
    <row r="483" spans="2:15">
      <c r="B483">
        <v>3009</v>
      </c>
      <c r="C483">
        <v>1001</v>
      </c>
      <c r="D483" s="321" t="s">
        <v>133</v>
      </c>
      <c r="E483" s="8" t="s">
        <v>134</v>
      </c>
      <c r="F483" s="8" t="s">
        <v>134</v>
      </c>
      <c r="G483" t="s">
        <v>135</v>
      </c>
      <c r="H483" s="89" t="s">
        <v>136</v>
      </c>
      <c r="I483">
        <v>305022</v>
      </c>
      <c r="J483">
        <v>50</v>
      </c>
      <c r="K483">
        <v>0</v>
      </c>
      <c r="O483">
        <v>2202</v>
      </c>
    </row>
    <row r="484" spans="2:15">
      <c r="B484">
        <v>3010</v>
      </c>
      <c r="C484">
        <v>1001</v>
      </c>
      <c r="D484" s="321" t="s">
        <v>137</v>
      </c>
      <c r="E484" s="8" t="s">
        <v>138</v>
      </c>
      <c r="F484" s="8" t="s">
        <v>138</v>
      </c>
      <c r="G484" t="s">
        <v>139</v>
      </c>
      <c r="H484" s="89" t="s">
        <v>140</v>
      </c>
      <c r="I484">
        <v>305023</v>
      </c>
      <c r="J484">
        <v>50</v>
      </c>
      <c r="K484">
        <v>0</v>
      </c>
      <c r="O484" s="236">
        <v>2100</v>
      </c>
    </row>
    <row r="485" spans="2:15">
      <c r="B485">
        <v>3011</v>
      </c>
      <c r="C485">
        <v>1001</v>
      </c>
      <c r="D485" s="321" t="s">
        <v>141</v>
      </c>
      <c r="E485" s="8" t="s">
        <v>142</v>
      </c>
      <c r="F485" s="8" t="s">
        <v>143</v>
      </c>
      <c r="G485" t="s">
        <v>144</v>
      </c>
      <c r="H485" s="89" t="s">
        <v>145</v>
      </c>
      <c r="I485">
        <v>305029</v>
      </c>
      <c r="J485">
        <v>50</v>
      </c>
      <c r="K485">
        <v>0</v>
      </c>
      <c r="L485">
        <v>1003</v>
      </c>
      <c r="O485">
        <v>0</v>
      </c>
    </row>
    <row r="486" spans="2:15">
      <c r="B486">
        <v>3012</v>
      </c>
      <c r="C486">
        <v>1001</v>
      </c>
      <c r="D486" s="321" t="s">
        <v>146</v>
      </c>
      <c r="E486" s="8" t="s">
        <v>147</v>
      </c>
      <c r="F486" s="8" t="s">
        <v>147</v>
      </c>
      <c r="G486" t="s">
        <v>148</v>
      </c>
      <c r="H486" s="89" t="s">
        <v>149</v>
      </c>
      <c r="I486">
        <v>305007</v>
      </c>
      <c r="J486">
        <v>50</v>
      </c>
      <c r="K486">
        <v>0</v>
      </c>
      <c r="O486" s="236">
        <v>2102</v>
      </c>
    </row>
    <row r="487" spans="2:15">
      <c r="B487">
        <v>3013</v>
      </c>
      <c r="C487">
        <v>1001</v>
      </c>
      <c r="D487" s="321" t="s">
        <v>150</v>
      </c>
      <c r="E487" s="8" t="s">
        <v>151</v>
      </c>
      <c r="F487" s="8" t="s">
        <v>152</v>
      </c>
      <c r="G487" t="s">
        <v>153</v>
      </c>
      <c r="H487" s="89" t="s">
        <v>154</v>
      </c>
      <c r="I487">
        <v>305008</v>
      </c>
      <c r="J487">
        <v>50</v>
      </c>
      <c r="K487">
        <v>0</v>
      </c>
      <c r="O487" s="236">
        <v>2103</v>
      </c>
    </row>
    <row r="488" spans="2:15">
      <c r="B488">
        <v>3014</v>
      </c>
      <c r="C488">
        <v>1001</v>
      </c>
      <c r="D488" s="321" t="s">
        <v>155</v>
      </c>
      <c r="E488" s="8" t="s">
        <v>156</v>
      </c>
      <c r="F488" s="8" t="s">
        <v>157</v>
      </c>
      <c r="G488" t="s">
        <v>158</v>
      </c>
      <c r="H488" s="89" t="s">
        <v>159</v>
      </c>
      <c r="I488">
        <v>305009</v>
      </c>
      <c r="J488">
        <v>50</v>
      </c>
      <c r="K488">
        <v>0</v>
      </c>
      <c r="O488" s="236">
        <v>2104</v>
      </c>
    </row>
    <row r="489" spans="2:15">
      <c r="B489">
        <v>3015</v>
      </c>
      <c r="C489">
        <v>1001</v>
      </c>
      <c r="D489" s="323" t="s">
        <v>160</v>
      </c>
      <c r="E489" s="8" t="s">
        <v>161</v>
      </c>
      <c r="F489" s="8" t="s">
        <v>162</v>
      </c>
      <c r="G489" t="s">
        <v>163</v>
      </c>
      <c r="H489" s="89" t="s">
        <v>164</v>
      </c>
      <c r="I489">
        <v>305011</v>
      </c>
      <c r="J489">
        <v>50</v>
      </c>
      <c r="K489">
        <v>0</v>
      </c>
      <c r="O489">
        <v>2801</v>
      </c>
    </row>
    <row r="490" spans="2:15">
      <c r="B490">
        <v>3016</v>
      </c>
      <c r="C490">
        <v>1001</v>
      </c>
      <c r="D490" s="321" t="s">
        <v>165</v>
      </c>
      <c r="E490" s="8" t="s">
        <v>166</v>
      </c>
      <c r="F490" s="8" t="s">
        <v>167</v>
      </c>
      <c r="G490" t="s">
        <v>168</v>
      </c>
      <c r="H490" s="89" t="s">
        <v>169</v>
      </c>
      <c r="I490">
        <v>305027</v>
      </c>
      <c r="J490">
        <v>50</v>
      </c>
      <c r="K490">
        <v>0</v>
      </c>
      <c r="L490">
        <v>1003</v>
      </c>
      <c r="O490">
        <v>0</v>
      </c>
    </row>
    <row r="491" spans="2:15">
      <c r="B491">
        <v>3017</v>
      </c>
      <c r="C491">
        <v>1001</v>
      </c>
      <c r="D491" s="321" t="s">
        <v>170</v>
      </c>
      <c r="E491" s="8" t="s">
        <v>171</v>
      </c>
      <c r="F491" s="8" t="s">
        <v>172</v>
      </c>
      <c r="G491" t="s">
        <v>173</v>
      </c>
      <c r="H491" s="89" t="s">
        <v>174</v>
      </c>
      <c r="I491">
        <v>305028</v>
      </c>
      <c r="J491">
        <v>50</v>
      </c>
      <c r="K491">
        <v>0</v>
      </c>
      <c r="L491">
        <v>1003</v>
      </c>
      <c r="O491">
        <v>0</v>
      </c>
    </row>
    <row r="492" spans="2:15">
      <c r="B492">
        <v>3018</v>
      </c>
      <c r="C492">
        <v>1001</v>
      </c>
      <c r="D492" s="321" t="s">
        <v>175</v>
      </c>
      <c r="E492" s="8" t="s">
        <v>176</v>
      </c>
      <c r="F492" s="8" t="s">
        <v>177</v>
      </c>
      <c r="G492" t="s">
        <v>178</v>
      </c>
      <c r="H492" s="89" t="s">
        <v>179</v>
      </c>
      <c r="I492">
        <v>305001</v>
      </c>
      <c r="J492">
        <v>50</v>
      </c>
      <c r="K492">
        <v>0</v>
      </c>
      <c r="O492">
        <v>2302</v>
      </c>
    </row>
    <row r="493" spans="2:15">
      <c r="B493">
        <v>3019</v>
      </c>
      <c r="C493">
        <v>1001</v>
      </c>
      <c r="D493" s="321" t="s">
        <v>180</v>
      </c>
      <c r="E493" s="8" t="s">
        <v>181</v>
      </c>
      <c r="F493" s="8" t="s">
        <v>182</v>
      </c>
      <c r="G493" t="s">
        <v>183</v>
      </c>
      <c r="H493" s="89" t="s">
        <v>184</v>
      </c>
      <c r="I493">
        <v>305002</v>
      </c>
      <c r="J493">
        <v>50</v>
      </c>
      <c r="K493">
        <v>0</v>
      </c>
      <c r="O493">
        <v>2303</v>
      </c>
    </row>
    <row r="494" spans="2:15">
      <c r="B494">
        <v>3020</v>
      </c>
      <c r="C494">
        <v>1001</v>
      </c>
      <c r="D494" s="321" t="s">
        <v>185</v>
      </c>
      <c r="E494" s="8" t="s">
        <v>186</v>
      </c>
      <c r="F494" s="8" t="s">
        <v>187</v>
      </c>
      <c r="G494" t="s">
        <v>188</v>
      </c>
      <c r="H494" s="89" t="s">
        <v>189</v>
      </c>
      <c r="I494">
        <v>305003</v>
      </c>
      <c r="J494">
        <v>50</v>
      </c>
      <c r="K494">
        <v>0</v>
      </c>
      <c r="O494">
        <v>2304</v>
      </c>
    </row>
    <row r="495" spans="2:15">
      <c r="B495">
        <v>3021</v>
      </c>
      <c r="C495">
        <v>1001</v>
      </c>
      <c r="D495" s="321" t="s">
        <v>190</v>
      </c>
      <c r="E495" s="8" t="s">
        <v>191</v>
      </c>
      <c r="F495" s="8" t="s">
        <v>192</v>
      </c>
      <c r="G495" t="s">
        <v>193</v>
      </c>
      <c r="H495" s="89" t="s">
        <v>194</v>
      </c>
      <c r="I495">
        <v>305018</v>
      </c>
      <c r="J495">
        <v>50</v>
      </c>
      <c r="K495">
        <v>0</v>
      </c>
      <c r="O495">
        <v>2305</v>
      </c>
    </row>
    <row r="496" spans="2:15">
      <c r="B496">
        <v>3022</v>
      </c>
      <c r="C496">
        <v>1001</v>
      </c>
      <c r="D496" s="321" t="s">
        <v>195</v>
      </c>
      <c r="E496" s="8" t="s">
        <v>196</v>
      </c>
      <c r="F496" s="8" t="s">
        <v>196</v>
      </c>
      <c r="G496" t="s">
        <v>197</v>
      </c>
      <c r="H496" s="89" t="s">
        <v>198</v>
      </c>
      <c r="I496">
        <v>305019</v>
      </c>
      <c r="J496">
        <v>50</v>
      </c>
      <c r="K496">
        <v>0</v>
      </c>
      <c r="O496">
        <v>2306</v>
      </c>
    </row>
    <row r="497" spans="2:18">
      <c r="B497">
        <v>3023</v>
      </c>
      <c r="C497">
        <v>1001</v>
      </c>
      <c r="D497" s="321" t="s">
        <v>199</v>
      </c>
      <c r="E497" s="8" t="s">
        <v>200</v>
      </c>
      <c r="F497" s="8" t="s">
        <v>201</v>
      </c>
      <c r="G497" t="s">
        <v>202</v>
      </c>
      <c r="H497" s="89" t="s">
        <v>203</v>
      </c>
      <c r="I497">
        <v>305025</v>
      </c>
      <c r="J497">
        <v>50</v>
      </c>
      <c r="K497">
        <v>0</v>
      </c>
      <c r="O497">
        <v>2901</v>
      </c>
    </row>
    <row r="498" spans="2:18">
      <c r="B498">
        <v>3024</v>
      </c>
      <c r="C498">
        <v>1001</v>
      </c>
      <c r="D498" s="321" t="s">
        <v>199</v>
      </c>
      <c r="E498" s="8" t="s">
        <v>204</v>
      </c>
      <c r="F498" s="8" t="s">
        <v>205</v>
      </c>
      <c r="G498" t="s">
        <v>206</v>
      </c>
      <c r="H498" s="89" t="s">
        <v>207</v>
      </c>
      <c r="I498">
        <v>305026</v>
      </c>
      <c r="J498">
        <v>50</v>
      </c>
      <c r="K498">
        <v>0</v>
      </c>
      <c r="O498">
        <v>2902</v>
      </c>
    </row>
    <row r="499" spans="2:18">
      <c r="B499">
        <v>3025</v>
      </c>
      <c r="C499">
        <v>1001</v>
      </c>
      <c r="D499" s="321" t="s">
        <v>208</v>
      </c>
      <c r="E499" s="8" t="s">
        <v>209</v>
      </c>
      <c r="F499" s="8" t="s">
        <v>209</v>
      </c>
      <c r="G499" t="s">
        <v>210</v>
      </c>
      <c r="H499" s="89" t="s">
        <v>211</v>
      </c>
      <c r="I499">
        <v>305024</v>
      </c>
      <c r="J499">
        <v>50</v>
      </c>
      <c r="K499">
        <v>0</v>
      </c>
      <c r="L499">
        <v>1003</v>
      </c>
      <c r="O499">
        <v>0</v>
      </c>
    </row>
    <row r="500" spans="2:18" ht="15">
      <c r="B500">
        <v>3026</v>
      </c>
      <c r="C500">
        <v>1001</v>
      </c>
      <c r="D500" s="321" t="s">
        <v>212</v>
      </c>
      <c r="E500" s="8" t="s">
        <v>213</v>
      </c>
      <c r="F500" t="s">
        <v>213</v>
      </c>
      <c r="G500" s="112" t="s">
        <v>214</v>
      </c>
      <c r="H500" s="44" t="s">
        <v>215</v>
      </c>
      <c r="I500">
        <v>305032</v>
      </c>
      <c r="J500">
        <v>50</v>
      </c>
      <c r="K500">
        <v>0</v>
      </c>
      <c r="O500">
        <v>2203</v>
      </c>
      <c r="R500" s="8"/>
    </row>
    <row r="501" spans="2:18" ht="15">
      <c r="B501">
        <v>3027</v>
      </c>
      <c r="C501">
        <v>1001</v>
      </c>
      <c r="D501" s="321" t="s">
        <v>216</v>
      </c>
      <c r="E501" s="8" t="s">
        <v>217</v>
      </c>
      <c r="F501" t="s">
        <v>218</v>
      </c>
      <c r="G501" s="112" t="s">
        <v>219</v>
      </c>
      <c r="H501" s="44" t="s">
        <v>220</v>
      </c>
      <c r="I501">
        <v>305033</v>
      </c>
      <c r="J501">
        <v>50</v>
      </c>
      <c r="K501">
        <v>0</v>
      </c>
      <c r="O501">
        <v>2204</v>
      </c>
      <c r="R501" s="8"/>
    </row>
    <row r="502" spans="2:18" ht="15">
      <c r="B502">
        <v>3028</v>
      </c>
      <c r="C502">
        <v>1001</v>
      </c>
      <c r="D502" s="321" t="s">
        <v>221</v>
      </c>
      <c r="E502" s="8" t="s">
        <v>222</v>
      </c>
      <c r="F502" t="s">
        <v>223</v>
      </c>
      <c r="G502" s="112" t="s">
        <v>224</v>
      </c>
      <c r="H502" s="44" t="s">
        <v>225</v>
      </c>
      <c r="I502">
        <v>305034</v>
      </c>
      <c r="J502">
        <v>50</v>
      </c>
      <c r="K502">
        <v>0</v>
      </c>
      <c r="O502" s="236">
        <v>2105</v>
      </c>
      <c r="R502" s="8"/>
    </row>
    <row r="503" spans="2:18" ht="15">
      <c r="B503">
        <v>3029</v>
      </c>
      <c r="C503">
        <v>1001</v>
      </c>
      <c r="D503" s="321" t="s">
        <v>226</v>
      </c>
      <c r="E503" s="8" t="s">
        <v>227</v>
      </c>
      <c r="F503" t="s">
        <v>228</v>
      </c>
      <c r="G503" s="112" t="s">
        <v>229</v>
      </c>
      <c r="H503" s="44" t="s">
        <v>230</v>
      </c>
      <c r="I503">
        <v>305035</v>
      </c>
      <c r="J503">
        <v>50</v>
      </c>
      <c r="K503">
        <v>0</v>
      </c>
      <c r="O503" s="236">
        <v>2106</v>
      </c>
      <c r="R503" s="8"/>
    </row>
    <row r="504" spans="2:18" ht="18.75">
      <c r="B504">
        <v>3030</v>
      </c>
      <c r="C504">
        <v>1001</v>
      </c>
      <c r="D504" s="321" t="s">
        <v>231</v>
      </c>
      <c r="E504" s="8" t="s">
        <v>232</v>
      </c>
      <c r="F504" t="s">
        <v>233</v>
      </c>
      <c r="G504" s="112" t="s">
        <v>234</v>
      </c>
      <c r="H504" s="44" t="s">
        <v>235</v>
      </c>
      <c r="I504">
        <v>305036</v>
      </c>
      <c r="J504">
        <v>50</v>
      </c>
      <c r="K504">
        <v>0</v>
      </c>
      <c r="O504" s="236">
        <v>2107</v>
      </c>
      <c r="R504" s="8"/>
    </row>
    <row r="505" spans="2:18" ht="15">
      <c r="B505">
        <v>3031</v>
      </c>
      <c r="C505">
        <v>1001</v>
      </c>
      <c r="D505" s="322" t="s">
        <v>236</v>
      </c>
      <c r="E505" s="112" t="s">
        <v>237</v>
      </c>
      <c r="F505" t="s">
        <v>238</v>
      </c>
      <c r="G505" s="112" t="s">
        <v>239</v>
      </c>
      <c r="H505" s="176" t="s">
        <v>240</v>
      </c>
      <c r="I505" s="112">
        <v>200009</v>
      </c>
      <c r="J505">
        <v>150</v>
      </c>
      <c r="K505">
        <v>0</v>
      </c>
      <c r="O505" s="112">
        <v>507</v>
      </c>
      <c r="R505" s="8"/>
    </row>
    <row r="506" spans="2:18" ht="15">
      <c r="B506">
        <v>3032</v>
      </c>
      <c r="C506">
        <v>1001</v>
      </c>
      <c r="D506" s="322" t="s">
        <v>241</v>
      </c>
      <c r="E506" s="112" t="s">
        <v>242</v>
      </c>
      <c r="F506" t="s">
        <v>243</v>
      </c>
      <c r="G506" s="112" t="s">
        <v>244</v>
      </c>
      <c r="H506" s="176" t="s">
        <v>245</v>
      </c>
      <c r="I506" s="112">
        <v>200010</v>
      </c>
      <c r="J506">
        <v>150</v>
      </c>
      <c r="K506">
        <v>0</v>
      </c>
      <c r="O506" s="112">
        <v>508</v>
      </c>
      <c r="R506" s="8"/>
    </row>
    <row r="507" spans="2:18" ht="16.5">
      <c r="B507">
        <v>3033</v>
      </c>
      <c r="C507">
        <v>1001</v>
      </c>
      <c r="D507" s="322" t="s">
        <v>246</v>
      </c>
      <c r="E507" s="112" t="s">
        <v>247</v>
      </c>
      <c r="F507" t="s">
        <v>248</v>
      </c>
      <c r="G507" s="177" t="s">
        <v>248</v>
      </c>
      <c r="H507" s="178" t="s">
        <v>249</v>
      </c>
      <c r="I507" s="112">
        <v>200011</v>
      </c>
      <c r="J507">
        <v>150</v>
      </c>
      <c r="K507">
        <v>0</v>
      </c>
      <c r="O507" s="112">
        <v>801</v>
      </c>
      <c r="R507" s="8"/>
    </row>
    <row r="508" spans="2:18" ht="16.5">
      <c r="B508">
        <v>3034</v>
      </c>
      <c r="C508">
        <v>1001</v>
      </c>
      <c r="D508" s="322" t="s">
        <v>250</v>
      </c>
      <c r="E508" s="179" t="s">
        <v>251</v>
      </c>
      <c r="F508" t="s">
        <v>251</v>
      </c>
      <c r="G508" s="177" t="s">
        <v>252</v>
      </c>
      <c r="H508" s="178" t="s">
        <v>253</v>
      </c>
      <c r="I508" s="112">
        <v>200012</v>
      </c>
      <c r="J508">
        <v>150</v>
      </c>
      <c r="K508">
        <v>0</v>
      </c>
      <c r="O508" s="112">
        <v>802</v>
      </c>
      <c r="R508" s="8"/>
    </row>
    <row r="509" spans="2:18" ht="16.5">
      <c r="B509">
        <v>3035</v>
      </c>
      <c r="C509">
        <v>1001</v>
      </c>
      <c r="D509" s="322" t="s">
        <v>254</v>
      </c>
      <c r="E509" s="112" t="s">
        <v>255</v>
      </c>
      <c r="F509" t="s">
        <v>256</v>
      </c>
      <c r="G509" s="177" t="s">
        <v>257</v>
      </c>
      <c r="H509" s="178" t="s">
        <v>258</v>
      </c>
      <c r="I509" s="112">
        <v>200013</v>
      </c>
      <c r="J509">
        <v>150</v>
      </c>
      <c r="K509">
        <v>0</v>
      </c>
      <c r="O509" s="112">
        <v>803</v>
      </c>
      <c r="R509" s="8"/>
    </row>
    <row r="510" spans="2:18" ht="16.5">
      <c r="B510">
        <v>3036</v>
      </c>
      <c r="C510">
        <v>1001</v>
      </c>
      <c r="D510" s="322" t="s">
        <v>259</v>
      </c>
      <c r="E510" s="112" t="s">
        <v>260</v>
      </c>
      <c r="F510" t="s">
        <v>261</v>
      </c>
      <c r="G510" s="177" t="s">
        <v>261</v>
      </c>
      <c r="H510" s="178" t="s">
        <v>262</v>
      </c>
      <c r="I510" s="112">
        <v>200014</v>
      </c>
      <c r="J510">
        <v>150</v>
      </c>
      <c r="K510">
        <v>0</v>
      </c>
      <c r="O510" s="112">
        <v>804</v>
      </c>
      <c r="R510" s="8"/>
    </row>
    <row r="511" spans="2:18" ht="16.5">
      <c r="B511">
        <v>3037</v>
      </c>
      <c r="C511">
        <v>1001</v>
      </c>
      <c r="D511" s="321" t="s">
        <v>263</v>
      </c>
      <c r="E511" s="8" t="s">
        <v>264</v>
      </c>
      <c r="F511" t="s">
        <v>264</v>
      </c>
      <c r="G511" s="180" t="s">
        <v>265</v>
      </c>
      <c r="H511" s="181" t="s">
        <v>266</v>
      </c>
      <c r="I511">
        <v>305037</v>
      </c>
      <c r="J511">
        <v>50</v>
      </c>
      <c r="K511">
        <v>0</v>
      </c>
      <c r="O511" s="112">
        <v>2205</v>
      </c>
      <c r="R511" s="8"/>
    </row>
    <row r="512" spans="2:18" ht="16.5">
      <c r="B512">
        <v>3038</v>
      </c>
      <c r="C512">
        <v>1001</v>
      </c>
      <c r="D512" s="321" t="s">
        <v>267</v>
      </c>
      <c r="E512" s="8" t="s">
        <v>268</v>
      </c>
      <c r="F512" t="s">
        <v>269</v>
      </c>
      <c r="G512" s="180" t="s">
        <v>270</v>
      </c>
      <c r="H512" s="182" t="s">
        <v>271</v>
      </c>
      <c r="I512">
        <v>305038</v>
      </c>
      <c r="J512">
        <v>50</v>
      </c>
      <c r="K512">
        <v>0</v>
      </c>
      <c r="O512" s="112">
        <v>2206</v>
      </c>
      <c r="R512" s="8"/>
    </row>
    <row r="513" spans="2:18" ht="16.5">
      <c r="B513">
        <v>3039</v>
      </c>
      <c r="C513">
        <v>1001</v>
      </c>
      <c r="D513" s="321" t="s">
        <v>272</v>
      </c>
      <c r="E513" s="8" t="s">
        <v>273</v>
      </c>
      <c r="F513" t="s">
        <v>273</v>
      </c>
      <c r="G513" s="180" t="s">
        <v>274</v>
      </c>
      <c r="H513" s="182" t="s">
        <v>275</v>
      </c>
      <c r="I513">
        <v>305039</v>
      </c>
      <c r="J513">
        <v>50</v>
      </c>
      <c r="K513">
        <v>0</v>
      </c>
      <c r="O513" s="236">
        <v>2108</v>
      </c>
      <c r="R513" s="8"/>
    </row>
    <row r="514" spans="2:18" ht="33">
      <c r="B514">
        <v>3040</v>
      </c>
      <c r="C514">
        <v>1001</v>
      </c>
      <c r="D514" s="321" t="s">
        <v>276</v>
      </c>
      <c r="E514" s="8" t="s">
        <v>277</v>
      </c>
      <c r="F514" t="s">
        <v>278</v>
      </c>
      <c r="G514" s="180" t="s">
        <v>279</v>
      </c>
      <c r="H514" s="182" t="s">
        <v>280</v>
      </c>
      <c r="I514">
        <v>305040</v>
      </c>
      <c r="J514">
        <v>50</v>
      </c>
      <c r="K514">
        <v>0</v>
      </c>
      <c r="O514" s="236">
        <v>2109</v>
      </c>
      <c r="R514" s="8"/>
    </row>
    <row r="515" spans="2:18" ht="16.5">
      <c r="B515">
        <v>3041</v>
      </c>
      <c r="C515">
        <v>1001</v>
      </c>
      <c r="D515" s="321" t="s">
        <v>281</v>
      </c>
      <c r="E515" s="8" t="s">
        <v>282</v>
      </c>
      <c r="F515" t="s">
        <v>283</v>
      </c>
      <c r="G515" s="180" t="s">
        <v>284</v>
      </c>
      <c r="H515" s="182" t="s">
        <v>285</v>
      </c>
      <c r="I515">
        <v>305041</v>
      </c>
      <c r="J515">
        <v>50</v>
      </c>
      <c r="K515">
        <v>0</v>
      </c>
      <c r="O515" s="112">
        <v>2307</v>
      </c>
      <c r="R515" s="8"/>
    </row>
    <row r="516" spans="2:18" ht="16.5">
      <c r="B516">
        <v>3042</v>
      </c>
      <c r="C516">
        <v>1001</v>
      </c>
      <c r="D516" s="321" t="s">
        <v>286</v>
      </c>
      <c r="E516" s="8" t="s">
        <v>287</v>
      </c>
      <c r="F516" t="s">
        <v>288</v>
      </c>
      <c r="G516" s="180" t="s">
        <v>289</v>
      </c>
      <c r="H516" s="182" t="s">
        <v>290</v>
      </c>
      <c r="I516">
        <v>305042</v>
      </c>
      <c r="J516">
        <v>50</v>
      </c>
      <c r="K516">
        <v>0</v>
      </c>
      <c r="O516" s="112">
        <v>2308</v>
      </c>
      <c r="R516" s="8"/>
    </row>
    <row r="517" spans="2:18" ht="18.75">
      <c r="B517">
        <v>3043</v>
      </c>
      <c r="C517">
        <v>1001</v>
      </c>
      <c r="D517" s="322" t="s">
        <v>291</v>
      </c>
      <c r="E517" s="112" t="s">
        <v>292</v>
      </c>
      <c r="F517" t="s">
        <v>292</v>
      </c>
      <c r="G517" s="183" t="s">
        <v>293</v>
      </c>
      <c r="H517" s="182" t="s">
        <v>294</v>
      </c>
      <c r="I517" s="112">
        <v>200016</v>
      </c>
      <c r="J517">
        <v>150</v>
      </c>
      <c r="K517">
        <v>0</v>
      </c>
      <c r="O517" s="112">
        <v>509</v>
      </c>
      <c r="R517" s="8"/>
    </row>
    <row r="518" spans="2:18" ht="18.75">
      <c r="B518">
        <v>3044</v>
      </c>
      <c r="C518">
        <v>1001</v>
      </c>
      <c r="D518" s="322" t="s">
        <v>295</v>
      </c>
      <c r="E518" s="112" t="s">
        <v>296</v>
      </c>
      <c r="F518" t="s">
        <v>297</v>
      </c>
      <c r="G518" s="183" t="s">
        <v>298</v>
      </c>
      <c r="H518" s="182" t="s">
        <v>299</v>
      </c>
      <c r="I518" s="112">
        <v>200017</v>
      </c>
      <c r="J518">
        <v>150</v>
      </c>
      <c r="K518">
        <v>0</v>
      </c>
      <c r="O518" s="112">
        <v>510</v>
      </c>
      <c r="R518" s="8"/>
    </row>
    <row r="519" spans="2:18" ht="16.5">
      <c r="B519">
        <v>3045</v>
      </c>
      <c r="C519">
        <v>1001</v>
      </c>
      <c r="D519" s="321" t="s">
        <v>199</v>
      </c>
      <c r="E519" s="8" t="s">
        <v>300</v>
      </c>
      <c r="F519" t="s">
        <v>301</v>
      </c>
      <c r="G519" s="21" t="s">
        <v>302</v>
      </c>
      <c r="H519" s="64" t="s">
        <v>303</v>
      </c>
      <c r="I519" s="112">
        <v>305050</v>
      </c>
      <c r="J519">
        <v>50</v>
      </c>
      <c r="K519">
        <v>0</v>
      </c>
      <c r="O519" s="112">
        <v>2903</v>
      </c>
      <c r="R519" s="8"/>
    </row>
    <row r="520" spans="2:18" ht="15">
      <c r="B520">
        <v>3046</v>
      </c>
      <c r="C520">
        <v>1001</v>
      </c>
      <c r="D520" s="321" t="s">
        <v>304</v>
      </c>
      <c r="E520" s="8" t="s">
        <v>305</v>
      </c>
      <c r="F520" t="s">
        <v>305</v>
      </c>
      <c r="G520" s="52" t="s">
        <v>306</v>
      </c>
      <c r="H520" s="44" t="s">
        <v>307</v>
      </c>
      <c r="I520">
        <v>305048</v>
      </c>
      <c r="J520">
        <v>50</v>
      </c>
      <c r="K520">
        <v>0</v>
      </c>
      <c r="L520">
        <v>1015</v>
      </c>
      <c r="O520">
        <v>0</v>
      </c>
      <c r="R520" s="8"/>
    </row>
    <row r="521" spans="2:18" ht="16.5">
      <c r="B521">
        <v>3047</v>
      </c>
      <c r="C521">
        <v>1001</v>
      </c>
      <c r="D521" s="321" t="s">
        <v>308</v>
      </c>
      <c r="E521" s="8" t="s">
        <v>309</v>
      </c>
      <c r="F521" t="s">
        <v>309</v>
      </c>
      <c r="G521" s="184" t="s">
        <v>310</v>
      </c>
      <c r="H521" s="182" t="s">
        <v>311</v>
      </c>
      <c r="I521">
        <v>305046</v>
      </c>
      <c r="J521">
        <v>50</v>
      </c>
      <c r="K521">
        <v>0</v>
      </c>
      <c r="O521" s="112">
        <v>2402</v>
      </c>
      <c r="R521" s="8"/>
    </row>
    <row r="522" spans="2:18" ht="16.5">
      <c r="B522">
        <v>3049</v>
      </c>
      <c r="C522">
        <v>1001</v>
      </c>
      <c r="D522" s="321" t="s">
        <v>312</v>
      </c>
      <c r="E522" s="8" t="s">
        <v>313</v>
      </c>
      <c r="F522" t="s">
        <v>314</v>
      </c>
      <c r="G522" s="21" t="s">
        <v>315</v>
      </c>
      <c r="H522" s="64" t="s">
        <v>316</v>
      </c>
      <c r="I522" s="111">
        <v>305200</v>
      </c>
      <c r="J522">
        <v>50</v>
      </c>
      <c r="K522">
        <v>0</v>
      </c>
      <c r="O522" s="236">
        <v>2110</v>
      </c>
      <c r="R522" s="8"/>
    </row>
    <row r="523" spans="2:18" ht="16.5">
      <c r="B523">
        <v>3050</v>
      </c>
      <c r="C523">
        <v>1001</v>
      </c>
      <c r="D523" s="321" t="s">
        <v>317</v>
      </c>
      <c r="E523" s="8" t="s">
        <v>318</v>
      </c>
      <c r="F523" t="s">
        <v>319</v>
      </c>
      <c r="G523" s="64" t="s">
        <v>320</v>
      </c>
      <c r="H523" s="60" t="s">
        <v>321</v>
      </c>
      <c r="I523" s="111">
        <v>305300</v>
      </c>
      <c r="J523">
        <v>50</v>
      </c>
      <c r="K523">
        <v>0</v>
      </c>
      <c r="O523" s="112">
        <v>2207</v>
      </c>
      <c r="R523" s="8"/>
    </row>
    <row r="524" spans="2:18" ht="16.5">
      <c r="B524">
        <v>3052</v>
      </c>
      <c r="C524">
        <v>1001</v>
      </c>
      <c r="D524" s="321" t="s">
        <v>322</v>
      </c>
      <c r="E524" s="8" t="s">
        <v>323</v>
      </c>
      <c r="F524" t="s">
        <v>324</v>
      </c>
      <c r="G524" s="185" t="s">
        <v>325</v>
      </c>
      <c r="H524" s="64" t="s">
        <v>326</v>
      </c>
      <c r="I524" s="111">
        <v>305600</v>
      </c>
      <c r="J524">
        <v>50</v>
      </c>
      <c r="K524">
        <v>0</v>
      </c>
      <c r="O524" s="112">
        <v>2309</v>
      </c>
      <c r="R524" s="8"/>
    </row>
    <row r="525" spans="2:18" ht="16.5">
      <c r="B525">
        <v>3053</v>
      </c>
      <c r="C525">
        <v>1001</v>
      </c>
      <c r="D525" s="321" t="s">
        <v>327</v>
      </c>
      <c r="E525" s="8" t="s">
        <v>328</v>
      </c>
      <c r="F525" t="s">
        <v>329</v>
      </c>
      <c r="G525" s="185" t="s">
        <v>330</v>
      </c>
      <c r="H525" s="64" t="s">
        <v>331</v>
      </c>
      <c r="I525" s="111">
        <v>305700</v>
      </c>
      <c r="J525">
        <v>50</v>
      </c>
      <c r="K525">
        <v>0</v>
      </c>
      <c r="O525" s="112">
        <v>2501</v>
      </c>
      <c r="R525" s="8"/>
    </row>
    <row r="526" spans="2:18" ht="16.5">
      <c r="B526">
        <v>3054</v>
      </c>
      <c r="C526">
        <v>1001</v>
      </c>
      <c r="D526" s="322" t="s">
        <v>332</v>
      </c>
      <c r="E526" s="186" t="s">
        <v>333</v>
      </c>
      <c r="F526" t="s">
        <v>333</v>
      </c>
      <c r="G526" s="64" t="s">
        <v>334</v>
      </c>
      <c r="H526" s="64" t="s">
        <v>335</v>
      </c>
      <c r="I526" s="112">
        <v>200018</v>
      </c>
      <c r="J526">
        <v>150</v>
      </c>
      <c r="K526">
        <v>0</v>
      </c>
      <c r="O526">
        <v>511</v>
      </c>
      <c r="R526" s="8"/>
    </row>
    <row r="527" spans="2:18" ht="16.5">
      <c r="B527">
        <v>3055</v>
      </c>
      <c r="C527">
        <v>1001</v>
      </c>
      <c r="D527" s="322" t="s">
        <v>336</v>
      </c>
      <c r="E527" s="186" t="s">
        <v>337</v>
      </c>
      <c r="F527" t="s">
        <v>338</v>
      </c>
      <c r="G527" s="21" t="s">
        <v>338</v>
      </c>
      <c r="H527" s="64" t="s">
        <v>339</v>
      </c>
      <c r="I527" s="112">
        <v>200019</v>
      </c>
      <c r="J527">
        <v>150</v>
      </c>
      <c r="K527">
        <v>0</v>
      </c>
      <c r="O527">
        <v>512</v>
      </c>
      <c r="R527" s="8"/>
    </row>
    <row r="528" spans="2:18" ht="16.5">
      <c r="B528">
        <v>3057</v>
      </c>
      <c r="C528">
        <v>1001</v>
      </c>
      <c r="D528" s="321" t="s">
        <v>199</v>
      </c>
      <c r="E528" s="8" t="s">
        <v>340</v>
      </c>
      <c r="F528" t="s">
        <v>341</v>
      </c>
      <c r="G528" s="21" t="s">
        <v>342</v>
      </c>
      <c r="H528" s="64" t="s">
        <v>343</v>
      </c>
      <c r="I528" s="112">
        <v>305051</v>
      </c>
      <c r="J528">
        <v>50</v>
      </c>
      <c r="K528">
        <v>0</v>
      </c>
      <c r="O528">
        <v>2904</v>
      </c>
      <c r="R528" s="8"/>
    </row>
    <row r="529" spans="2:15" ht="16.5">
      <c r="B529">
        <v>3058</v>
      </c>
      <c r="C529">
        <v>1001</v>
      </c>
      <c r="D529" s="321" t="s">
        <v>344</v>
      </c>
      <c r="E529" s="8" t="s">
        <v>345</v>
      </c>
      <c r="F529" s="8" t="s">
        <v>346</v>
      </c>
      <c r="G529" s="77" t="s">
        <v>347</v>
      </c>
      <c r="H529" s="78" t="s">
        <v>348</v>
      </c>
      <c r="I529">
        <v>305201</v>
      </c>
      <c r="J529">
        <v>50</v>
      </c>
      <c r="K529">
        <v>0</v>
      </c>
      <c r="L529">
        <v>1033</v>
      </c>
      <c r="O529">
        <v>0</v>
      </c>
    </row>
    <row r="530" spans="2:15" ht="16.5">
      <c r="B530">
        <v>3059</v>
      </c>
      <c r="C530">
        <v>1001</v>
      </c>
      <c r="D530" s="321" t="s">
        <v>349</v>
      </c>
      <c r="E530" s="8" t="s">
        <v>350</v>
      </c>
      <c r="F530" s="8" t="s">
        <v>350</v>
      </c>
      <c r="G530" s="77" t="s">
        <v>351</v>
      </c>
      <c r="H530" s="78" t="s">
        <v>352</v>
      </c>
      <c r="I530">
        <v>305202</v>
      </c>
      <c r="J530">
        <v>50</v>
      </c>
      <c r="K530">
        <v>0</v>
      </c>
      <c r="L530">
        <v>1033</v>
      </c>
      <c r="O530">
        <v>0</v>
      </c>
    </row>
    <row r="531" spans="2:15" ht="16.5">
      <c r="B531">
        <v>3060</v>
      </c>
      <c r="C531">
        <v>1001</v>
      </c>
      <c r="D531" s="321" t="s">
        <v>353</v>
      </c>
      <c r="E531" s="8" t="s">
        <v>354</v>
      </c>
      <c r="F531" s="8" t="s">
        <v>355</v>
      </c>
      <c r="G531" s="77" t="s">
        <v>356</v>
      </c>
      <c r="H531" s="78" t="s">
        <v>357</v>
      </c>
      <c r="I531">
        <v>305301</v>
      </c>
      <c r="J531">
        <v>50</v>
      </c>
      <c r="K531">
        <v>0</v>
      </c>
      <c r="L531">
        <v>1033</v>
      </c>
      <c r="O531">
        <v>0</v>
      </c>
    </row>
    <row r="532" spans="2:15" ht="16.5">
      <c r="B532">
        <v>3061</v>
      </c>
      <c r="C532">
        <v>1001</v>
      </c>
      <c r="D532" s="321" t="s">
        <v>358</v>
      </c>
      <c r="E532" s="8" t="s">
        <v>359</v>
      </c>
      <c r="F532" s="8" t="s">
        <v>359</v>
      </c>
      <c r="G532" s="77" t="s">
        <v>360</v>
      </c>
      <c r="H532" s="78" t="s">
        <v>361</v>
      </c>
      <c r="I532">
        <v>305302</v>
      </c>
      <c r="J532">
        <v>50</v>
      </c>
      <c r="K532">
        <v>0</v>
      </c>
      <c r="L532">
        <v>1033</v>
      </c>
      <c r="O532">
        <v>0</v>
      </c>
    </row>
    <row r="533" spans="2:15" ht="16.5">
      <c r="B533">
        <v>3062</v>
      </c>
      <c r="C533">
        <v>1001</v>
      </c>
      <c r="D533" s="321" t="s">
        <v>362</v>
      </c>
      <c r="E533" s="8" t="s">
        <v>363</v>
      </c>
      <c r="F533" s="8" t="s">
        <v>363</v>
      </c>
      <c r="G533" s="77" t="s">
        <v>364</v>
      </c>
      <c r="H533" s="78" t="s">
        <v>365</v>
      </c>
      <c r="I533">
        <v>305601</v>
      </c>
      <c r="J533">
        <v>50</v>
      </c>
      <c r="K533">
        <v>0</v>
      </c>
      <c r="L533">
        <v>1033</v>
      </c>
      <c r="O533">
        <v>0</v>
      </c>
    </row>
    <row r="534" spans="2:15" ht="16.5">
      <c r="B534">
        <v>3064</v>
      </c>
      <c r="C534">
        <v>1001</v>
      </c>
      <c r="D534" s="322" t="s">
        <v>366</v>
      </c>
      <c r="E534" s="43" t="s">
        <v>367</v>
      </c>
      <c r="F534" s="8" t="s">
        <v>368</v>
      </c>
      <c r="G534" s="77" t="s">
        <v>369</v>
      </c>
      <c r="H534" s="78" t="s">
        <v>370</v>
      </c>
      <c r="I534" s="112">
        <v>200020</v>
      </c>
      <c r="J534">
        <v>150</v>
      </c>
      <c r="K534">
        <v>0</v>
      </c>
      <c r="O534">
        <v>513</v>
      </c>
    </row>
    <row r="535" spans="2:15" ht="16.5">
      <c r="B535">
        <v>3065</v>
      </c>
      <c r="C535">
        <v>1001</v>
      </c>
      <c r="D535" s="322" t="s">
        <v>371</v>
      </c>
      <c r="E535" s="43" t="s">
        <v>372</v>
      </c>
      <c r="F535" t="s">
        <v>373</v>
      </c>
      <c r="G535" s="77" t="s">
        <v>373</v>
      </c>
      <c r="H535" s="78" t="s">
        <v>374</v>
      </c>
      <c r="I535" s="112">
        <v>200021</v>
      </c>
      <c r="J535">
        <v>150</v>
      </c>
      <c r="K535">
        <v>0</v>
      </c>
      <c r="O535">
        <v>514</v>
      </c>
    </row>
    <row r="536" spans="2:15" ht="16.5">
      <c r="B536">
        <v>3066</v>
      </c>
      <c r="C536">
        <v>1001</v>
      </c>
      <c r="D536" s="322" t="s">
        <v>375</v>
      </c>
      <c r="E536" s="43" t="s">
        <v>376</v>
      </c>
      <c r="F536" t="s">
        <v>377</v>
      </c>
      <c r="G536" s="77" t="s">
        <v>378</v>
      </c>
      <c r="H536" s="78" t="s">
        <v>379</v>
      </c>
      <c r="I536" s="112">
        <v>200022</v>
      </c>
      <c r="J536">
        <v>150</v>
      </c>
      <c r="K536">
        <v>0</v>
      </c>
      <c r="O536">
        <v>805</v>
      </c>
    </row>
    <row r="537" spans="2:15" ht="16.5">
      <c r="B537">
        <v>3067</v>
      </c>
      <c r="C537">
        <v>1001</v>
      </c>
      <c r="D537" s="322" t="s">
        <v>380</v>
      </c>
      <c r="E537" s="43" t="s">
        <v>381</v>
      </c>
      <c r="F537" t="s">
        <v>382</v>
      </c>
      <c r="G537" s="77" t="s">
        <v>383</v>
      </c>
      <c r="H537" s="78" t="s">
        <v>384</v>
      </c>
      <c r="I537" s="112">
        <v>200023</v>
      </c>
      <c r="J537">
        <v>150</v>
      </c>
      <c r="K537">
        <v>0</v>
      </c>
      <c r="O537">
        <v>806</v>
      </c>
    </row>
    <row r="538" spans="2:15">
      <c r="B538">
        <v>3068</v>
      </c>
      <c r="C538">
        <v>1001</v>
      </c>
      <c r="D538" s="321" t="s">
        <v>141</v>
      </c>
      <c r="E538" s="8" t="s">
        <v>385</v>
      </c>
      <c r="F538" s="8" t="s">
        <v>386</v>
      </c>
      <c r="G538" s="8" t="s">
        <v>144</v>
      </c>
      <c r="H538" s="89" t="s">
        <v>145</v>
      </c>
      <c r="I538">
        <v>305029</v>
      </c>
      <c r="J538">
        <v>50</v>
      </c>
      <c r="K538">
        <v>0</v>
      </c>
      <c r="L538">
        <v>1037</v>
      </c>
      <c r="O538">
        <v>0</v>
      </c>
    </row>
    <row r="539" spans="2:15" ht="16.5">
      <c r="B539">
        <v>3069</v>
      </c>
      <c r="C539">
        <v>1001</v>
      </c>
      <c r="D539" s="322" t="s">
        <v>387</v>
      </c>
      <c r="E539" s="8" t="s">
        <v>388</v>
      </c>
      <c r="F539" s="8" t="s">
        <v>389</v>
      </c>
      <c r="G539" s="77" t="s">
        <v>390</v>
      </c>
      <c r="H539" s="78" t="s">
        <v>391</v>
      </c>
      <c r="I539">
        <v>305203</v>
      </c>
      <c r="J539">
        <v>50</v>
      </c>
      <c r="K539">
        <v>0</v>
      </c>
      <c r="L539">
        <v>1037</v>
      </c>
      <c r="O539">
        <v>0</v>
      </c>
    </row>
    <row r="540" spans="2:15" ht="16.5">
      <c r="B540">
        <v>3070</v>
      </c>
      <c r="C540">
        <v>1001</v>
      </c>
      <c r="D540" s="322" t="s">
        <v>392</v>
      </c>
      <c r="E540" s="8" t="s">
        <v>393</v>
      </c>
      <c r="F540" s="8" t="s">
        <v>394</v>
      </c>
      <c r="G540" s="77" t="s">
        <v>395</v>
      </c>
      <c r="H540" s="78" t="s">
        <v>396</v>
      </c>
      <c r="I540">
        <v>305303</v>
      </c>
      <c r="J540">
        <v>50</v>
      </c>
      <c r="K540">
        <v>0</v>
      </c>
      <c r="L540">
        <v>1037</v>
      </c>
      <c r="O540">
        <v>0</v>
      </c>
    </row>
    <row r="541" spans="2:15">
      <c r="B541">
        <v>3071</v>
      </c>
      <c r="C541">
        <v>1001</v>
      </c>
      <c r="D541" s="321" t="s">
        <v>165</v>
      </c>
      <c r="E541" s="8" t="s">
        <v>397</v>
      </c>
      <c r="F541" s="8" t="s">
        <v>398</v>
      </c>
      <c r="G541" s="8" t="s">
        <v>168</v>
      </c>
      <c r="H541" s="89" t="s">
        <v>169</v>
      </c>
      <c r="I541">
        <v>305027</v>
      </c>
      <c r="J541">
        <v>50</v>
      </c>
      <c r="K541">
        <v>0</v>
      </c>
      <c r="L541">
        <v>1037</v>
      </c>
      <c r="O541">
        <v>0</v>
      </c>
    </row>
    <row r="542" spans="2:15">
      <c r="B542">
        <v>3072</v>
      </c>
      <c r="C542">
        <v>1001</v>
      </c>
      <c r="D542" s="321" t="s">
        <v>170</v>
      </c>
      <c r="E542" s="8" t="s">
        <v>399</v>
      </c>
      <c r="F542" s="8" t="s">
        <v>400</v>
      </c>
      <c r="G542" s="8" t="s">
        <v>173</v>
      </c>
      <c r="H542" s="89" t="s">
        <v>174</v>
      </c>
      <c r="I542">
        <v>305028</v>
      </c>
      <c r="J542">
        <v>50</v>
      </c>
      <c r="K542">
        <v>0</v>
      </c>
      <c r="L542">
        <v>1037</v>
      </c>
      <c r="O542">
        <v>0</v>
      </c>
    </row>
    <row r="543" spans="2:15" ht="16.5">
      <c r="B543">
        <v>3073</v>
      </c>
      <c r="C543">
        <v>1001</v>
      </c>
      <c r="D543" s="321" t="s">
        <v>401</v>
      </c>
      <c r="E543" s="8" t="s">
        <v>402</v>
      </c>
      <c r="F543" s="8" t="s">
        <v>403</v>
      </c>
      <c r="G543" s="77" t="s">
        <v>404</v>
      </c>
      <c r="H543" s="78" t="s">
        <v>405</v>
      </c>
      <c r="I543">
        <v>305602</v>
      </c>
      <c r="J543">
        <v>50</v>
      </c>
      <c r="K543">
        <v>0</v>
      </c>
      <c r="L543">
        <v>1037</v>
      </c>
      <c r="O543">
        <v>0</v>
      </c>
    </row>
    <row r="544" spans="2:15" ht="16.5">
      <c r="B544">
        <v>3074</v>
      </c>
      <c r="C544">
        <v>1001</v>
      </c>
      <c r="D544" s="321" t="s">
        <v>406</v>
      </c>
      <c r="E544" s="8" t="s">
        <v>407</v>
      </c>
      <c r="F544" s="8" t="s">
        <v>408</v>
      </c>
      <c r="G544" s="202" t="s">
        <v>409</v>
      </c>
      <c r="H544" s="64" t="s">
        <v>410</v>
      </c>
      <c r="I544" s="8">
        <v>305701</v>
      </c>
      <c r="J544">
        <v>50</v>
      </c>
      <c r="K544">
        <v>0</v>
      </c>
      <c r="L544">
        <v>1037</v>
      </c>
      <c r="O544">
        <v>0</v>
      </c>
    </row>
    <row r="545" spans="1:18" ht="16.5">
      <c r="B545">
        <v>3076</v>
      </c>
      <c r="C545">
        <v>1001</v>
      </c>
      <c r="D545" s="321" t="s">
        <v>411</v>
      </c>
      <c r="E545" s="8" t="s">
        <v>412</v>
      </c>
      <c r="F545" s="8" t="s">
        <v>413</v>
      </c>
      <c r="G545" s="77" t="s">
        <v>414</v>
      </c>
      <c r="H545" s="21" t="s">
        <v>415</v>
      </c>
      <c r="I545" s="8">
        <v>305801</v>
      </c>
      <c r="J545">
        <v>50</v>
      </c>
      <c r="K545">
        <v>0</v>
      </c>
      <c r="L545">
        <v>1037</v>
      </c>
      <c r="O545">
        <v>0</v>
      </c>
    </row>
    <row r="546" spans="1:18" ht="16.5">
      <c r="B546">
        <v>3077</v>
      </c>
      <c r="C546">
        <v>1001</v>
      </c>
      <c r="D546" s="321" t="s">
        <v>416</v>
      </c>
      <c r="E546" s="8" t="s">
        <v>417</v>
      </c>
      <c r="F546" s="77" t="s">
        <v>418</v>
      </c>
      <c r="G546" s="77" t="s">
        <v>418</v>
      </c>
      <c r="H546" s="77" t="s">
        <v>419</v>
      </c>
      <c r="I546" s="8">
        <v>200024</v>
      </c>
      <c r="J546">
        <v>150</v>
      </c>
      <c r="K546">
        <v>0</v>
      </c>
      <c r="O546">
        <v>515</v>
      </c>
      <c r="R546" s="8"/>
    </row>
    <row r="547" spans="1:18" ht="16.5">
      <c r="B547">
        <v>3078</v>
      </c>
      <c r="C547">
        <v>1001</v>
      </c>
      <c r="D547" s="321" t="s">
        <v>420</v>
      </c>
      <c r="E547" s="8" t="s">
        <v>421</v>
      </c>
      <c r="F547" s="21" t="s">
        <v>421</v>
      </c>
      <c r="G547" s="77" t="s">
        <v>422</v>
      </c>
      <c r="H547" s="21" t="s">
        <v>423</v>
      </c>
      <c r="I547" s="8">
        <v>200025</v>
      </c>
      <c r="J547">
        <v>150</v>
      </c>
      <c r="K547">
        <v>0</v>
      </c>
      <c r="O547">
        <v>807</v>
      </c>
      <c r="R547" s="8"/>
    </row>
    <row r="548" spans="1:18" ht="16.5">
      <c r="B548">
        <v>3079</v>
      </c>
      <c r="C548">
        <v>1001</v>
      </c>
      <c r="D548" s="321" t="s">
        <v>424</v>
      </c>
      <c r="E548" s="8" t="s">
        <v>425</v>
      </c>
      <c r="F548" t="s">
        <v>425</v>
      </c>
      <c r="G548" s="77" t="s">
        <v>426</v>
      </c>
      <c r="H548" s="21" t="s">
        <v>427</v>
      </c>
      <c r="I548">
        <v>305204</v>
      </c>
      <c r="J548">
        <v>50</v>
      </c>
      <c r="K548">
        <v>0</v>
      </c>
      <c r="L548">
        <v>1068</v>
      </c>
      <c r="O548">
        <v>0</v>
      </c>
      <c r="R548" s="8"/>
    </row>
    <row r="549" spans="1:18" ht="16.5">
      <c r="A549" t="s">
        <v>594</v>
      </c>
      <c r="B549">
        <v>3080</v>
      </c>
      <c r="C549">
        <v>1001</v>
      </c>
      <c r="D549" s="321" t="s">
        <v>428</v>
      </c>
      <c r="E549" s="8" t="s">
        <v>429</v>
      </c>
      <c r="F549" t="s">
        <v>429</v>
      </c>
      <c r="G549" s="77" t="s">
        <v>430</v>
      </c>
      <c r="H549" s="21" t="s">
        <v>431</v>
      </c>
      <c r="I549">
        <v>305205</v>
      </c>
      <c r="J549">
        <v>50</v>
      </c>
      <c r="K549">
        <v>0</v>
      </c>
      <c r="L549">
        <v>1068</v>
      </c>
      <c r="O549">
        <v>0</v>
      </c>
      <c r="R549" s="8"/>
    </row>
    <row r="550" spans="1:18" ht="16.5">
      <c r="B550">
        <v>3081</v>
      </c>
      <c r="C550">
        <v>1001</v>
      </c>
      <c r="D550" s="321" t="s">
        <v>432</v>
      </c>
      <c r="E550" s="8" t="s">
        <v>433</v>
      </c>
      <c r="F550" t="s">
        <v>434</v>
      </c>
      <c r="G550" s="77" t="s">
        <v>435</v>
      </c>
      <c r="H550" s="21" t="s">
        <v>436</v>
      </c>
      <c r="I550">
        <v>305304</v>
      </c>
      <c r="J550">
        <v>50</v>
      </c>
      <c r="K550">
        <v>0</v>
      </c>
      <c r="L550">
        <v>1068</v>
      </c>
      <c r="O550">
        <v>0</v>
      </c>
      <c r="R550" s="8"/>
    </row>
    <row r="551" spans="1:18" ht="16.5">
      <c r="B551">
        <v>3082</v>
      </c>
      <c r="C551">
        <v>1001</v>
      </c>
      <c r="D551" s="321" t="s">
        <v>437</v>
      </c>
      <c r="E551" s="8" t="s">
        <v>438</v>
      </c>
      <c r="F551" t="s">
        <v>439</v>
      </c>
      <c r="G551" s="77" t="s">
        <v>440</v>
      </c>
      <c r="H551" s="21" t="s">
        <v>441</v>
      </c>
      <c r="I551">
        <v>305305</v>
      </c>
      <c r="J551">
        <v>50</v>
      </c>
      <c r="K551">
        <v>0</v>
      </c>
      <c r="L551">
        <v>1068</v>
      </c>
      <c r="O551">
        <v>0</v>
      </c>
      <c r="R551" s="8"/>
    </row>
    <row r="552" spans="1:18" ht="16.5">
      <c r="B552">
        <v>3083</v>
      </c>
      <c r="C552">
        <v>1001</v>
      </c>
      <c r="D552" s="321" t="s">
        <v>442</v>
      </c>
      <c r="E552" s="8" t="s">
        <v>443</v>
      </c>
      <c r="F552" t="s">
        <v>444</v>
      </c>
      <c r="G552" s="77" t="s">
        <v>445</v>
      </c>
      <c r="H552" s="21" t="s">
        <v>446</v>
      </c>
      <c r="I552">
        <v>305603</v>
      </c>
      <c r="J552">
        <v>50</v>
      </c>
      <c r="K552">
        <v>0</v>
      </c>
      <c r="L552">
        <v>1068</v>
      </c>
      <c r="O552">
        <v>0</v>
      </c>
      <c r="R552" s="8"/>
    </row>
    <row r="553" spans="1:18" ht="16.5">
      <c r="B553">
        <v>3084</v>
      </c>
      <c r="C553">
        <v>1001</v>
      </c>
      <c r="D553" s="321" t="s">
        <v>447</v>
      </c>
      <c r="E553" s="8" t="s">
        <v>448</v>
      </c>
      <c r="F553" s="77"/>
      <c r="G553" s="77"/>
      <c r="H553" s="77"/>
      <c r="I553" s="8">
        <v>200026</v>
      </c>
      <c r="J553">
        <v>150</v>
      </c>
      <c r="K553">
        <v>0</v>
      </c>
      <c r="O553">
        <v>516</v>
      </c>
      <c r="R553" s="8"/>
    </row>
    <row r="554" spans="1:18" ht="16.5">
      <c r="B554">
        <v>3085</v>
      </c>
      <c r="C554">
        <v>1001</v>
      </c>
      <c r="D554" s="321" t="s">
        <v>449</v>
      </c>
      <c r="E554" s="8" t="s">
        <v>450</v>
      </c>
      <c r="F554" s="21"/>
      <c r="G554" s="77"/>
      <c r="H554" s="21"/>
      <c r="I554" s="8">
        <v>200027</v>
      </c>
      <c r="J554">
        <v>150</v>
      </c>
      <c r="K554">
        <v>0</v>
      </c>
      <c r="O554">
        <v>808</v>
      </c>
      <c r="R554" s="8"/>
    </row>
    <row r="555" spans="1:18" ht="16.5">
      <c r="B555">
        <v>3086</v>
      </c>
      <c r="C555">
        <v>1001</v>
      </c>
      <c r="D555" s="321" t="s">
        <v>451</v>
      </c>
      <c r="E555" s="14" t="s">
        <v>452</v>
      </c>
      <c r="G555" s="77"/>
      <c r="H555" s="21"/>
      <c r="I555">
        <v>305206</v>
      </c>
      <c r="J555">
        <v>50</v>
      </c>
      <c r="K555">
        <v>0</v>
      </c>
      <c r="L555">
        <v>1082</v>
      </c>
      <c r="O555">
        <v>0</v>
      </c>
      <c r="R555" s="8"/>
    </row>
    <row r="556" spans="1:18" ht="16.5">
      <c r="A556" t="s">
        <v>594</v>
      </c>
      <c r="B556">
        <v>3087</v>
      </c>
      <c r="C556">
        <v>1001</v>
      </c>
      <c r="D556" s="321" t="s">
        <v>453</v>
      </c>
      <c r="E556" s="14" t="s">
        <v>454</v>
      </c>
      <c r="G556" s="77"/>
      <c r="H556" s="21"/>
      <c r="I556">
        <v>305207</v>
      </c>
      <c r="J556">
        <v>50</v>
      </c>
      <c r="K556">
        <v>0</v>
      </c>
      <c r="L556">
        <v>1082</v>
      </c>
      <c r="O556">
        <v>0</v>
      </c>
      <c r="R556" s="8"/>
    </row>
    <row r="557" spans="1:18" ht="16.5">
      <c r="B557">
        <v>3088</v>
      </c>
      <c r="C557">
        <v>1001</v>
      </c>
      <c r="D557" s="321" t="s">
        <v>455</v>
      </c>
      <c r="E557" s="14" t="s">
        <v>456</v>
      </c>
      <c r="G557" s="77"/>
      <c r="H557" s="21"/>
      <c r="I557">
        <v>305306</v>
      </c>
      <c r="J557">
        <v>50</v>
      </c>
      <c r="K557">
        <v>0</v>
      </c>
      <c r="L557">
        <v>1082</v>
      </c>
      <c r="O557">
        <v>0</v>
      </c>
      <c r="R557" s="8"/>
    </row>
    <row r="558" spans="1:18" ht="16.5">
      <c r="B558">
        <v>3089</v>
      </c>
      <c r="C558">
        <v>1001</v>
      </c>
      <c r="D558" s="321" t="s">
        <v>457</v>
      </c>
      <c r="E558" s="14" t="s">
        <v>458</v>
      </c>
      <c r="G558" s="77"/>
      <c r="H558" s="21"/>
      <c r="I558">
        <v>305307</v>
      </c>
      <c r="J558">
        <v>50</v>
      </c>
      <c r="K558">
        <v>0</v>
      </c>
      <c r="L558">
        <v>1082</v>
      </c>
      <c r="O558">
        <v>0</v>
      </c>
      <c r="R558" s="8"/>
    </row>
    <row r="559" spans="1:18" ht="16.5">
      <c r="B559">
        <v>3090</v>
      </c>
      <c r="C559">
        <v>1001</v>
      </c>
      <c r="D559" s="321" t="s">
        <v>459</v>
      </c>
      <c r="E559" s="188" t="s">
        <v>460</v>
      </c>
      <c r="G559" s="77"/>
      <c r="H559" s="77"/>
      <c r="I559" s="8">
        <v>200029</v>
      </c>
      <c r="J559">
        <v>150</v>
      </c>
      <c r="K559">
        <v>0</v>
      </c>
      <c r="O559">
        <v>517</v>
      </c>
      <c r="R559" s="8"/>
    </row>
    <row r="560" spans="1:18" ht="16.5">
      <c r="B560">
        <v>3091</v>
      </c>
      <c r="C560">
        <v>1001</v>
      </c>
      <c r="D560" s="321" t="s">
        <v>461</v>
      </c>
      <c r="E560" s="188" t="s">
        <v>462</v>
      </c>
      <c r="F560" s="21"/>
      <c r="G560" s="77"/>
      <c r="H560" s="21"/>
      <c r="I560" s="8">
        <v>200028</v>
      </c>
      <c r="J560">
        <v>150</v>
      </c>
      <c r="K560">
        <v>0</v>
      </c>
      <c r="O560">
        <v>518</v>
      </c>
      <c r="R560" s="8"/>
    </row>
    <row r="561" spans="2:18" ht="16.5">
      <c r="B561">
        <v>3092</v>
      </c>
      <c r="C561">
        <v>1001</v>
      </c>
      <c r="D561" s="321" t="s">
        <v>463</v>
      </c>
      <c r="E561" s="188" t="s">
        <v>464</v>
      </c>
      <c r="F561" s="21"/>
      <c r="G561" s="77"/>
      <c r="H561" s="21"/>
      <c r="I561" s="8">
        <v>200030</v>
      </c>
      <c r="J561">
        <v>150</v>
      </c>
      <c r="K561">
        <v>0</v>
      </c>
      <c r="O561">
        <v>809</v>
      </c>
      <c r="R561" s="8"/>
    </row>
    <row r="562" spans="2:18" ht="16.5">
      <c r="B562">
        <v>3093</v>
      </c>
      <c r="C562">
        <v>1001</v>
      </c>
      <c r="D562" s="321" t="s">
        <v>465</v>
      </c>
      <c r="E562" s="188" t="s">
        <v>466</v>
      </c>
      <c r="F562" s="21"/>
      <c r="G562" s="77"/>
      <c r="H562" s="21"/>
      <c r="I562" s="8">
        <v>200031</v>
      </c>
      <c r="J562">
        <v>150</v>
      </c>
      <c r="K562">
        <v>0</v>
      </c>
      <c r="O562">
        <v>810</v>
      </c>
      <c r="R562" s="8"/>
    </row>
    <row r="563" spans="2:18" ht="16.5">
      <c r="B563">
        <v>3094</v>
      </c>
      <c r="C563">
        <v>1001</v>
      </c>
      <c r="D563" s="321" t="s">
        <v>467</v>
      </c>
      <c r="E563">
        <v>305208</v>
      </c>
      <c r="G563" s="77"/>
      <c r="H563" s="21"/>
      <c r="I563">
        <v>305208</v>
      </c>
      <c r="J563">
        <v>50</v>
      </c>
      <c r="K563">
        <v>0</v>
      </c>
      <c r="L563">
        <v>1095</v>
      </c>
      <c r="O563">
        <v>0</v>
      </c>
      <c r="R563" s="8"/>
    </row>
    <row r="564" spans="2:18" ht="16.5">
      <c r="B564">
        <v>3095</v>
      </c>
      <c r="C564">
        <v>1001</v>
      </c>
      <c r="D564" s="321" t="s">
        <v>468</v>
      </c>
      <c r="E564">
        <v>305308</v>
      </c>
      <c r="G564" s="77"/>
      <c r="H564" s="21"/>
      <c r="I564">
        <v>305308</v>
      </c>
      <c r="J564">
        <v>50</v>
      </c>
      <c r="K564">
        <v>0</v>
      </c>
      <c r="L564">
        <v>1095</v>
      </c>
      <c r="O564">
        <v>0</v>
      </c>
      <c r="R564" s="8"/>
    </row>
    <row r="565" spans="2:18" ht="16.5">
      <c r="B565">
        <v>3096</v>
      </c>
      <c r="C565">
        <v>1001</v>
      </c>
      <c r="D565" s="321" t="s">
        <v>469</v>
      </c>
      <c r="E565">
        <v>305604</v>
      </c>
      <c r="G565" s="77"/>
      <c r="H565" s="21"/>
      <c r="I565">
        <v>305604</v>
      </c>
      <c r="J565">
        <v>50</v>
      </c>
      <c r="K565">
        <v>0</v>
      </c>
      <c r="L565">
        <v>1095</v>
      </c>
      <c r="O565">
        <v>0</v>
      </c>
      <c r="R565" s="8"/>
    </row>
    <row r="566" spans="2:18" ht="16.5">
      <c r="B566">
        <v>3097</v>
      </c>
      <c r="C566">
        <v>1001</v>
      </c>
      <c r="D566" s="321" t="s">
        <v>470</v>
      </c>
      <c r="E566">
        <v>305702</v>
      </c>
      <c r="G566" s="77"/>
      <c r="H566" s="21"/>
      <c r="I566">
        <v>305702</v>
      </c>
      <c r="J566">
        <v>50</v>
      </c>
      <c r="K566">
        <v>0</v>
      </c>
      <c r="L566">
        <v>1095</v>
      </c>
      <c r="O566">
        <v>0</v>
      </c>
      <c r="R566" s="8"/>
    </row>
    <row r="567" spans="2:18" s="173" customFormat="1" ht="16.5">
      <c r="B567" s="173">
        <v>3098</v>
      </c>
      <c r="C567" s="173">
        <v>1001</v>
      </c>
      <c r="D567" s="324" t="s">
        <v>471</v>
      </c>
      <c r="E567" s="173">
        <v>305802</v>
      </c>
      <c r="G567" s="189"/>
      <c r="H567" s="190"/>
      <c r="I567" s="173">
        <v>305802</v>
      </c>
      <c r="J567" s="173">
        <v>50</v>
      </c>
      <c r="K567" s="173">
        <v>0</v>
      </c>
      <c r="L567" s="173">
        <v>1095</v>
      </c>
      <c r="M567"/>
      <c r="N567"/>
      <c r="O567">
        <v>0</v>
      </c>
      <c r="P567"/>
      <c r="R567" s="194"/>
    </row>
    <row r="568" spans="2:18" ht="16.5">
      <c r="B568">
        <v>3099</v>
      </c>
      <c r="C568">
        <v>1001</v>
      </c>
      <c r="D568" s="321" t="s">
        <v>472</v>
      </c>
      <c r="E568" s="188" t="s">
        <v>473</v>
      </c>
      <c r="G568" s="77"/>
      <c r="H568" s="77"/>
      <c r="I568" s="8">
        <v>200032</v>
      </c>
      <c r="J568">
        <v>150</v>
      </c>
      <c r="K568">
        <v>0</v>
      </c>
      <c r="O568">
        <v>519</v>
      </c>
      <c r="R568" s="8"/>
    </row>
    <row r="569" spans="2:18" ht="16.5">
      <c r="B569" s="173">
        <v>3100</v>
      </c>
      <c r="C569">
        <v>1001</v>
      </c>
      <c r="D569" s="321" t="s">
        <v>474</v>
      </c>
      <c r="E569" s="188" t="s">
        <v>475</v>
      </c>
      <c r="F569" s="21"/>
      <c r="G569" s="77"/>
      <c r="H569" s="21"/>
      <c r="I569" s="8">
        <v>200033</v>
      </c>
      <c r="J569">
        <v>150</v>
      </c>
      <c r="K569">
        <v>0</v>
      </c>
      <c r="O569">
        <v>520</v>
      </c>
      <c r="R569" s="8"/>
    </row>
    <row r="570" spans="2:18" ht="16.5">
      <c r="B570">
        <v>3101</v>
      </c>
      <c r="C570">
        <v>1001</v>
      </c>
      <c r="D570" s="321" t="s">
        <v>476</v>
      </c>
      <c r="E570">
        <v>305605</v>
      </c>
      <c r="G570" s="77"/>
      <c r="H570" s="21"/>
      <c r="I570">
        <v>305605</v>
      </c>
      <c r="J570">
        <v>50</v>
      </c>
      <c r="K570">
        <v>0</v>
      </c>
      <c r="L570">
        <v>1121</v>
      </c>
      <c r="O570">
        <v>0</v>
      </c>
      <c r="R570" s="8"/>
    </row>
    <row r="571" spans="2:18" ht="16.5">
      <c r="B571" s="173">
        <v>3102</v>
      </c>
      <c r="C571">
        <v>1001</v>
      </c>
      <c r="D571" s="321" t="s">
        <v>477</v>
      </c>
      <c r="E571">
        <v>305209</v>
      </c>
      <c r="G571" s="77"/>
      <c r="H571" s="21"/>
      <c r="I571">
        <v>305209</v>
      </c>
      <c r="J571">
        <v>50</v>
      </c>
      <c r="K571">
        <v>0</v>
      </c>
      <c r="L571">
        <v>1121</v>
      </c>
      <c r="O571">
        <v>0</v>
      </c>
      <c r="R571" s="8"/>
    </row>
    <row r="572" spans="2:18" s="173" customFormat="1" ht="20.25" customHeight="1">
      <c r="B572">
        <v>3103</v>
      </c>
      <c r="C572" s="173">
        <v>1001</v>
      </c>
      <c r="D572" s="324" t="s">
        <v>478</v>
      </c>
      <c r="E572">
        <v>305309</v>
      </c>
      <c r="G572" s="189"/>
      <c r="H572" s="190"/>
      <c r="I572">
        <v>305309</v>
      </c>
      <c r="J572" s="173">
        <v>50</v>
      </c>
      <c r="K572" s="173">
        <v>0</v>
      </c>
      <c r="L572">
        <v>1121</v>
      </c>
      <c r="M572"/>
      <c r="N572"/>
      <c r="O572">
        <v>0</v>
      </c>
      <c r="P572"/>
      <c r="R572" s="194"/>
    </row>
    <row r="573" spans="2:18" ht="16.5">
      <c r="B573">
        <v>3104</v>
      </c>
      <c r="C573">
        <v>1001</v>
      </c>
      <c r="D573" s="321" t="s">
        <v>476</v>
      </c>
      <c r="E573">
        <v>305605</v>
      </c>
      <c r="G573" s="77"/>
      <c r="H573" s="21"/>
      <c r="I573">
        <v>305605</v>
      </c>
      <c r="J573">
        <v>50</v>
      </c>
      <c r="K573">
        <v>0</v>
      </c>
      <c r="L573">
        <v>1122</v>
      </c>
      <c r="O573">
        <v>0</v>
      </c>
      <c r="R573" s="8"/>
    </row>
    <row r="574" spans="2:18" ht="16.5">
      <c r="B574" s="173">
        <v>3105</v>
      </c>
      <c r="C574">
        <v>1001</v>
      </c>
      <c r="D574" s="321" t="s">
        <v>477</v>
      </c>
      <c r="E574">
        <v>305209</v>
      </c>
      <c r="G574" s="77"/>
      <c r="H574" s="21"/>
      <c r="I574">
        <v>305209</v>
      </c>
      <c r="J574">
        <v>50</v>
      </c>
      <c r="K574">
        <v>0</v>
      </c>
      <c r="L574">
        <v>1122</v>
      </c>
      <c r="O574">
        <v>0</v>
      </c>
      <c r="R574" s="8"/>
    </row>
    <row r="575" spans="2:18" s="173" customFormat="1" ht="20.25" customHeight="1">
      <c r="B575">
        <v>3106</v>
      </c>
      <c r="C575" s="173">
        <v>1001</v>
      </c>
      <c r="D575" s="324" t="s">
        <v>478</v>
      </c>
      <c r="E575">
        <v>305309</v>
      </c>
      <c r="G575" s="189"/>
      <c r="H575" s="190"/>
      <c r="I575">
        <v>305309</v>
      </c>
      <c r="J575" s="173">
        <v>50</v>
      </c>
      <c r="K575" s="173">
        <v>0</v>
      </c>
      <c r="L575">
        <v>1122</v>
      </c>
      <c r="M575"/>
      <c r="N575"/>
      <c r="O575">
        <v>0</v>
      </c>
      <c r="P575"/>
      <c r="R575" s="194"/>
    </row>
    <row r="576" spans="2:18" ht="16.5">
      <c r="B576" s="173">
        <v>3107</v>
      </c>
      <c r="C576">
        <v>1001</v>
      </c>
      <c r="D576" s="323" t="s">
        <v>479</v>
      </c>
      <c r="E576">
        <v>305703</v>
      </c>
      <c r="G576" s="77"/>
      <c r="H576" s="21"/>
      <c r="I576">
        <v>305703</v>
      </c>
      <c r="J576">
        <v>50</v>
      </c>
      <c r="K576">
        <v>0</v>
      </c>
      <c r="L576">
        <v>1125</v>
      </c>
      <c r="O576">
        <v>0</v>
      </c>
      <c r="R576" s="8"/>
    </row>
    <row r="577" spans="2:18" s="173" customFormat="1" ht="16.5">
      <c r="B577">
        <v>3108</v>
      </c>
      <c r="C577" s="173">
        <v>1001</v>
      </c>
      <c r="D577" s="323" t="s">
        <v>480</v>
      </c>
      <c r="E577" s="8">
        <v>305803</v>
      </c>
      <c r="G577" s="189"/>
      <c r="H577" s="190"/>
      <c r="I577" s="8">
        <v>305803</v>
      </c>
      <c r="J577" s="173">
        <v>50</v>
      </c>
      <c r="K577" s="173">
        <v>0</v>
      </c>
      <c r="L577">
        <v>1125</v>
      </c>
      <c r="M577"/>
      <c r="N577"/>
      <c r="O577">
        <v>0</v>
      </c>
      <c r="P577"/>
      <c r="R577" s="194"/>
    </row>
    <row r="578" spans="2:18" ht="16.5">
      <c r="B578">
        <v>3109</v>
      </c>
      <c r="C578">
        <v>1001</v>
      </c>
      <c r="D578" s="323" t="s">
        <v>481</v>
      </c>
      <c r="E578" t="s">
        <v>482</v>
      </c>
      <c r="G578" s="77"/>
      <c r="H578" s="21"/>
      <c r="I578" s="8">
        <v>200034</v>
      </c>
      <c r="J578">
        <v>150</v>
      </c>
      <c r="K578">
        <v>0</v>
      </c>
      <c r="L578">
        <v>1133</v>
      </c>
      <c r="O578">
        <v>521</v>
      </c>
      <c r="R578" s="8"/>
    </row>
    <row r="579" spans="2:18" ht="16.5">
      <c r="B579">
        <v>3110</v>
      </c>
      <c r="C579" s="173">
        <v>1001</v>
      </c>
      <c r="D579" s="323" t="s">
        <v>483</v>
      </c>
      <c r="E579" t="s">
        <v>484</v>
      </c>
      <c r="G579" s="77"/>
      <c r="H579" s="21"/>
      <c r="I579" s="8">
        <v>200035</v>
      </c>
      <c r="J579">
        <v>150</v>
      </c>
      <c r="K579">
        <v>0</v>
      </c>
      <c r="L579">
        <v>1133</v>
      </c>
      <c r="O579">
        <v>522</v>
      </c>
      <c r="R579" s="8"/>
    </row>
    <row r="580" spans="2:18" ht="16.5">
      <c r="B580">
        <v>3111</v>
      </c>
      <c r="C580">
        <v>1001</v>
      </c>
      <c r="D580" s="323" t="s">
        <v>485</v>
      </c>
      <c r="E580" t="s">
        <v>486</v>
      </c>
      <c r="G580" s="77"/>
      <c r="H580" s="21"/>
      <c r="I580" s="8">
        <v>200036</v>
      </c>
      <c r="J580">
        <v>150</v>
      </c>
      <c r="K580">
        <v>0</v>
      </c>
      <c r="L580">
        <v>1133</v>
      </c>
      <c r="O580">
        <v>523</v>
      </c>
      <c r="R580" s="8"/>
    </row>
    <row r="581" spans="2:18" ht="16.5">
      <c r="B581">
        <v>3112</v>
      </c>
      <c r="C581" s="173">
        <v>1001</v>
      </c>
      <c r="D581" s="323" t="s">
        <v>487</v>
      </c>
      <c r="E581" t="s">
        <v>488</v>
      </c>
      <c r="G581" s="77"/>
      <c r="H581" s="21"/>
      <c r="I581" s="8">
        <v>200037</v>
      </c>
      <c r="J581">
        <v>150</v>
      </c>
      <c r="K581" s="173">
        <v>0</v>
      </c>
      <c r="L581">
        <v>1133</v>
      </c>
      <c r="O581">
        <v>524</v>
      </c>
      <c r="R581" s="8"/>
    </row>
    <row r="582" spans="2:18" ht="16.5">
      <c r="B582">
        <v>3113</v>
      </c>
      <c r="C582">
        <v>1001</v>
      </c>
      <c r="D582" s="323" t="s">
        <v>489</v>
      </c>
      <c r="E582" t="s">
        <v>490</v>
      </c>
      <c r="G582" s="77"/>
      <c r="H582" s="21"/>
      <c r="I582">
        <v>308001</v>
      </c>
      <c r="J582" s="173">
        <v>50</v>
      </c>
      <c r="K582">
        <v>0</v>
      </c>
      <c r="L582">
        <v>1133</v>
      </c>
      <c r="O582">
        <v>0</v>
      </c>
      <c r="R582" s="8"/>
    </row>
    <row r="583" spans="2:18" ht="16.5">
      <c r="B583">
        <v>3114</v>
      </c>
      <c r="C583" s="173">
        <v>1001</v>
      </c>
      <c r="D583" s="323" t="s">
        <v>491</v>
      </c>
      <c r="E583" t="s">
        <v>492</v>
      </c>
      <c r="G583" s="77"/>
      <c r="H583" s="21"/>
      <c r="I583">
        <v>308002</v>
      </c>
      <c r="J583" s="173">
        <v>50</v>
      </c>
      <c r="K583">
        <v>0</v>
      </c>
      <c r="L583">
        <v>1133</v>
      </c>
      <c r="O583">
        <v>0</v>
      </c>
      <c r="R583" s="8"/>
    </row>
    <row r="584" spans="2:18" ht="16.5">
      <c r="B584">
        <v>3115</v>
      </c>
      <c r="C584">
        <v>1001</v>
      </c>
      <c r="D584" s="323" t="s">
        <v>493</v>
      </c>
      <c r="E584" t="s">
        <v>494</v>
      </c>
      <c r="G584" s="77"/>
      <c r="H584" s="21"/>
      <c r="I584">
        <v>308003</v>
      </c>
      <c r="J584" s="173">
        <v>50</v>
      </c>
      <c r="K584" s="173">
        <v>0</v>
      </c>
      <c r="L584">
        <v>1133</v>
      </c>
      <c r="O584">
        <v>0</v>
      </c>
      <c r="R584" s="8"/>
    </row>
    <row r="585" spans="2:18" ht="16.5">
      <c r="B585">
        <v>3116</v>
      </c>
      <c r="C585" s="173">
        <v>1001</v>
      </c>
      <c r="D585" s="323" t="s">
        <v>495</v>
      </c>
      <c r="E585" t="s">
        <v>496</v>
      </c>
      <c r="G585" s="77"/>
      <c r="H585" s="21"/>
      <c r="I585">
        <v>308004</v>
      </c>
      <c r="J585" s="173">
        <v>50</v>
      </c>
      <c r="K585">
        <v>0</v>
      </c>
      <c r="L585">
        <v>1133</v>
      </c>
      <c r="O585">
        <v>0</v>
      </c>
      <c r="R585" s="8"/>
    </row>
    <row r="586" spans="2:18" ht="16.5">
      <c r="B586">
        <v>3117</v>
      </c>
      <c r="C586">
        <v>1001</v>
      </c>
      <c r="D586" s="323" t="s">
        <v>497</v>
      </c>
      <c r="E586" t="s">
        <v>498</v>
      </c>
      <c r="G586" s="77"/>
      <c r="H586" s="21"/>
      <c r="I586">
        <v>308005</v>
      </c>
      <c r="J586" s="173">
        <v>50</v>
      </c>
      <c r="K586" s="173">
        <v>0</v>
      </c>
      <c r="L586">
        <v>1133</v>
      </c>
      <c r="O586">
        <v>0</v>
      </c>
      <c r="R586" s="8"/>
    </row>
    <row r="587" spans="2:18" ht="16.5">
      <c r="B587">
        <v>3118</v>
      </c>
      <c r="C587" s="173">
        <v>1001</v>
      </c>
      <c r="D587" s="323" t="s">
        <v>499</v>
      </c>
      <c r="E587" s="9" t="s">
        <v>500</v>
      </c>
      <c r="G587" s="77"/>
      <c r="H587" s="21"/>
      <c r="I587">
        <v>200038</v>
      </c>
      <c r="J587">
        <v>150</v>
      </c>
      <c r="K587" s="173">
        <v>0</v>
      </c>
      <c r="O587">
        <v>525</v>
      </c>
      <c r="R587" s="8"/>
    </row>
    <row r="588" spans="2:18" ht="16.5">
      <c r="B588">
        <v>3119</v>
      </c>
      <c r="C588">
        <v>1001</v>
      </c>
      <c r="D588" s="323" t="s">
        <v>501</v>
      </c>
      <c r="E588" s="9" t="s">
        <v>502</v>
      </c>
      <c r="G588" s="77"/>
      <c r="H588" s="21"/>
      <c r="I588">
        <v>200039</v>
      </c>
      <c r="J588">
        <v>150</v>
      </c>
      <c r="K588">
        <v>0</v>
      </c>
      <c r="O588">
        <v>811</v>
      </c>
      <c r="R588" s="8"/>
    </row>
    <row r="589" spans="2:18" ht="16.5">
      <c r="B589">
        <v>3120</v>
      </c>
      <c r="C589" s="173">
        <v>1001</v>
      </c>
      <c r="D589" s="323" t="s">
        <v>503</v>
      </c>
      <c r="E589">
        <v>305210</v>
      </c>
      <c r="G589" s="77"/>
      <c r="H589" s="21"/>
      <c r="I589">
        <v>305210</v>
      </c>
      <c r="J589" s="173">
        <v>50</v>
      </c>
      <c r="K589">
        <v>0</v>
      </c>
      <c r="L589">
        <v>1159</v>
      </c>
      <c r="O589">
        <v>0</v>
      </c>
      <c r="R589" s="8"/>
    </row>
    <row r="590" spans="2:18" ht="16.5">
      <c r="B590">
        <v>3121</v>
      </c>
      <c r="C590">
        <v>1001</v>
      </c>
      <c r="D590" s="323" t="s">
        <v>504</v>
      </c>
      <c r="E590">
        <v>305310</v>
      </c>
      <c r="G590" s="77"/>
      <c r="H590" s="21"/>
      <c r="I590">
        <v>305310</v>
      </c>
      <c r="J590" s="173">
        <v>50</v>
      </c>
      <c r="K590" s="173">
        <v>0</v>
      </c>
      <c r="L590">
        <v>1159</v>
      </c>
      <c r="O590">
        <v>0</v>
      </c>
      <c r="R590" s="8"/>
    </row>
    <row r="591" spans="2:18" ht="16.5">
      <c r="B591">
        <v>3122</v>
      </c>
      <c r="C591" s="173">
        <v>1001</v>
      </c>
      <c r="D591" s="323" t="s">
        <v>505</v>
      </c>
      <c r="E591">
        <v>305606</v>
      </c>
      <c r="G591" s="77"/>
      <c r="H591" s="21"/>
      <c r="I591">
        <v>305606</v>
      </c>
      <c r="J591" s="173">
        <v>50</v>
      </c>
      <c r="K591">
        <v>0</v>
      </c>
      <c r="L591">
        <v>1159</v>
      </c>
      <c r="O591">
        <v>0</v>
      </c>
      <c r="R591" s="8"/>
    </row>
    <row r="592" spans="2:18" ht="16.5">
      <c r="B592">
        <v>3123</v>
      </c>
      <c r="C592">
        <v>1001</v>
      </c>
      <c r="D592" s="323" t="s">
        <v>506</v>
      </c>
      <c r="E592" s="8">
        <v>305804</v>
      </c>
      <c r="G592" s="77"/>
      <c r="H592" s="21"/>
      <c r="I592">
        <v>305804</v>
      </c>
      <c r="J592" s="173">
        <v>50</v>
      </c>
      <c r="K592" s="173">
        <v>0</v>
      </c>
      <c r="L592">
        <v>1159</v>
      </c>
      <c r="O592">
        <v>0</v>
      </c>
      <c r="R592" s="8"/>
    </row>
    <row r="593" spans="2:18" ht="16.5">
      <c r="B593">
        <v>3124</v>
      </c>
      <c r="C593" s="173">
        <v>1001</v>
      </c>
      <c r="D593" s="325" t="s">
        <v>507</v>
      </c>
      <c r="E593" s="152">
        <v>306102</v>
      </c>
      <c r="G593" s="77"/>
      <c r="H593" s="21"/>
      <c r="I593">
        <v>306102</v>
      </c>
      <c r="J593" s="173">
        <v>50</v>
      </c>
      <c r="K593" s="173">
        <v>0</v>
      </c>
      <c r="L593">
        <v>1159</v>
      </c>
      <c r="O593">
        <v>0</v>
      </c>
      <c r="R593" s="8"/>
    </row>
    <row r="594" spans="2:18" s="7" customFormat="1" ht="16.5">
      <c r="B594">
        <v>3125</v>
      </c>
      <c r="C594" s="173">
        <v>1001</v>
      </c>
      <c r="D594" s="323" t="s">
        <v>508</v>
      </c>
      <c r="E594" s="7">
        <v>305211</v>
      </c>
      <c r="G594" s="203"/>
      <c r="H594" s="204"/>
      <c r="I594" s="7">
        <v>305211</v>
      </c>
      <c r="J594" s="205">
        <v>50</v>
      </c>
      <c r="K594" s="7">
        <v>0</v>
      </c>
      <c r="L594" s="7">
        <v>1174</v>
      </c>
      <c r="O594">
        <v>0</v>
      </c>
      <c r="P594"/>
      <c r="R594" s="165"/>
    </row>
    <row r="595" spans="2:18" s="7" customFormat="1" ht="16.5">
      <c r="B595">
        <v>3126</v>
      </c>
      <c r="C595">
        <v>1001</v>
      </c>
      <c r="D595" s="323" t="s">
        <v>509</v>
      </c>
      <c r="E595" s="7">
        <v>305311</v>
      </c>
      <c r="G595" s="203"/>
      <c r="H595" s="204"/>
      <c r="I595" s="7">
        <v>305311</v>
      </c>
      <c r="J595" s="205">
        <v>50</v>
      </c>
      <c r="K595" s="205">
        <v>0</v>
      </c>
      <c r="L595" s="7">
        <v>1174</v>
      </c>
      <c r="O595">
        <v>0</v>
      </c>
      <c r="P595"/>
      <c r="R595" s="165"/>
    </row>
    <row r="596" spans="2:18" s="7" customFormat="1" ht="16.5">
      <c r="B596">
        <v>3127</v>
      </c>
      <c r="C596" s="173">
        <v>1001</v>
      </c>
      <c r="D596" s="323" t="s">
        <v>510</v>
      </c>
      <c r="E596" s="7">
        <v>305607</v>
      </c>
      <c r="G596" s="203"/>
      <c r="H596" s="204"/>
      <c r="I596" s="7">
        <v>305607</v>
      </c>
      <c r="J596" s="205">
        <v>50</v>
      </c>
      <c r="K596" s="7">
        <v>0</v>
      </c>
      <c r="L596" s="7">
        <v>1174</v>
      </c>
      <c r="O596">
        <v>0</v>
      </c>
      <c r="P596"/>
      <c r="R596" s="165"/>
    </row>
    <row r="597" spans="2:18" s="73" customFormat="1" ht="16.5">
      <c r="B597">
        <v>3128</v>
      </c>
      <c r="C597" s="73">
        <v>1001</v>
      </c>
      <c r="D597" s="323" t="s">
        <v>511</v>
      </c>
      <c r="E597" s="191" t="s">
        <v>512</v>
      </c>
      <c r="G597" s="192"/>
      <c r="H597" s="193"/>
      <c r="I597" s="95">
        <v>200040</v>
      </c>
      <c r="J597" s="73">
        <v>150</v>
      </c>
      <c r="K597" s="73">
        <v>0</v>
      </c>
      <c r="L597" s="73">
        <v>1180</v>
      </c>
      <c r="O597" s="73">
        <v>526</v>
      </c>
      <c r="P597"/>
      <c r="R597" s="95"/>
    </row>
    <row r="598" spans="2:18" s="73" customFormat="1" ht="16.5">
      <c r="B598">
        <v>3129</v>
      </c>
      <c r="C598" s="201">
        <v>1001</v>
      </c>
      <c r="D598" s="323" t="s">
        <v>513</v>
      </c>
      <c r="E598" s="191" t="s">
        <v>514</v>
      </c>
      <c r="G598" s="192"/>
      <c r="H598" s="193"/>
      <c r="I598" s="95">
        <v>200041</v>
      </c>
      <c r="J598" s="73">
        <v>150</v>
      </c>
      <c r="K598" s="73">
        <v>0</v>
      </c>
      <c r="L598" s="73">
        <v>1180</v>
      </c>
      <c r="O598" s="73">
        <v>527</v>
      </c>
      <c r="P598"/>
      <c r="R598" s="95"/>
    </row>
    <row r="599" spans="2:18" s="73" customFormat="1" ht="16.5">
      <c r="B599">
        <v>3130</v>
      </c>
      <c r="C599" s="73">
        <v>1001</v>
      </c>
      <c r="D599" s="323" t="s">
        <v>515</v>
      </c>
      <c r="E599" s="191" t="s">
        <v>516</v>
      </c>
      <c r="G599" s="192"/>
      <c r="H599" s="193"/>
      <c r="I599" s="95">
        <v>200042</v>
      </c>
      <c r="J599" s="73">
        <v>150</v>
      </c>
      <c r="K599" s="73">
        <v>0</v>
      </c>
      <c r="L599" s="73">
        <v>1180</v>
      </c>
      <c r="O599" s="73">
        <v>528</v>
      </c>
      <c r="P599"/>
      <c r="R599" s="95"/>
    </row>
    <row r="600" spans="2:18" s="73" customFormat="1" ht="16.5">
      <c r="B600">
        <v>3131</v>
      </c>
      <c r="C600" s="201">
        <v>1001</v>
      </c>
      <c r="D600" s="323" t="s">
        <v>517</v>
      </c>
      <c r="E600" s="191" t="s">
        <v>518</v>
      </c>
      <c r="G600" s="192"/>
      <c r="H600" s="193"/>
      <c r="I600" s="95">
        <v>200043</v>
      </c>
      <c r="J600" s="73">
        <v>150</v>
      </c>
      <c r="K600" s="201">
        <v>0</v>
      </c>
      <c r="L600" s="73">
        <v>1180</v>
      </c>
      <c r="O600" s="73">
        <v>529</v>
      </c>
      <c r="P600"/>
      <c r="R600" s="95"/>
    </row>
    <row r="601" spans="2:18" ht="16.5">
      <c r="B601">
        <v>3132</v>
      </c>
      <c r="C601" s="73">
        <v>1001</v>
      </c>
      <c r="D601" s="323" t="s">
        <v>519</v>
      </c>
      <c r="E601" s="7" t="s">
        <v>520</v>
      </c>
      <c r="G601" s="77"/>
      <c r="H601" s="21"/>
      <c r="I601" s="7">
        <v>308006</v>
      </c>
      <c r="J601" s="173">
        <v>50</v>
      </c>
      <c r="K601">
        <v>0</v>
      </c>
      <c r="L601" s="73">
        <v>1180</v>
      </c>
      <c r="M601" s="73"/>
      <c r="N601" s="73"/>
      <c r="O601">
        <v>1001</v>
      </c>
      <c r="R601" s="8"/>
    </row>
    <row r="602" spans="2:18" ht="16.5">
      <c r="B602">
        <v>3133</v>
      </c>
      <c r="C602" s="201">
        <v>1001</v>
      </c>
      <c r="D602" s="323" t="s">
        <v>521</v>
      </c>
      <c r="E602" s="7" t="s">
        <v>522</v>
      </c>
      <c r="G602" s="77"/>
      <c r="H602" s="21"/>
      <c r="I602" s="7">
        <v>308007</v>
      </c>
      <c r="J602" s="173">
        <v>50</v>
      </c>
      <c r="K602">
        <v>0</v>
      </c>
      <c r="L602" s="73">
        <v>1180</v>
      </c>
      <c r="M602" s="73"/>
      <c r="N602" s="73"/>
      <c r="O602">
        <v>1002</v>
      </c>
      <c r="R602" s="8"/>
    </row>
    <row r="603" spans="2:18" ht="16.5">
      <c r="B603">
        <v>3134</v>
      </c>
      <c r="C603" s="73">
        <v>1001</v>
      </c>
      <c r="D603" s="323" t="s">
        <v>523</v>
      </c>
      <c r="E603" s="7" t="s">
        <v>524</v>
      </c>
      <c r="G603" s="77"/>
      <c r="H603" s="21"/>
      <c r="I603" s="7">
        <v>308008</v>
      </c>
      <c r="J603" s="173">
        <v>50</v>
      </c>
      <c r="K603" s="173">
        <v>0</v>
      </c>
      <c r="L603" s="73">
        <v>1180</v>
      </c>
      <c r="M603" s="73"/>
      <c r="N603" s="73"/>
      <c r="O603">
        <v>1003</v>
      </c>
      <c r="R603" s="8"/>
    </row>
    <row r="604" spans="2:18" ht="16.5">
      <c r="B604">
        <v>3135</v>
      </c>
      <c r="C604" s="201">
        <v>1001</v>
      </c>
      <c r="D604" s="323" t="s">
        <v>525</v>
      </c>
      <c r="E604" s="7" t="s">
        <v>526</v>
      </c>
      <c r="G604" s="77"/>
      <c r="H604" s="21"/>
      <c r="I604" s="7">
        <v>308009</v>
      </c>
      <c r="J604" s="173">
        <v>50</v>
      </c>
      <c r="K604">
        <v>0</v>
      </c>
      <c r="L604" s="73">
        <v>1180</v>
      </c>
      <c r="M604" s="73"/>
      <c r="N604" s="73"/>
      <c r="O604">
        <v>1004</v>
      </c>
      <c r="R604" s="8"/>
    </row>
    <row r="605" spans="2:18" ht="16.5">
      <c r="B605">
        <v>3136</v>
      </c>
      <c r="C605" s="73">
        <v>1001</v>
      </c>
      <c r="D605" s="323" t="s">
        <v>527</v>
      </c>
      <c r="E605" s="7" t="s">
        <v>528</v>
      </c>
      <c r="G605" s="77"/>
      <c r="H605" s="21"/>
      <c r="I605" s="7">
        <v>308010</v>
      </c>
      <c r="J605" s="173">
        <v>50</v>
      </c>
      <c r="K605" s="173">
        <v>0</v>
      </c>
      <c r="L605" s="73">
        <v>1180</v>
      </c>
      <c r="M605" s="73"/>
      <c r="N605" s="73"/>
      <c r="O605">
        <v>1005</v>
      </c>
      <c r="R605" s="8"/>
    </row>
    <row r="606" spans="2:18" ht="16.5">
      <c r="B606">
        <v>3137</v>
      </c>
      <c r="C606">
        <v>1001</v>
      </c>
      <c r="D606" s="323" t="s">
        <v>529</v>
      </c>
      <c r="E606" s="191" t="s">
        <v>530</v>
      </c>
      <c r="G606" s="77"/>
      <c r="H606" s="21"/>
      <c r="I606" s="7">
        <v>200044</v>
      </c>
      <c r="J606" s="173">
        <v>150</v>
      </c>
      <c r="K606">
        <v>0</v>
      </c>
      <c r="L606" s="73"/>
      <c r="M606" s="73"/>
      <c r="N606" s="73"/>
      <c r="O606">
        <v>530</v>
      </c>
      <c r="R606" s="8"/>
    </row>
    <row r="607" spans="2:18" ht="16.5">
      <c r="B607">
        <v>3138</v>
      </c>
      <c r="C607">
        <v>1001</v>
      </c>
      <c r="D607" s="323" t="s">
        <v>531</v>
      </c>
      <c r="E607" s="191" t="s">
        <v>532</v>
      </c>
      <c r="G607" s="77"/>
      <c r="H607" s="21"/>
      <c r="I607" s="7">
        <v>200045</v>
      </c>
      <c r="J607" s="173">
        <v>150</v>
      </c>
      <c r="K607" s="173">
        <v>0</v>
      </c>
      <c r="L607" s="73"/>
      <c r="M607" s="73"/>
      <c r="N607" s="73"/>
      <c r="O607">
        <v>812</v>
      </c>
      <c r="R607" s="8"/>
    </row>
    <row r="608" spans="2:18" ht="16.5">
      <c r="B608">
        <v>3139</v>
      </c>
      <c r="C608">
        <v>1001</v>
      </c>
      <c r="D608" s="323" t="s">
        <v>533</v>
      </c>
      <c r="E608" s="141" t="s">
        <v>534</v>
      </c>
      <c r="G608" s="77"/>
      <c r="H608" s="21"/>
      <c r="I608" s="7">
        <v>305523</v>
      </c>
      <c r="J608" s="173">
        <v>100</v>
      </c>
      <c r="K608">
        <v>0</v>
      </c>
      <c r="L608" s="73">
        <v>1192</v>
      </c>
      <c r="M608" s="73"/>
      <c r="N608" s="73"/>
      <c r="O608">
        <v>1001</v>
      </c>
      <c r="R608" s="8"/>
    </row>
    <row r="609" spans="2:18" ht="16.5">
      <c r="B609">
        <v>3140</v>
      </c>
      <c r="C609">
        <v>1001</v>
      </c>
      <c r="D609" s="323" t="s">
        <v>535</v>
      </c>
      <c r="E609" s="141" t="s">
        <v>536</v>
      </c>
      <c r="G609" s="77"/>
      <c r="H609" s="21"/>
      <c r="I609" s="7">
        <v>305608</v>
      </c>
      <c r="J609" s="173">
        <v>50</v>
      </c>
      <c r="K609">
        <v>0</v>
      </c>
      <c r="L609" s="73">
        <v>1192</v>
      </c>
      <c r="M609" s="73"/>
      <c r="N609" s="73"/>
      <c r="O609">
        <v>1002</v>
      </c>
      <c r="R609" s="8"/>
    </row>
    <row r="610" spans="2:18" ht="16.5">
      <c r="B610">
        <v>3141</v>
      </c>
      <c r="C610">
        <v>1001</v>
      </c>
      <c r="D610" s="323" t="s">
        <v>537</v>
      </c>
      <c r="E610" s="141" t="s">
        <v>538</v>
      </c>
      <c r="G610" s="77"/>
      <c r="H610" s="21"/>
      <c r="I610" s="165">
        <v>305704</v>
      </c>
      <c r="J610" s="173">
        <v>50</v>
      </c>
      <c r="K610" s="173">
        <v>0</v>
      </c>
      <c r="L610" s="73">
        <v>1192</v>
      </c>
      <c r="M610" s="73"/>
      <c r="N610" s="73"/>
      <c r="O610">
        <v>1003</v>
      </c>
      <c r="R610" s="8"/>
    </row>
    <row r="611" spans="2:18" s="174" customFormat="1" ht="16.5">
      <c r="B611">
        <v>3142</v>
      </c>
      <c r="C611">
        <v>1001</v>
      </c>
      <c r="D611" s="321" t="s">
        <v>344</v>
      </c>
      <c r="E611" s="195" t="s">
        <v>345</v>
      </c>
      <c r="F611" s="174" t="s">
        <v>346</v>
      </c>
      <c r="G611" s="196" t="s">
        <v>347</v>
      </c>
      <c r="H611" s="197" t="s">
        <v>348</v>
      </c>
      <c r="I611" s="174">
        <v>305201</v>
      </c>
      <c r="J611" s="174">
        <v>50</v>
      </c>
      <c r="K611" s="174">
        <v>0</v>
      </c>
      <c r="L611" s="174">
        <v>1199</v>
      </c>
      <c r="O611">
        <v>1001</v>
      </c>
      <c r="R611" s="195"/>
    </row>
    <row r="612" spans="2:18" s="174" customFormat="1" ht="16.5">
      <c r="B612">
        <v>3143</v>
      </c>
      <c r="C612">
        <v>1001</v>
      </c>
      <c r="D612" s="321" t="s">
        <v>349</v>
      </c>
      <c r="E612" s="195" t="s">
        <v>350</v>
      </c>
      <c r="F612" s="174" t="s">
        <v>350</v>
      </c>
      <c r="G612" s="196" t="s">
        <v>351</v>
      </c>
      <c r="H612" s="197" t="s">
        <v>352</v>
      </c>
      <c r="I612" s="174">
        <v>305202</v>
      </c>
      <c r="J612" s="174">
        <v>50</v>
      </c>
      <c r="K612" s="174">
        <v>0</v>
      </c>
      <c r="L612" s="174">
        <v>1199</v>
      </c>
      <c r="O612">
        <v>1002</v>
      </c>
      <c r="R612" s="195"/>
    </row>
    <row r="613" spans="2:18" s="174" customFormat="1" ht="16.5">
      <c r="B613">
        <v>3144</v>
      </c>
      <c r="C613">
        <v>1001</v>
      </c>
      <c r="D613" s="321" t="s">
        <v>353</v>
      </c>
      <c r="E613" s="195" t="s">
        <v>354</v>
      </c>
      <c r="F613" s="174" t="s">
        <v>355</v>
      </c>
      <c r="G613" s="196" t="s">
        <v>356</v>
      </c>
      <c r="H613" s="197" t="s">
        <v>357</v>
      </c>
      <c r="I613" s="174">
        <v>305301</v>
      </c>
      <c r="J613" s="174">
        <v>50</v>
      </c>
      <c r="K613" s="174">
        <v>0</v>
      </c>
      <c r="L613" s="174">
        <v>1199</v>
      </c>
      <c r="O613">
        <v>1003</v>
      </c>
      <c r="R613" s="195"/>
    </row>
    <row r="614" spans="2:18" s="174" customFormat="1" ht="16.5">
      <c r="B614">
        <v>3145</v>
      </c>
      <c r="C614">
        <v>1001</v>
      </c>
      <c r="D614" s="321" t="s">
        <v>358</v>
      </c>
      <c r="E614" s="195" t="s">
        <v>359</v>
      </c>
      <c r="F614" s="174" t="s">
        <v>359</v>
      </c>
      <c r="G614" s="196" t="s">
        <v>360</v>
      </c>
      <c r="H614" s="197" t="s">
        <v>361</v>
      </c>
      <c r="I614" s="174">
        <v>305302</v>
      </c>
      <c r="J614" s="174">
        <v>50</v>
      </c>
      <c r="K614" s="174">
        <v>0</v>
      </c>
      <c r="L614" s="174">
        <v>1199</v>
      </c>
      <c r="O614">
        <v>1004</v>
      </c>
      <c r="R614" s="195"/>
    </row>
    <row r="615" spans="2:18" s="174" customFormat="1" ht="16.5">
      <c r="B615">
        <v>3146</v>
      </c>
      <c r="C615">
        <v>1001</v>
      </c>
      <c r="D615" s="321" t="s">
        <v>362</v>
      </c>
      <c r="E615" s="195" t="s">
        <v>363</v>
      </c>
      <c r="F615" s="174" t="s">
        <v>363</v>
      </c>
      <c r="G615" s="196" t="s">
        <v>364</v>
      </c>
      <c r="H615" s="197" t="s">
        <v>365</v>
      </c>
      <c r="I615" s="174">
        <v>305601</v>
      </c>
      <c r="J615" s="174">
        <v>50</v>
      </c>
      <c r="K615" s="174">
        <v>0</v>
      </c>
      <c r="L615" s="174">
        <v>1199</v>
      </c>
      <c r="O615">
        <v>1005</v>
      </c>
      <c r="R615" s="195"/>
    </row>
    <row r="616" spans="2:18" ht="16.5">
      <c r="B616">
        <v>3147</v>
      </c>
      <c r="C616">
        <v>1001</v>
      </c>
      <c r="D616" s="323" t="s">
        <v>539</v>
      </c>
      <c r="E616" s="191" t="s">
        <v>540</v>
      </c>
      <c r="G616" s="77"/>
      <c r="H616" s="21"/>
      <c r="I616" s="7">
        <v>200046</v>
      </c>
      <c r="J616" s="173">
        <v>150</v>
      </c>
      <c r="K616">
        <v>0</v>
      </c>
      <c r="L616" s="73"/>
      <c r="M616" s="73"/>
      <c r="N616" s="73"/>
      <c r="O616">
        <v>531</v>
      </c>
      <c r="P616">
        <v>531</v>
      </c>
      <c r="R616" s="8"/>
    </row>
    <row r="617" spans="2:18" ht="16.5">
      <c r="B617">
        <v>3148</v>
      </c>
      <c r="C617">
        <v>1001</v>
      </c>
      <c r="D617" s="323" t="s">
        <v>541</v>
      </c>
      <c r="E617" s="191" t="s">
        <v>542</v>
      </c>
      <c r="G617" s="77"/>
      <c r="H617" s="21"/>
      <c r="I617" s="7">
        <v>200047</v>
      </c>
      <c r="J617" s="173">
        <v>150</v>
      </c>
      <c r="K617" s="173">
        <v>0</v>
      </c>
      <c r="L617" s="73"/>
      <c r="M617" s="73"/>
      <c r="N617" s="73"/>
      <c r="O617">
        <v>813</v>
      </c>
      <c r="P617">
        <v>813</v>
      </c>
      <c r="R617" s="8"/>
    </row>
    <row r="618" spans="2:18" ht="16.5">
      <c r="B618">
        <v>3149</v>
      </c>
      <c r="C618">
        <v>1001</v>
      </c>
      <c r="D618" s="323" t="s">
        <v>543</v>
      </c>
      <c r="E618" s="141" t="s">
        <v>544</v>
      </c>
      <c r="G618" s="77"/>
      <c r="H618" s="21"/>
      <c r="I618">
        <v>305212</v>
      </c>
      <c r="J618" s="173">
        <v>50</v>
      </c>
      <c r="K618">
        <v>0</v>
      </c>
      <c r="L618" s="73">
        <v>1201</v>
      </c>
      <c r="M618" s="73"/>
      <c r="N618" s="73"/>
      <c r="O618">
        <v>1001</v>
      </c>
      <c r="R618" s="8"/>
    </row>
    <row r="619" spans="2:18" ht="16.5">
      <c r="B619">
        <v>3150</v>
      </c>
      <c r="C619">
        <v>1001</v>
      </c>
      <c r="D619" s="323" t="s">
        <v>545</v>
      </c>
      <c r="E619" s="141" t="s">
        <v>546</v>
      </c>
      <c r="G619" s="77"/>
      <c r="H619" s="21"/>
      <c r="I619">
        <v>305312</v>
      </c>
      <c r="J619" s="173">
        <v>50</v>
      </c>
      <c r="K619">
        <v>0</v>
      </c>
      <c r="L619" s="73">
        <v>1201</v>
      </c>
      <c r="M619" s="73"/>
      <c r="N619" s="73"/>
      <c r="O619">
        <v>1002</v>
      </c>
      <c r="R619" s="8"/>
    </row>
    <row r="620" spans="2:18" ht="16.5">
      <c r="B620">
        <v>3151</v>
      </c>
      <c r="C620">
        <v>1001</v>
      </c>
      <c r="D620" s="323" t="s">
        <v>547</v>
      </c>
      <c r="E620" s="141" t="s">
        <v>536</v>
      </c>
      <c r="G620" s="77"/>
      <c r="H620" s="21"/>
      <c r="I620">
        <v>305609</v>
      </c>
      <c r="J620" s="173">
        <v>50</v>
      </c>
      <c r="K620" s="173">
        <v>0</v>
      </c>
      <c r="L620" s="73">
        <v>1201</v>
      </c>
      <c r="M620" s="73"/>
      <c r="N620" s="73"/>
      <c r="O620">
        <v>1003</v>
      </c>
      <c r="R620" s="8"/>
    </row>
    <row r="621" spans="2:18" s="73" customFormat="1" ht="16.5">
      <c r="B621">
        <v>3152</v>
      </c>
      <c r="C621">
        <v>1001</v>
      </c>
      <c r="D621" s="323" t="s">
        <v>548</v>
      </c>
      <c r="E621" s="191" t="s">
        <v>549</v>
      </c>
      <c r="G621" s="192"/>
      <c r="H621" s="193"/>
      <c r="I621" s="95">
        <v>200048</v>
      </c>
      <c r="J621" s="73">
        <v>150</v>
      </c>
      <c r="K621" s="201">
        <v>0</v>
      </c>
      <c r="O621" s="73">
        <v>532</v>
      </c>
      <c r="P621"/>
      <c r="R621" s="95"/>
    </row>
    <row r="622" spans="2:18" s="73" customFormat="1" ht="16.5">
      <c r="B622">
        <v>3153</v>
      </c>
      <c r="C622">
        <v>1001</v>
      </c>
      <c r="D622" s="323" t="s">
        <v>550</v>
      </c>
      <c r="E622" s="191" t="s">
        <v>551</v>
      </c>
      <c r="G622" s="192"/>
      <c r="H622" s="193"/>
      <c r="I622" s="95">
        <v>200049</v>
      </c>
      <c r="J622" s="73">
        <v>150</v>
      </c>
      <c r="K622" s="201">
        <v>0</v>
      </c>
      <c r="O622" s="73">
        <v>814</v>
      </c>
      <c r="P622"/>
      <c r="R622" s="95"/>
    </row>
    <row r="623" spans="2:18" s="174" customFormat="1" ht="16.5">
      <c r="B623">
        <v>3154</v>
      </c>
      <c r="C623">
        <v>1001</v>
      </c>
      <c r="D623" s="323" t="s">
        <v>552</v>
      </c>
      <c r="E623" s="195"/>
      <c r="G623" s="196"/>
      <c r="H623" s="197"/>
      <c r="I623" s="127">
        <v>305213</v>
      </c>
      <c r="J623" s="174">
        <v>50</v>
      </c>
      <c r="K623" s="174">
        <v>0</v>
      </c>
      <c r="L623">
        <v>1209</v>
      </c>
      <c r="M623"/>
      <c r="N623"/>
      <c r="O623">
        <v>1001</v>
      </c>
      <c r="R623" s="195"/>
    </row>
    <row r="624" spans="2:18" s="174" customFormat="1" ht="16.5">
      <c r="B624">
        <v>3155</v>
      </c>
      <c r="C624">
        <v>1001</v>
      </c>
      <c r="D624" s="323" t="s">
        <v>553</v>
      </c>
      <c r="E624" s="195"/>
      <c r="G624" s="196"/>
      <c r="H624" s="197"/>
      <c r="I624" s="127">
        <v>305313</v>
      </c>
      <c r="J624" s="174">
        <v>50</v>
      </c>
      <c r="K624" s="174">
        <v>0</v>
      </c>
      <c r="L624">
        <v>1209</v>
      </c>
      <c r="M624"/>
      <c r="N624"/>
      <c r="O624">
        <v>1002</v>
      </c>
      <c r="R624" s="195"/>
    </row>
    <row r="625" spans="2:18" s="174" customFormat="1" ht="16.5">
      <c r="B625">
        <v>3156</v>
      </c>
      <c r="C625">
        <v>1001</v>
      </c>
      <c r="D625" s="323" t="s">
        <v>554</v>
      </c>
      <c r="E625" s="195"/>
      <c r="G625" s="196"/>
      <c r="H625" s="197"/>
      <c r="I625" s="127">
        <v>305610</v>
      </c>
      <c r="J625" s="174">
        <v>50</v>
      </c>
      <c r="K625" s="174">
        <v>0</v>
      </c>
      <c r="L625">
        <v>1209</v>
      </c>
      <c r="M625"/>
      <c r="N625"/>
      <c r="O625">
        <v>1003</v>
      </c>
      <c r="R625" s="195"/>
    </row>
    <row r="626" spans="2:18" s="174" customFormat="1" ht="16.5">
      <c r="B626">
        <v>3157</v>
      </c>
      <c r="C626">
        <v>1001</v>
      </c>
      <c r="D626" s="323" t="s">
        <v>555</v>
      </c>
      <c r="E626" s="195"/>
      <c r="G626" s="196"/>
      <c r="H626" s="197"/>
      <c r="I626" s="129">
        <v>305705</v>
      </c>
      <c r="J626" s="174">
        <v>50</v>
      </c>
      <c r="K626" s="174">
        <v>0</v>
      </c>
      <c r="L626">
        <v>1209</v>
      </c>
      <c r="M626"/>
      <c r="N626"/>
      <c r="O626">
        <v>1004</v>
      </c>
      <c r="R626" s="195"/>
    </row>
    <row r="627" spans="2:18" s="174" customFormat="1" ht="16.5">
      <c r="B627">
        <v>3158</v>
      </c>
      <c r="C627">
        <v>1001</v>
      </c>
      <c r="D627" s="323" t="s">
        <v>556</v>
      </c>
      <c r="E627" s="195"/>
      <c r="G627" s="196"/>
      <c r="H627" s="197"/>
      <c r="I627" s="129">
        <v>305806</v>
      </c>
      <c r="J627" s="174">
        <v>50</v>
      </c>
      <c r="K627" s="174">
        <v>0</v>
      </c>
      <c r="L627">
        <v>1209</v>
      </c>
      <c r="M627"/>
      <c r="N627"/>
      <c r="O627">
        <v>1005</v>
      </c>
      <c r="R627" s="195"/>
    </row>
    <row r="628" spans="2:18" s="128" customFormat="1" ht="16.5">
      <c r="B628">
        <v>3159</v>
      </c>
      <c r="C628">
        <v>1001</v>
      </c>
      <c r="D628" s="321" t="s">
        <v>424</v>
      </c>
      <c r="E628" s="169" t="s">
        <v>425</v>
      </c>
      <c r="F628" s="128" t="s">
        <v>425</v>
      </c>
      <c r="G628" s="199" t="s">
        <v>426</v>
      </c>
      <c r="H628" s="200" t="s">
        <v>427</v>
      </c>
      <c r="I628" s="128">
        <v>305204</v>
      </c>
      <c r="J628" s="128">
        <v>50</v>
      </c>
      <c r="K628" s="128">
        <v>0</v>
      </c>
      <c r="L628" s="128">
        <v>1224</v>
      </c>
      <c r="O628">
        <v>1001</v>
      </c>
      <c r="R628" s="169"/>
    </row>
    <row r="629" spans="2:18" s="128" customFormat="1" ht="16.5">
      <c r="B629">
        <v>3160</v>
      </c>
      <c r="C629">
        <v>1001</v>
      </c>
      <c r="D629" s="321" t="s">
        <v>428</v>
      </c>
      <c r="E629" s="169" t="s">
        <v>429</v>
      </c>
      <c r="F629" s="128" t="s">
        <v>429</v>
      </c>
      <c r="G629" s="199" t="s">
        <v>430</v>
      </c>
      <c r="H629" s="200" t="s">
        <v>431</v>
      </c>
      <c r="I629" s="128">
        <v>305205</v>
      </c>
      <c r="J629" s="128">
        <v>50</v>
      </c>
      <c r="K629" s="128">
        <v>0</v>
      </c>
      <c r="L629" s="128">
        <v>1224</v>
      </c>
      <c r="O629">
        <v>1002</v>
      </c>
      <c r="R629" s="169"/>
    </row>
    <row r="630" spans="2:18" s="128" customFormat="1" ht="16.5">
      <c r="B630">
        <v>3161</v>
      </c>
      <c r="C630">
        <v>1001</v>
      </c>
      <c r="D630" s="321" t="s">
        <v>432</v>
      </c>
      <c r="E630" s="169" t="s">
        <v>433</v>
      </c>
      <c r="F630" s="128" t="s">
        <v>434</v>
      </c>
      <c r="G630" s="199" t="s">
        <v>435</v>
      </c>
      <c r="H630" s="200" t="s">
        <v>436</v>
      </c>
      <c r="I630" s="128">
        <v>305304</v>
      </c>
      <c r="J630" s="128">
        <v>50</v>
      </c>
      <c r="K630" s="128">
        <v>0</v>
      </c>
      <c r="L630" s="128">
        <v>1224</v>
      </c>
      <c r="O630">
        <v>1003</v>
      </c>
      <c r="R630" s="169"/>
    </row>
    <row r="631" spans="2:18" s="128" customFormat="1" ht="16.5">
      <c r="B631">
        <v>3162</v>
      </c>
      <c r="C631">
        <v>1001</v>
      </c>
      <c r="D631" s="321" t="s">
        <v>437</v>
      </c>
      <c r="E631" s="169" t="s">
        <v>438</v>
      </c>
      <c r="F631" s="128" t="s">
        <v>439</v>
      </c>
      <c r="G631" s="199" t="s">
        <v>440</v>
      </c>
      <c r="H631" s="200" t="s">
        <v>441</v>
      </c>
      <c r="I631" s="128">
        <v>305305</v>
      </c>
      <c r="J631" s="128">
        <v>50</v>
      </c>
      <c r="K631" s="128">
        <v>0</v>
      </c>
      <c r="L631" s="128">
        <v>1224</v>
      </c>
      <c r="O631">
        <v>1004</v>
      </c>
      <c r="R631" s="169"/>
    </row>
    <row r="632" spans="2:18" s="128" customFormat="1" ht="18" customHeight="1">
      <c r="B632">
        <v>3163</v>
      </c>
      <c r="C632">
        <v>1001</v>
      </c>
      <c r="D632" s="321" t="s">
        <v>442</v>
      </c>
      <c r="E632" s="169" t="s">
        <v>443</v>
      </c>
      <c r="F632" s="128" t="s">
        <v>444</v>
      </c>
      <c r="G632" s="199" t="s">
        <v>445</v>
      </c>
      <c r="H632" s="200" t="s">
        <v>446</v>
      </c>
      <c r="I632" s="128">
        <v>305603</v>
      </c>
      <c r="J632" s="128">
        <v>50</v>
      </c>
      <c r="K632" s="128">
        <v>0</v>
      </c>
      <c r="L632" s="128">
        <v>1224</v>
      </c>
      <c r="O632">
        <v>1005</v>
      </c>
      <c r="R632" s="169"/>
    </row>
    <row r="633" spans="2:18" s="73" customFormat="1" ht="16.5">
      <c r="B633">
        <v>3164</v>
      </c>
      <c r="C633">
        <v>1001</v>
      </c>
      <c r="D633" s="323" t="s">
        <v>557</v>
      </c>
      <c r="E633" s="191" t="s">
        <v>558</v>
      </c>
      <c r="G633" s="192"/>
      <c r="H633" s="193"/>
      <c r="I633" s="95">
        <v>200050</v>
      </c>
      <c r="J633" s="73">
        <v>150</v>
      </c>
      <c r="K633" s="73">
        <v>0</v>
      </c>
      <c r="L633" s="73">
        <v>1229</v>
      </c>
      <c r="O633" s="73">
        <v>1</v>
      </c>
      <c r="P633"/>
      <c r="R633" s="95"/>
    </row>
    <row r="634" spans="2:18" s="73" customFormat="1" ht="16.5">
      <c r="B634">
        <v>3165</v>
      </c>
      <c r="C634">
        <v>1001</v>
      </c>
      <c r="D634" s="323" t="s">
        <v>559</v>
      </c>
      <c r="E634" s="191" t="s">
        <v>560</v>
      </c>
      <c r="G634" s="192"/>
      <c r="H634" s="193"/>
      <c r="I634" s="95">
        <v>200051</v>
      </c>
      <c r="J634" s="73">
        <v>150</v>
      </c>
      <c r="K634" s="201">
        <v>0</v>
      </c>
      <c r="L634" s="73">
        <v>1229</v>
      </c>
      <c r="O634" s="73">
        <v>2</v>
      </c>
      <c r="P634"/>
      <c r="R634" s="95"/>
    </row>
    <row r="635" spans="2:18" ht="16.5">
      <c r="B635">
        <v>3166</v>
      </c>
      <c r="C635">
        <v>1001</v>
      </c>
      <c r="D635" s="323" t="s">
        <v>561</v>
      </c>
      <c r="E635" s="142" t="s">
        <v>562</v>
      </c>
      <c r="G635" s="77"/>
      <c r="H635" s="21"/>
      <c r="I635" s="1">
        <v>308011</v>
      </c>
      <c r="J635" s="173">
        <v>50</v>
      </c>
      <c r="K635">
        <v>0</v>
      </c>
      <c r="L635" s="73">
        <v>1229</v>
      </c>
      <c r="M635" s="73"/>
      <c r="N635" s="73"/>
      <c r="O635">
        <v>1001</v>
      </c>
      <c r="R635" s="8"/>
    </row>
    <row r="636" spans="2:18" ht="16.5">
      <c r="B636">
        <v>3167</v>
      </c>
      <c r="C636">
        <v>1001</v>
      </c>
      <c r="D636" s="323" t="s">
        <v>563</v>
      </c>
      <c r="E636" s="142" t="s">
        <v>564</v>
      </c>
      <c r="G636" s="77"/>
      <c r="H636" s="21"/>
      <c r="I636" s="1">
        <v>308012</v>
      </c>
      <c r="J636" s="173">
        <v>50</v>
      </c>
      <c r="K636">
        <v>0</v>
      </c>
      <c r="L636" s="73">
        <v>1229</v>
      </c>
      <c r="M636" s="73"/>
      <c r="N636" s="73"/>
      <c r="O636">
        <v>1002</v>
      </c>
      <c r="R636" s="8"/>
    </row>
    <row r="637" spans="2:18" ht="16.5">
      <c r="B637">
        <v>3168</v>
      </c>
      <c r="C637">
        <v>1001</v>
      </c>
      <c r="D637" s="323" t="s">
        <v>565</v>
      </c>
      <c r="E637" s="142" t="s">
        <v>566</v>
      </c>
      <c r="G637" s="77"/>
      <c r="H637" s="21"/>
      <c r="I637" s="1">
        <v>308013</v>
      </c>
      <c r="J637" s="173">
        <v>50</v>
      </c>
      <c r="K637" s="173">
        <v>0</v>
      </c>
      <c r="L637" s="73">
        <v>1229</v>
      </c>
      <c r="M637" s="73"/>
      <c r="N637" s="73"/>
      <c r="O637">
        <v>1003</v>
      </c>
      <c r="R637" s="8"/>
    </row>
    <row r="638" spans="2:18" ht="16.5">
      <c r="B638">
        <v>3169</v>
      </c>
      <c r="C638">
        <v>1001</v>
      </c>
      <c r="D638" s="323" t="s">
        <v>567</v>
      </c>
      <c r="E638" s="142" t="s">
        <v>568</v>
      </c>
      <c r="G638" s="77"/>
      <c r="H638" s="21"/>
      <c r="I638" s="1">
        <v>308014</v>
      </c>
      <c r="J638" s="173">
        <v>50</v>
      </c>
      <c r="K638">
        <v>0</v>
      </c>
      <c r="L638" s="73">
        <v>1229</v>
      </c>
      <c r="M638" s="73"/>
      <c r="N638" s="73"/>
      <c r="O638">
        <v>1004</v>
      </c>
      <c r="R638" s="8"/>
    </row>
    <row r="639" spans="2:18" ht="18.75" customHeight="1">
      <c r="B639">
        <v>3170</v>
      </c>
      <c r="C639">
        <v>1001</v>
      </c>
      <c r="D639" s="323" t="s">
        <v>569</v>
      </c>
      <c r="E639" s="142" t="s">
        <v>570</v>
      </c>
      <c r="G639" s="77"/>
      <c r="H639" s="21"/>
      <c r="I639" s="1">
        <v>308015</v>
      </c>
      <c r="J639" s="173">
        <v>50</v>
      </c>
      <c r="K639" s="173">
        <v>0</v>
      </c>
      <c r="L639" s="73">
        <v>1229</v>
      </c>
      <c r="M639" s="73"/>
      <c r="N639" s="73"/>
      <c r="O639">
        <v>1005</v>
      </c>
      <c r="R639" s="8"/>
    </row>
    <row r="640" spans="2:18" ht="16.5">
      <c r="B640">
        <v>3171</v>
      </c>
      <c r="C640">
        <v>1001</v>
      </c>
      <c r="D640" s="321" t="s">
        <v>451</v>
      </c>
      <c r="E640" s="14" t="s">
        <v>452</v>
      </c>
      <c r="G640" s="77"/>
      <c r="H640" s="21"/>
      <c r="I640">
        <v>305206</v>
      </c>
      <c r="J640">
        <v>50</v>
      </c>
      <c r="K640">
        <v>0</v>
      </c>
      <c r="L640">
        <v>1242</v>
      </c>
      <c r="O640">
        <v>1001</v>
      </c>
      <c r="R640" s="8"/>
    </row>
    <row r="641" spans="2:18" ht="16.5">
      <c r="B641">
        <v>3172</v>
      </c>
      <c r="C641">
        <v>1001</v>
      </c>
      <c r="D641" s="321" t="s">
        <v>453</v>
      </c>
      <c r="E641" s="14" t="s">
        <v>454</v>
      </c>
      <c r="G641" s="77"/>
      <c r="H641" s="21"/>
      <c r="I641">
        <v>305207</v>
      </c>
      <c r="J641">
        <v>50</v>
      </c>
      <c r="K641">
        <v>0</v>
      </c>
      <c r="L641">
        <v>1242</v>
      </c>
      <c r="O641">
        <v>1002</v>
      </c>
      <c r="R641" s="8"/>
    </row>
    <row r="642" spans="2:18" ht="16.5">
      <c r="B642">
        <v>3173</v>
      </c>
      <c r="C642">
        <v>1001</v>
      </c>
      <c r="D642" s="321" t="s">
        <v>455</v>
      </c>
      <c r="E642" s="14" t="s">
        <v>456</v>
      </c>
      <c r="G642" s="77"/>
      <c r="H642" s="21"/>
      <c r="I642">
        <v>305306</v>
      </c>
      <c r="J642">
        <v>50</v>
      </c>
      <c r="K642">
        <v>0</v>
      </c>
      <c r="L642">
        <v>1242</v>
      </c>
      <c r="O642">
        <v>1003</v>
      </c>
      <c r="R642" s="8"/>
    </row>
    <row r="643" spans="2:18" ht="16.5">
      <c r="B643">
        <v>3174</v>
      </c>
      <c r="C643">
        <v>1001</v>
      </c>
      <c r="D643" s="321" t="s">
        <v>457</v>
      </c>
      <c r="E643" s="14" t="s">
        <v>458</v>
      </c>
      <c r="G643" s="77"/>
      <c r="H643" s="21"/>
      <c r="I643">
        <v>305307</v>
      </c>
      <c r="J643">
        <v>50</v>
      </c>
      <c r="K643">
        <v>0</v>
      </c>
      <c r="L643">
        <v>1242</v>
      </c>
      <c r="O643">
        <v>1004</v>
      </c>
      <c r="R643" s="8"/>
    </row>
    <row r="644" spans="2:18">
      <c r="B644">
        <v>3175</v>
      </c>
      <c r="C644">
        <v>1001</v>
      </c>
      <c r="D644" s="321" t="s">
        <v>571</v>
      </c>
      <c r="E644" t="s">
        <v>572</v>
      </c>
      <c r="I644">
        <v>200052</v>
      </c>
      <c r="J644">
        <v>300</v>
      </c>
      <c r="K644">
        <v>0</v>
      </c>
      <c r="L644">
        <v>1249</v>
      </c>
      <c r="O644">
        <v>1</v>
      </c>
    </row>
    <row r="645" spans="2:18">
      <c r="B645">
        <v>3176</v>
      </c>
      <c r="C645">
        <v>1001</v>
      </c>
      <c r="D645" s="321" t="s">
        <v>573</v>
      </c>
      <c r="E645" t="s">
        <v>574</v>
      </c>
      <c r="I645">
        <v>305216</v>
      </c>
      <c r="J645">
        <v>50</v>
      </c>
      <c r="K645">
        <v>0</v>
      </c>
      <c r="L645">
        <v>1249</v>
      </c>
      <c r="O645">
        <v>1001</v>
      </c>
    </row>
    <row r="646" spans="2:18">
      <c r="B646">
        <v>3177</v>
      </c>
      <c r="C646">
        <v>1001</v>
      </c>
      <c r="D646" s="321" t="s">
        <v>575</v>
      </c>
      <c r="E646" t="s">
        <v>574</v>
      </c>
      <c r="I646">
        <v>305316</v>
      </c>
      <c r="J646">
        <v>50</v>
      </c>
      <c r="K646">
        <v>0</v>
      </c>
      <c r="L646">
        <v>1249</v>
      </c>
      <c r="O646">
        <v>1002</v>
      </c>
    </row>
    <row r="647" spans="2:18">
      <c r="B647">
        <v>3178</v>
      </c>
      <c r="C647">
        <v>1001</v>
      </c>
      <c r="D647" s="321" t="s">
        <v>576</v>
      </c>
      <c r="E647" t="s">
        <v>574</v>
      </c>
      <c r="I647">
        <v>305706</v>
      </c>
      <c r="J647">
        <v>50</v>
      </c>
      <c r="K647">
        <v>0</v>
      </c>
      <c r="L647">
        <v>1249</v>
      </c>
      <c r="O647">
        <v>1004</v>
      </c>
    </row>
    <row r="648" spans="2:18" ht="18.75" customHeight="1">
      <c r="B648">
        <v>3179</v>
      </c>
      <c r="C648">
        <v>1001</v>
      </c>
      <c r="D648" s="321" t="s">
        <v>577</v>
      </c>
      <c r="E648" t="s">
        <v>574</v>
      </c>
      <c r="I648">
        <v>305807</v>
      </c>
      <c r="J648">
        <v>50</v>
      </c>
      <c r="K648">
        <v>0</v>
      </c>
      <c r="L648">
        <v>1249</v>
      </c>
      <c r="O648">
        <v>1005</v>
      </c>
    </row>
    <row r="649" spans="2:18" s="73" customFormat="1" ht="16.5">
      <c r="B649" s="127">
        <v>3180</v>
      </c>
      <c r="C649">
        <v>1001</v>
      </c>
      <c r="D649" s="323" t="s">
        <v>578</v>
      </c>
      <c r="E649" s="191" t="s">
        <v>579</v>
      </c>
      <c r="G649" s="192"/>
      <c r="H649" s="193"/>
      <c r="I649" s="95">
        <v>200053</v>
      </c>
      <c r="J649" s="73">
        <v>150</v>
      </c>
      <c r="K649" s="201">
        <v>0</v>
      </c>
      <c r="O649">
        <v>533</v>
      </c>
      <c r="P649"/>
      <c r="R649" s="95"/>
    </row>
    <row r="650" spans="2:18" s="73" customFormat="1" ht="16.5">
      <c r="B650" s="127">
        <v>3181</v>
      </c>
      <c r="C650">
        <v>1001</v>
      </c>
      <c r="D650" s="323" t="s">
        <v>580</v>
      </c>
      <c r="E650" s="191" t="s">
        <v>581</v>
      </c>
      <c r="G650" s="192"/>
      <c r="H650" s="193"/>
      <c r="I650" s="95">
        <v>200054</v>
      </c>
      <c r="J650" s="73">
        <v>150</v>
      </c>
      <c r="K650" s="201">
        <v>0</v>
      </c>
      <c r="O650">
        <v>815</v>
      </c>
      <c r="P650"/>
      <c r="R650" s="95"/>
    </row>
    <row r="651" spans="2:18" ht="16.5">
      <c r="B651" s="127">
        <v>3182</v>
      </c>
      <c r="C651">
        <v>1001</v>
      </c>
      <c r="D651" s="323" t="s">
        <v>582</v>
      </c>
      <c r="E651" s="142" t="s">
        <v>583</v>
      </c>
      <c r="G651" s="77"/>
      <c r="H651" s="21"/>
      <c r="I651" s="73">
        <v>305217</v>
      </c>
      <c r="J651" s="173">
        <v>50</v>
      </c>
      <c r="K651">
        <v>0</v>
      </c>
      <c r="L651" s="73">
        <v>1294</v>
      </c>
      <c r="M651" s="73"/>
      <c r="N651" s="73"/>
      <c r="O651">
        <v>1001</v>
      </c>
      <c r="R651" s="8"/>
    </row>
    <row r="652" spans="2:18" ht="16.5">
      <c r="B652" s="127">
        <v>3183</v>
      </c>
      <c r="C652">
        <v>1001</v>
      </c>
      <c r="D652" s="323" t="s">
        <v>584</v>
      </c>
      <c r="E652" s="142" t="s">
        <v>583</v>
      </c>
      <c r="G652" s="77"/>
      <c r="H652" s="21"/>
      <c r="I652" s="73">
        <v>305317</v>
      </c>
      <c r="J652" s="173">
        <v>50</v>
      </c>
      <c r="K652">
        <v>0</v>
      </c>
      <c r="L652" s="73">
        <v>1294</v>
      </c>
      <c r="M652" s="73"/>
      <c r="N652" s="73"/>
      <c r="O652">
        <v>1002</v>
      </c>
      <c r="R652" s="8"/>
    </row>
    <row r="653" spans="2:18" ht="16.5">
      <c r="B653" s="127">
        <v>3184</v>
      </c>
      <c r="C653">
        <v>1001</v>
      </c>
      <c r="D653" s="323" t="s">
        <v>585</v>
      </c>
      <c r="E653" s="142" t="s">
        <v>583</v>
      </c>
      <c r="G653" s="77"/>
      <c r="H653" s="21"/>
      <c r="I653" s="73">
        <v>305611</v>
      </c>
      <c r="J653" s="173">
        <v>50</v>
      </c>
      <c r="K653">
        <v>0</v>
      </c>
      <c r="L653" s="73">
        <v>1294</v>
      </c>
      <c r="M653" s="73"/>
      <c r="N653" s="73"/>
      <c r="O653">
        <v>1003</v>
      </c>
      <c r="R653" s="8"/>
    </row>
    <row r="654" spans="2:18" ht="16.5">
      <c r="B654" s="127">
        <v>3185</v>
      </c>
      <c r="C654">
        <v>1001</v>
      </c>
      <c r="D654" s="323" t="s">
        <v>586</v>
      </c>
      <c r="E654" s="142" t="s">
        <v>583</v>
      </c>
      <c r="G654" s="77"/>
      <c r="H654" s="21"/>
      <c r="I654" s="73">
        <v>305707</v>
      </c>
      <c r="J654" s="173">
        <v>50</v>
      </c>
      <c r="K654">
        <v>0</v>
      </c>
      <c r="L654" s="73">
        <v>1294</v>
      </c>
      <c r="M654" s="73"/>
      <c r="N654" s="73"/>
      <c r="O654">
        <v>1004</v>
      </c>
      <c r="R654" s="8"/>
    </row>
    <row r="655" spans="2:18" ht="16.5">
      <c r="B655" s="127">
        <v>3186</v>
      </c>
      <c r="C655">
        <v>1001</v>
      </c>
      <c r="D655" s="323" t="s">
        <v>587</v>
      </c>
      <c r="E655" s="142" t="s">
        <v>583</v>
      </c>
      <c r="G655" s="77"/>
      <c r="H655" s="21"/>
      <c r="I655" s="73">
        <v>305808</v>
      </c>
      <c r="J655" s="173">
        <v>50</v>
      </c>
      <c r="K655">
        <v>0</v>
      </c>
      <c r="L655" s="73">
        <v>1294</v>
      </c>
      <c r="M655" s="73"/>
      <c r="N655" s="73"/>
      <c r="O655">
        <v>1005</v>
      </c>
      <c r="R655" s="8"/>
    </row>
    <row r="656" spans="2:18" ht="18.75" customHeight="1">
      <c r="B656" s="127">
        <v>3187</v>
      </c>
      <c r="C656">
        <v>1001</v>
      </c>
      <c r="D656" s="323" t="s">
        <v>595</v>
      </c>
      <c r="E656" s="142" t="s">
        <v>583</v>
      </c>
      <c r="G656" s="77"/>
      <c r="H656" s="21"/>
      <c r="I656" s="73">
        <v>309500</v>
      </c>
      <c r="J656" s="173">
        <v>50</v>
      </c>
      <c r="K656" s="173">
        <v>0</v>
      </c>
      <c r="L656" s="73">
        <v>1294</v>
      </c>
      <c r="M656" s="73"/>
      <c r="N656" s="73"/>
      <c r="O656">
        <v>1006</v>
      </c>
      <c r="R656" s="8"/>
    </row>
    <row r="657" spans="2:18" ht="16.5">
      <c r="B657">
        <v>3188</v>
      </c>
      <c r="C657">
        <v>1001</v>
      </c>
      <c r="E657">
        <v>305605</v>
      </c>
      <c r="G657" s="77"/>
      <c r="H657" s="21"/>
      <c r="I657">
        <v>305605</v>
      </c>
      <c r="J657">
        <v>50</v>
      </c>
      <c r="K657">
        <v>0</v>
      </c>
      <c r="L657">
        <v>1304</v>
      </c>
      <c r="O657">
        <v>1001</v>
      </c>
      <c r="R657" s="8"/>
    </row>
    <row r="658" spans="2:18" ht="16.5">
      <c r="B658">
        <v>3189</v>
      </c>
      <c r="C658">
        <v>1001</v>
      </c>
      <c r="E658">
        <v>305209</v>
      </c>
      <c r="G658" s="77"/>
      <c r="H658" s="21"/>
      <c r="I658">
        <v>305209</v>
      </c>
      <c r="J658">
        <v>50</v>
      </c>
      <c r="K658">
        <v>0</v>
      </c>
      <c r="L658">
        <v>1304</v>
      </c>
      <c r="O658">
        <v>1002</v>
      </c>
      <c r="R658" s="8"/>
    </row>
    <row r="659" spans="2:18">
      <c r="B659">
        <v>3190</v>
      </c>
      <c r="C659">
        <v>1001</v>
      </c>
      <c r="E659">
        <v>305309</v>
      </c>
      <c r="I659">
        <v>305309</v>
      </c>
      <c r="J659">
        <v>50</v>
      </c>
      <c r="K659">
        <v>0</v>
      </c>
      <c r="L659">
        <v>1304</v>
      </c>
      <c r="O659">
        <v>1003</v>
      </c>
    </row>
    <row r="660" spans="2:18">
      <c r="B660">
        <v>3191</v>
      </c>
      <c r="C660">
        <v>1001</v>
      </c>
      <c r="I660">
        <v>200055</v>
      </c>
      <c r="J660">
        <v>150</v>
      </c>
      <c r="K660">
        <v>0</v>
      </c>
      <c r="L660">
        <v>220408</v>
      </c>
      <c r="O660">
        <v>1</v>
      </c>
    </row>
    <row r="661" spans="2:18">
      <c r="B661">
        <v>3192</v>
      </c>
      <c r="C661">
        <v>1001</v>
      </c>
      <c r="I661">
        <v>200056</v>
      </c>
      <c r="J661">
        <v>150</v>
      </c>
      <c r="K661">
        <v>0</v>
      </c>
      <c r="L661">
        <v>220408</v>
      </c>
      <c r="O661">
        <v>2</v>
      </c>
    </row>
    <row r="662" spans="2:18">
      <c r="B662">
        <v>3193</v>
      </c>
      <c r="C662">
        <v>1001</v>
      </c>
      <c r="I662">
        <v>200057</v>
      </c>
      <c r="J662">
        <v>150</v>
      </c>
      <c r="K662">
        <v>0</v>
      </c>
      <c r="L662">
        <v>220408</v>
      </c>
      <c r="O662">
        <v>3</v>
      </c>
    </row>
    <row r="663" spans="2:18">
      <c r="B663">
        <v>3194</v>
      </c>
      <c r="C663">
        <v>1001</v>
      </c>
      <c r="I663">
        <v>200058</v>
      </c>
      <c r="J663">
        <v>150</v>
      </c>
      <c r="K663">
        <v>0</v>
      </c>
      <c r="L663">
        <v>220408</v>
      </c>
      <c r="O663">
        <v>4</v>
      </c>
    </row>
    <row r="664" spans="2:18">
      <c r="B664">
        <v>3195</v>
      </c>
      <c r="C664">
        <v>1001</v>
      </c>
      <c r="I664">
        <v>308016</v>
      </c>
      <c r="J664">
        <v>50</v>
      </c>
      <c r="K664">
        <v>0</v>
      </c>
      <c r="L664">
        <v>220408</v>
      </c>
      <c r="O664">
        <v>1001</v>
      </c>
    </row>
    <row r="665" spans="2:18">
      <c r="B665">
        <v>3196</v>
      </c>
      <c r="C665">
        <v>1001</v>
      </c>
      <c r="I665">
        <v>308017</v>
      </c>
      <c r="J665">
        <v>50</v>
      </c>
      <c r="K665">
        <v>0</v>
      </c>
      <c r="L665">
        <v>220408</v>
      </c>
      <c r="O665">
        <v>1002</v>
      </c>
    </row>
    <row r="666" spans="2:18">
      <c r="B666">
        <v>3197</v>
      </c>
      <c r="C666">
        <v>1001</v>
      </c>
      <c r="I666">
        <v>308018</v>
      </c>
      <c r="J666">
        <v>50</v>
      </c>
      <c r="K666">
        <v>0</v>
      </c>
      <c r="L666">
        <v>220408</v>
      </c>
      <c r="O666">
        <v>1003</v>
      </c>
    </row>
    <row r="667" spans="2:18">
      <c r="B667">
        <v>3198</v>
      </c>
      <c r="C667">
        <v>1001</v>
      </c>
      <c r="I667">
        <v>308019</v>
      </c>
      <c r="J667">
        <v>50</v>
      </c>
      <c r="K667">
        <v>0</v>
      </c>
      <c r="L667">
        <v>220408</v>
      </c>
      <c r="O667">
        <v>1004</v>
      </c>
    </row>
    <row r="668" spans="2:18" ht="18.75" customHeight="1">
      <c r="B668">
        <v>3199</v>
      </c>
      <c r="C668">
        <v>1001</v>
      </c>
      <c r="I668">
        <v>308020</v>
      </c>
      <c r="J668">
        <v>50</v>
      </c>
      <c r="K668">
        <v>0</v>
      </c>
      <c r="L668">
        <v>220408</v>
      </c>
      <c r="O668">
        <v>1005</v>
      </c>
    </row>
    <row r="669" spans="2:18">
      <c r="B669">
        <v>3200</v>
      </c>
      <c r="C669">
        <v>1001</v>
      </c>
      <c r="E669">
        <v>305211</v>
      </c>
      <c r="I669">
        <v>305211</v>
      </c>
      <c r="J669">
        <v>50</v>
      </c>
      <c r="K669">
        <v>0</v>
      </c>
      <c r="L669">
        <v>220308</v>
      </c>
      <c r="O669">
        <v>1001</v>
      </c>
    </row>
    <row r="670" spans="2:18">
      <c r="B670">
        <v>3201</v>
      </c>
      <c r="C670">
        <v>1001</v>
      </c>
      <c r="E670">
        <v>305311</v>
      </c>
      <c r="I670">
        <v>305311</v>
      </c>
      <c r="J670">
        <v>50</v>
      </c>
      <c r="K670">
        <v>0</v>
      </c>
      <c r="L670">
        <v>220308</v>
      </c>
      <c r="O670">
        <v>1002</v>
      </c>
    </row>
    <row r="671" spans="2:18">
      <c r="B671">
        <v>3202</v>
      </c>
      <c r="C671">
        <v>1001</v>
      </c>
      <c r="E671">
        <v>305607</v>
      </c>
      <c r="I671">
        <v>305607</v>
      </c>
      <c r="J671">
        <v>50</v>
      </c>
      <c r="K671">
        <v>0</v>
      </c>
      <c r="L671">
        <v>220308</v>
      </c>
      <c r="O671">
        <v>1003</v>
      </c>
    </row>
    <row r="672" spans="2:18">
      <c r="B672">
        <v>3203</v>
      </c>
      <c r="C672">
        <v>1001</v>
      </c>
      <c r="E672" t="s">
        <v>534</v>
      </c>
      <c r="I672">
        <v>305523</v>
      </c>
      <c r="J672">
        <v>100</v>
      </c>
      <c r="K672">
        <v>0</v>
      </c>
      <c r="L672">
        <v>220507</v>
      </c>
      <c r="O672">
        <v>1001</v>
      </c>
    </row>
    <row r="673" spans="2:18">
      <c r="B673">
        <v>3204</v>
      </c>
      <c r="C673">
        <v>1001</v>
      </c>
      <c r="E673" t="s">
        <v>536</v>
      </c>
      <c r="I673">
        <v>305608</v>
      </c>
      <c r="J673">
        <v>50</v>
      </c>
      <c r="K673">
        <v>0</v>
      </c>
      <c r="L673">
        <v>220507</v>
      </c>
      <c r="O673">
        <v>1002</v>
      </c>
    </row>
    <row r="674" spans="2:18">
      <c r="B674">
        <v>3205</v>
      </c>
      <c r="C674">
        <v>1001</v>
      </c>
      <c r="E674" t="s">
        <v>538</v>
      </c>
      <c r="I674">
        <v>305704</v>
      </c>
      <c r="J674">
        <v>50</v>
      </c>
      <c r="K674">
        <v>0</v>
      </c>
      <c r="L674">
        <v>220507</v>
      </c>
      <c r="O674">
        <v>1003</v>
      </c>
    </row>
    <row r="675" spans="2:18">
      <c r="B675">
        <v>3206</v>
      </c>
      <c r="C675">
        <v>1001</v>
      </c>
      <c r="D675" s="321" t="s">
        <v>1749</v>
      </c>
      <c r="E675" t="s">
        <v>1751</v>
      </c>
      <c r="I675">
        <v>200059</v>
      </c>
      <c r="J675">
        <v>150</v>
      </c>
      <c r="K675">
        <v>0</v>
      </c>
      <c r="O675">
        <v>534</v>
      </c>
    </row>
    <row r="676" spans="2:18">
      <c r="B676">
        <v>3207</v>
      </c>
      <c r="C676">
        <v>1001</v>
      </c>
      <c r="D676" s="321" t="s">
        <v>1750</v>
      </c>
      <c r="E676" t="s">
        <v>1752</v>
      </c>
      <c r="I676">
        <v>200060</v>
      </c>
      <c r="J676">
        <v>150</v>
      </c>
      <c r="K676">
        <v>0</v>
      </c>
      <c r="O676">
        <v>816</v>
      </c>
    </row>
    <row r="677" spans="2:18">
      <c r="B677">
        <v>3208</v>
      </c>
      <c r="C677">
        <v>1001</v>
      </c>
      <c r="E677">
        <v>305218</v>
      </c>
      <c r="I677">
        <v>305218</v>
      </c>
      <c r="J677">
        <v>50</v>
      </c>
      <c r="K677">
        <v>0</v>
      </c>
      <c r="L677">
        <v>220601</v>
      </c>
      <c r="O677">
        <v>1001</v>
      </c>
    </row>
    <row r="678" spans="2:18">
      <c r="B678">
        <v>3209</v>
      </c>
      <c r="C678">
        <v>1001</v>
      </c>
      <c r="E678">
        <v>305318</v>
      </c>
      <c r="I678">
        <v>305318</v>
      </c>
      <c r="J678">
        <v>50</v>
      </c>
      <c r="K678">
        <v>0</v>
      </c>
      <c r="L678">
        <v>220601</v>
      </c>
      <c r="O678">
        <v>1002</v>
      </c>
    </row>
    <row r="679" spans="2:18">
      <c r="B679">
        <v>3210</v>
      </c>
      <c r="C679">
        <v>1001</v>
      </c>
      <c r="E679">
        <v>305612</v>
      </c>
      <c r="I679">
        <v>305612</v>
      </c>
      <c r="J679">
        <v>50</v>
      </c>
      <c r="K679">
        <v>0</v>
      </c>
      <c r="L679">
        <v>220601</v>
      </c>
      <c r="O679">
        <v>1003</v>
      </c>
    </row>
    <row r="680" spans="2:18">
      <c r="B680">
        <v>3211</v>
      </c>
      <c r="C680">
        <v>1001</v>
      </c>
      <c r="I680">
        <v>305212</v>
      </c>
      <c r="J680">
        <v>50</v>
      </c>
      <c r="K680">
        <v>0</v>
      </c>
      <c r="L680">
        <v>220708</v>
      </c>
      <c r="O680">
        <v>1001</v>
      </c>
    </row>
    <row r="681" spans="2:18">
      <c r="B681">
        <v>3212</v>
      </c>
      <c r="C681">
        <v>1001</v>
      </c>
      <c r="I681">
        <v>305312</v>
      </c>
      <c r="J681">
        <v>50</v>
      </c>
      <c r="K681">
        <v>0</v>
      </c>
      <c r="L681">
        <v>220708</v>
      </c>
      <c r="O681">
        <v>1002</v>
      </c>
    </row>
    <row r="682" spans="2:18">
      <c r="B682">
        <v>3213</v>
      </c>
      <c r="C682">
        <v>1001</v>
      </c>
      <c r="I682">
        <v>305609</v>
      </c>
      <c r="J682">
        <v>50</v>
      </c>
      <c r="K682">
        <v>0</v>
      </c>
      <c r="L682">
        <v>220708</v>
      </c>
      <c r="O682">
        <v>1003</v>
      </c>
    </row>
    <row r="683" spans="2:18" ht="16.5">
      <c r="B683" s="207">
        <v>3214</v>
      </c>
      <c r="C683">
        <v>1001</v>
      </c>
      <c r="D683" s="323" t="s">
        <v>1756</v>
      </c>
      <c r="E683" s="221" t="s">
        <v>1757</v>
      </c>
      <c r="G683" s="77"/>
      <c r="H683" s="21"/>
      <c r="I683" s="129">
        <v>200061</v>
      </c>
      <c r="J683">
        <v>300</v>
      </c>
      <c r="K683">
        <v>0</v>
      </c>
      <c r="L683" s="127">
        <v>220807</v>
      </c>
      <c r="M683" s="127"/>
      <c r="N683" s="127"/>
      <c r="O683">
        <v>1</v>
      </c>
      <c r="R683" s="8"/>
    </row>
    <row r="684" spans="2:18" ht="16.5">
      <c r="B684" s="207">
        <v>3215</v>
      </c>
      <c r="C684">
        <v>1001</v>
      </c>
      <c r="D684" s="323"/>
      <c r="E684" s="9" t="s">
        <v>1758</v>
      </c>
      <c r="G684" s="77"/>
      <c r="H684" s="21"/>
      <c r="I684" s="220">
        <v>305220</v>
      </c>
      <c r="J684" s="173">
        <v>50</v>
      </c>
      <c r="K684">
        <v>0</v>
      </c>
      <c r="L684" s="127">
        <v>220807</v>
      </c>
      <c r="M684" s="127"/>
      <c r="N684" s="127"/>
      <c r="O684">
        <v>1001</v>
      </c>
      <c r="R684" s="8"/>
    </row>
    <row r="685" spans="2:18" ht="16.5">
      <c r="B685" s="207">
        <v>3216</v>
      </c>
      <c r="C685">
        <v>1001</v>
      </c>
      <c r="D685" s="323"/>
      <c r="E685" s="9" t="s">
        <v>1758</v>
      </c>
      <c r="G685" s="77"/>
      <c r="H685" s="21"/>
      <c r="I685" s="220">
        <v>305320</v>
      </c>
      <c r="J685" s="173">
        <v>50</v>
      </c>
      <c r="K685">
        <v>0</v>
      </c>
      <c r="L685" s="127">
        <v>220807</v>
      </c>
      <c r="M685" s="127"/>
      <c r="N685" s="127"/>
      <c r="O685">
        <v>1002</v>
      </c>
      <c r="R685" s="8"/>
    </row>
    <row r="686" spans="2:18" ht="16.5">
      <c r="B686" s="207">
        <v>3217</v>
      </c>
      <c r="C686">
        <v>1001</v>
      </c>
      <c r="D686" s="323"/>
      <c r="E686" s="9" t="s">
        <v>1758</v>
      </c>
      <c r="G686" s="77"/>
      <c r="H686" s="21"/>
      <c r="I686" s="220">
        <v>305613</v>
      </c>
      <c r="J686" s="173">
        <v>50</v>
      </c>
      <c r="K686">
        <v>0</v>
      </c>
      <c r="L686" s="127">
        <v>220807</v>
      </c>
      <c r="M686" s="127"/>
      <c r="N686" s="127"/>
      <c r="O686">
        <v>1003</v>
      </c>
      <c r="R686" s="8"/>
    </row>
    <row r="687" spans="2:18" ht="18.75" customHeight="1">
      <c r="B687" s="207">
        <v>3218</v>
      </c>
      <c r="C687">
        <v>1001</v>
      </c>
      <c r="E687" s="9" t="s">
        <v>1758</v>
      </c>
      <c r="I687" s="220">
        <v>305811</v>
      </c>
      <c r="J687">
        <v>50</v>
      </c>
      <c r="K687">
        <v>0</v>
      </c>
      <c r="L687" s="127">
        <v>220807</v>
      </c>
      <c r="M687" s="127"/>
      <c r="N687" s="127"/>
      <c r="O687">
        <v>1004</v>
      </c>
    </row>
    <row r="688" spans="2:18" ht="18.75" customHeight="1">
      <c r="B688" s="207">
        <v>3219</v>
      </c>
      <c r="C688">
        <v>1001</v>
      </c>
      <c r="E688" s="9" t="s">
        <v>1758</v>
      </c>
      <c r="I688" s="220">
        <v>305709</v>
      </c>
      <c r="J688">
        <v>50</v>
      </c>
      <c r="K688">
        <v>0</v>
      </c>
      <c r="L688" s="127">
        <v>220807</v>
      </c>
      <c r="M688" s="127"/>
      <c r="N688" s="127"/>
      <c r="O688">
        <v>1005</v>
      </c>
    </row>
    <row r="689" spans="2:18" ht="16.5">
      <c r="B689">
        <v>3220</v>
      </c>
      <c r="C689">
        <v>1001</v>
      </c>
      <c r="D689" s="321" t="s">
        <v>467</v>
      </c>
      <c r="E689">
        <v>305208</v>
      </c>
      <c r="G689" s="77"/>
      <c r="H689" s="21"/>
      <c r="I689">
        <v>305208</v>
      </c>
      <c r="J689">
        <v>50</v>
      </c>
      <c r="K689">
        <v>0</v>
      </c>
      <c r="L689">
        <v>220910</v>
      </c>
      <c r="O689">
        <v>1001</v>
      </c>
      <c r="R689" s="8"/>
    </row>
    <row r="690" spans="2:18" ht="16.5">
      <c r="B690">
        <v>3221</v>
      </c>
      <c r="C690">
        <v>1001</v>
      </c>
      <c r="D690" s="321" t="s">
        <v>468</v>
      </c>
      <c r="E690">
        <v>305308</v>
      </c>
      <c r="G690" s="77"/>
      <c r="H690" s="21"/>
      <c r="I690">
        <v>305308</v>
      </c>
      <c r="J690">
        <v>50</v>
      </c>
      <c r="K690">
        <v>0</v>
      </c>
      <c r="L690">
        <v>220910</v>
      </c>
      <c r="O690">
        <v>1002</v>
      </c>
      <c r="R690" s="8"/>
    </row>
    <row r="691" spans="2:18" ht="16.5">
      <c r="B691">
        <v>3222</v>
      </c>
      <c r="C691">
        <v>1001</v>
      </c>
      <c r="D691" s="321" t="s">
        <v>469</v>
      </c>
      <c r="E691">
        <v>305604</v>
      </c>
      <c r="G691" s="77"/>
      <c r="H691" s="21"/>
      <c r="I691">
        <v>305604</v>
      </c>
      <c r="J691">
        <v>50</v>
      </c>
      <c r="K691">
        <v>0</v>
      </c>
      <c r="L691">
        <v>220910</v>
      </c>
      <c r="O691">
        <v>1003</v>
      </c>
      <c r="R691" s="8"/>
    </row>
    <row r="692" spans="2:18" ht="16.5">
      <c r="B692">
        <v>3223</v>
      </c>
      <c r="C692">
        <v>1001</v>
      </c>
      <c r="D692" s="321" t="s">
        <v>470</v>
      </c>
      <c r="E692">
        <v>305702</v>
      </c>
      <c r="G692" s="77"/>
      <c r="H692" s="21"/>
      <c r="I692">
        <v>305702</v>
      </c>
      <c r="J692">
        <v>50</v>
      </c>
      <c r="K692">
        <v>0</v>
      </c>
      <c r="L692">
        <v>220910</v>
      </c>
      <c r="O692">
        <v>1004</v>
      </c>
      <c r="R692" s="8"/>
    </row>
    <row r="693" spans="2:18" ht="16.5">
      <c r="B693">
        <v>3224</v>
      </c>
      <c r="C693">
        <v>1001</v>
      </c>
      <c r="D693" s="321" t="s">
        <v>471</v>
      </c>
      <c r="E693">
        <v>305802</v>
      </c>
      <c r="G693" s="77"/>
      <c r="H693" s="21"/>
      <c r="I693">
        <v>305802</v>
      </c>
      <c r="J693">
        <v>50</v>
      </c>
      <c r="K693">
        <v>0</v>
      </c>
      <c r="L693">
        <v>220910</v>
      </c>
      <c r="O693">
        <v>1005</v>
      </c>
      <c r="R693" s="8"/>
    </row>
    <row r="694" spans="2:18" ht="16.5">
      <c r="B694">
        <v>3225</v>
      </c>
      <c r="C694">
        <v>1001</v>
      </c>
      <c r="D694" s="323"/>
      <c r="E694">
        <v>305703</v>
      </c>
      <c r="G694" s="77"/>
      <c r="H694" s="21"/>
      <c r="I694">
        <v>305703</v>
      </c>
      <c r="J694">
        <v>50</v>
      </c>
      <c r="K694">
        <v>0</v>
      </c>
      <c r="L694" s="1">
        <v>221005</v>
      </c>
      <c r="M694" s="1"/>
      <c r="N694" s="1"/>
      <c r="O694">
        <v>1001</v>
      </c>
      <c r="R694" s="8"/>
    </row>
    <row r="695" spans="2:18" s="173" customFormat="1" ht="16.5">
      <c r="B695">
        <v>3226</v>
      </c>
      <c r="C695">
        <v>1001</v>
      </c>
      <c r="D695" s="323"/>
      <c r="E695" s="8">
        <v>305803</v>
      </c>
      <c r="G695" s="189"/>
      <c r="H695" s="190"/>
      <c r="I695" s="8">
        <v>305803</v>
      </c>
      <c r="J695" s="173">
        <v>50</v>
      </c>
      <c r="K695" s="173">
        <v>0</v>
      </c>
      <c r="L695" s="1">
        <v>221005</v>
      </c>
      <c r="M695" s="1"/>
      <c r="N695" s="1"/>
      <c r="O695" s="173">
        <v>1002</v>
      </c>
      <c r="P695"/>
      <c r="R695" s="194"/>
    </row>
    <row r="696" spans="2:18" ht="16.5">
      <c r="B696">
        <v>3228</v>
      </c>
      <c r="C696">
        <v>1001</v>
      </c>
      <c r="D696" s="323" t="s">
        <v>1762</v>
      </c>
      <c r="E696" s="223" t="s">
        <v>1763</v>
      </c>
      <c r="G696" s="77"/>
      <c r="H696" s="21"/>
      <c r="I696">
        <v>200062</v>
      </c>
      <c r="J696">
        <v>150</v>
      </c>
      <c r="K696">
        <v>0</v>
      </c>
      <c r="L696" s="7">
        <v>221109</v>
      </c>
      <c r="M696" s="7"/>
      <c r="N696" s="7"/>
      <c r="O696">
        <v>1</v>
      </c>
      <c r="R696" s="8"/>
    </row>
    <row r="697" spans="2:18" ht="16.5">
      <c r="B697">
        <v>3229</v>
      </c>
      <c r="C697">
        <v>1001</v>
      </c>
      <c r="D697" s="323" t="s">
        <v>1764</v>
      </c>
      <c r="E697" s="224" t="s">
        <v>1765</v>
      </c>
      <c r="G697" s="77"/>
      <c r="H697" s="21"/>
      <c r="I697">
        <v>200063</v>
      </c>
      <c r="J697">
        <v>150</v>
      </c>
      <c r="K697">
        <v>0</v>
      </c>
      <c r="L697" s="7">
        <v>221109</v>
      </c>
      <c r="M697" s="7"/>
      <c r="N697" s="7"/>
      <c r="O697">
        <v>2</v>
      </c>
      <c r="R697" s="8"/>
    </row>
    <row r="698" spans="2:18" ht="16.5">
      <c r="B698">
        <v>3230</v>
      </c>
      <c r="C698">
        <v>1001</v>
      </c>
      <c r="D698" s="323" t="s">
        <v>1766</v>
      </c>
      <c r="E698" s="223" t="s">
        <v>1767</v>
      </c>
      <c r="G698" s="77"/>
      <c r="H698" s="21"/>
      <c r="I698">
        <v>200064</v>
      </c>
      <c r="J698">
        <v>150</v>
      </c>
      <c r="K698">
        <v>0</v>
      </c>
      <c r="L698" s="7">
        <v>221109</v>
      </c>
      <c r="M698" s="7"/>
      <c r="N698" s="7"/>
      <c r="O698">
        <v>3</v>
      </c>
      <c r="R698" s="8"/>
    </row>
    <row r="699" spans="2:18" ht="16.5">
      <c r="B699">
        <v>3231</v>
      </c>
      <c r="C699">
        <v>1001</v>
      </c>
      <c r="D699" s="323" t="s">
        <v>1768</v>
      </c>
      <c r="E699" s="225" t="s">
        <v>1769</v>
      </c>
      <c r="G699" s="77"/>
      <c r="H699" s="21"/>
      <c r="I699">
        <v>200065</v>
      </c>
      <c r="J699">
        <v>150</v>
      </c>
      <c r="K699" s="173">
        <v>0</v>
      </c>
      <c r="L699" s="7">
        <v>221109</v>
      </c>
      <c r="M699" s="7"/>
      <c r="N699" s="7"/>
      <c r="O699">
        <v>4</v>
      </c>
      <c r="R699" s="8"/>
    </row>
    <row r="700" spans="2:18" ht="16.5">
      <c r="B700">
        <v>3232</v>
      </c>
      <c r="C700">
        <v>1001</v>
      </c>
      <c r="D700" s="323" t="s">
        <v>481</v>
      </c>
      <c r="E700" t="s">
        <v>482</v>
      </c>
      <c r="G700" s="77"/>
      <c r="H700" s="21"/>
      <c r="I700" s="8">
        <v>200034</v>
      </c>
      <c r="J700">
        <v>150</v>
      </c>
      <c r="K700">
        <v>0</v>
      </c>
      <c r="L700" s="7">
        <v>221109</v>
      </c>
      <c r="M700" s="7"/>
      <c r="N700" s="7"/>
      <c r="O700">
        <v>5</v>
      </c>
      <c r="R700" s="8"/>
    </row>
    <row r="701" spans="2:18" ht="16.5">
      <c r="B701">
        <v>3233</v>
      </c>
      <c r="C701">
        <v>1001</v>
      </c>
      <c r="D701" s="323" t="s">
        <v>483</v>
      </c>
      <c r="E701" t="s">
        <v>484</v>
      </c>
      <c r="G701" s="77"/>
      <c r="H701" s="21"/>
      <c r="I701" s="8">
        <v>200035</v>
      </c>
      <c r="J701">
        <v>150</v>
      </c>
      <c r="K701">
        <v>0</v>
      </c>
      <c r="L701" s="7">
        <v>221109</v>
      </c>
      <c r="M701" s="7"/>
      <c r="N701" s="7"/>
      <c r="O701">
        <v>6</v>
      </c>
      <c r="R701" s="8"/>
    </row>
    <row r="702" spans="2:18" ht="16.5">
      <c r="B702">
        <v>3234</v>
      </c>
      <c r="C702">
        <v>1001</v>
      </c>
      <c r="D702" s="323" t="s">
        <v>485</v>
      </c>
      <c r="E702" t="s">
        <v>486</v>
      </c>
      <c r="G702" s="77"/>
      <c r="H702" s="21"/>
      <c r="I702" s="8">
        <v>200036</v>
      </c>
      <c r="J702">
        <v>150</v>
      </c>
      <c r="K702">
        <v>0</v>
      </c>
      <c r="L702" s="7">
        <v>221109</v>
      </c>
      <c r="M702" s="7"/>
      <c r="N702" s="7"/>
      <c r="O702">
        <v>7</v>
      </c>
      <c r="R702" s="8"/>
    </row>
    <row r="703" spans="2:18" ht="16.5">
      <c r="B703">
        <v>3235</v>
      </c>
      <c r="C703">
        <v>1001</v>
      </c>
      <c r="D703" s="323" t="s">
        <v>487</v>
      </c>
      <c r="E703" t="s">
        <v>488</v>
      </c>
      <c r="G703" s="77"/>
      <c r="H703" s="21"/>
      <c r="I703" s="8">
        <v>200037</v>
      </c>
      <c r="J703">
        <v>150</v>
      </c>
      <c r="K703" s="173">
        <v>0</v>
      </c>
      <c r="L703" s="7">
        <v>221109</v>
      </c>
      <c r="M703" s="7"/>
      <c r="N703" s="7"/>
      <c r="O703">
        <v>8</v>
      </c>
      <c r="R703" s="8"/>
    </row>
    <row r="704" spans="2:18" ht="16.5">
      <c r="B704">
        <v>3236</v>
      </c>
      <c r="C704">
        <v>1001</v>
      </c>
      <c r="D704" s="323"/>
      <c r="E704" t="s">
        <v>1770</v>
      </c>
      <c r="G704" s="77"/>
      <c r="H704" s="21"/>
      <c r="I704">
        <v>308021</v>
      </c>
      <c r="J704" s="173">
        <v>50</v>
      </c>
      <c r="K704">
        <v>0</v>
      </c>
      <c r="L704" s="7">
        <v>221109</v>
      </c>
      <c r="M704" s="7"/>
      <c r="N704" s="7"/>
      <c r="O704">
        <v>1001</v>
      </c>
      <c r="R704" s="8"/>
    </row>
    <row r="705" spans="2:18" ht="16.5">
      <c r="B705">
        <v>3237</v>
      </c>
      <c r="C705">
        <v>1001</v>
      </c>
      <c r="D705" s="323"/>
      <c r="E705" t="s">
        <v>1771</v>
      </c>
      <c r="G705" s="77"/>
      <c r="H705" s="21"/>
      <c r="I705">
        <v>308022</v>
      </c>
      <c r="J705" s="173">
        <v>50</v>
      </c>
      <c r="K705">
        <v>0</v>
      </c>
      <c r="L705" s="7">
        <v>221109</v>
      </c>
      <c r="M705" s="7"/>
      <c r="N705" s="7"/>
      <c r="O705">
        <v>1002</v>
      </c>
      <c r="R705" s="8"/>
    </row>
    <row r="706" spans="2:18" ht="16.5">
      <c r="B706">
        <v>3238</v>
      </c>
      <c r="C706">
        <v>1001</v>
      </c>
      <c r="D706" s="323"/>
      <c r="E706" t="s">
        <v>1772</v>
      </c>
      <c r="G706" s="77"/>
      <c r="H706" s="21"/>
      <c r="I706">
        <v>308023</v>
      </c>
      <c r="J706" s="173">
        <v>50</v>
      </c>
      <c r="K706" s="173">
        <v>0</v>
      </c>
      <c r="L706" s="7">
        <v>221109</v>
      </c>
      <c r="M706" s="7"/>
      <c r="N706" s="7"/>
      <c r="O706">
        <v>1003</v>
      </c>
      <c r="R706" s="8"/>
    </row>
    <row r="707" spans="2:18" ht="16.5">
      <c r="B707">
        <v>3239</v>
      </c>
      <c r="C707">
        <v>1001</v>
      </c>
      <c r="D707" s="323"/>
      <c r="E707" t="s">
        <v>1773</v>
      </c>
      <c r="G707" s="77"/>
      <c r="H707" s="21"/>
      <c r="I707">
        <v>308024</v>
      </c>
      <c r="J707" s="173">
        <v>50</v>
      </c>
      <c r="K707">
        <v>0</v>
      </c>
      <c r="L707" s="7">
        <v>221109</v>
      </c>
      <c r="M707" s="7"/>
      <c r="N707" s="7"/>
      <c r="O707">
        <v>1004</v>
      </c>
      <c r="R707" s="8"/>
    </row>
    <row r="708" spans="2:18" ht="16.5">
      <c r="B708">
        <v>3240</v>
      </c>
      <c r="C708">
        <v>1001</v>
      </c>
      <c r="D708" s="323"/>
      <c r="E708" s="226" t="s">
        <v>1774</v>
      </c>
      <c r="G708" s="77"/>
      <c r="H708" s="21"/>
      <c r="I708">
        <v>308025</v>
      </c>
      <c r="J708" s="173">
        <v>50</v>
      </c>
      <c r="K708" s="173">
        <v>0</v>
      </c>
      <c r="L708" s="7">
        <v>221109</v>
      </c>
      <c r="M708" s="7"/>
      <c r="N708" s="7"/>
      <c r="O708">
        <v>1005</v>
      </c>
      <c r="R708" s="8"/>
    </row>
    <row r="709" spans="2:18" ht="16.5">
      <c r="B709">
        <v>3241</v>
      </c>
      <c r="C709">
        <v>1001</v>
      </c>
      <c r="D709" s="323"/>
      <c r="E709" t="s">
        <v>490</v>
      </c>
      <c r="G709" s="77"/>
      <c r="H709" s="21"/>
      <c r="I709">
        <v>308001</v>
      </c>
      <c r="J709" s="173">
        <v>50</v>
      </c>
      <c r="K709">
        <v>0</v>
      </c>
      <c r="L709" s="7">
        <v>221109</v>
      </c>
      <c r="M709" s="7"/>
      <c r="N709" s="7"/>
      <c r="O709">
        <v>1006</v>
      </c>
      <c r="R709" s="8"/>
    </row>
    <row r="710" spans="2:18" ht="16.5">
      <c r="B710">
        <v>3242</v>
      </c>
      <c r="C710">
        <v>1001</v>
      </c>
      <c r="D710" s="323"/>
      <c r="E710" t="s">
        <v>492</v>
      </c>
      <c r="G710" s="77"/>
      <c r="H710" s="21"/>
      <c r="I710">
        <v>308002</v>
      </c>
      <c r="J710" s="173">
        <v>50</v>
      </c>
      <c r="K710">
        <v>0</v>
      </c>
      <c r="L710" s="7">
        <v>221109</v>
      </c>
      <c r="M710" s="7"/>
      <c r="N710" s="7"/>
      <c r="O710">
        <v>1007</v>
      </c>
      <c r="R710" s="8"/>
    </row>
    <row r="711" spans="2:18" ht="16.5">
      <c r="B711">
        <v>3243</v>
      </c>
      <c r="C711">
        <v>1001</v>
      </c>
      <c r="D711" s="323"/>
      <c r="E711" t="s">
        <v>494</v>
      </c>
      <c r="G711" s="77"/>
      <c r="H711" s="21"/>
      <c r="I711">
        <v>308003</v>
      </c>
      <c r="J711" s="173">
        <v>50</v>
      </c>
      <c r="K711" s="173">
        <v>0</v>
      </c>
      <c r="L711" s="7">
        <v>221109</v>
      </c>
      <c r="M711" s="7"/>
      <c r="N711" s="7"/>
      <c r="O711">
        <v>1008</v>
      </c>
      <c r="R711" s="8"/>
    </row>
    <row r="712" spans="2:18" ht="16.5">
      <c r="B712">
        <v>3244</v>
      </c>
      <c r="C712">
        <v>1001</v>
      </c>
      <c r="D712" s="323"/>
      <c r="E712" t="s">
        <v>496</v>
      </c>
      <c r="G712" s="77"/>
      <c r="H712" s="21"/>
      <c r="I712">
        <v>308004</v>
      </c>
      <c r="J712" s="173">
        <v>50</v>
      </c>
      <c r="K712">
        <v>0</v>
      </c>
      <c r="L712" s="7">
        <v>221109</v>
      </c>
      <c r="M712" s="7"/>
      <c r="N712" s="7"/>
      <c r="O712">
        <v>1009</v>
      </c>
      <c r="R712" s="8"/>
    </row>
    <row r="713" spans="2:18" ht="16.5">
      <c r="B713">
        <v>3245</v>
      </c>
      <c r="C713">
        <v>1001</v>
      </c>
      <c r="D713" s="323"/>
      <c r="E713" t="s">
        <v>498</v>
      </c>
      <c r="G713" s="77"/>
      <c r="H713" s="21"/>
      <c r="I713">
        <v>308005</v>
      </c>
      <c r="J713" s="173">
        <v>50</v>
      </c>
      <c r="K713" s="173">
        <v>0</v>
      </c>
      <c r="L713" s="7">
        <v>221109</v>
      </c>
      <c r="M713" s="7"/>
      <c r="N713" s="7"/>
      <c r="O713">
        <v>1010</v>
      </c>
      <c r="R713" s="8"/>
    </row>
    <row r="714" spans="2:18" ht="16.5">
      <c r="B714">
        <v>3246</v>
      </c>
      <c r="C714">
        <v>1001</v>
      </c>
      <c r="D714" s="323" t="s">
        <v>1779</v>
      </c>
      <c r="E714" s="221" t="s">
        <v>1778</v>
      </c>
      <c r="G714" s="77"/>
      <c r="H714" s="21"/>
      <c r="I714" s="129">
        <v>200066</v>
      </c>
      <c r="J714">
        <v>150</v>
      </c>
      <c r="K714">
        <v>0</v>
      </c>
      <c r="O714">
        <v>535</v>
      </c>
      <c r="R714" s="8"/>
    </row>
    <row r="715" spans="2:18" ht="16.5">
      <c r="B715">
        <v>3247</v>
      </c>
      <c r="C715">
        <v>1001</v>
      </c>
      <c r="D715" s="323"/>
      <c r="E715" s="127" t="s">
        <v>1780</v>
      </c>
      <c r="G715" s="77"/>
      <c r="H715" s="21"/>
      <c r="I715" s="127">
        <v>305812</v>
      </c>
      <c r="J715" s="173">
        <v>50</v>
      </c>
      <c r="K715">
        <v>0</v>
      </c>
      <c r="L715">
        <v>221202</v>
      </c>
      <c r="O715">
        <v>1001</v>
      </c>
      <c r="R715" s="8"/>
    </row>
    <row r="716" spans="2:18" ht="16.5">
      <c r="B716">
        <v>3248</v>
      </c>
      <c r="C716">
        <v>1001</v>
      </c>
      <c r="D716" s="323"/>
      <c r="E716" s="198" t="s">
        <v>1781</v>
      </c>
      <c r="G716" s="77"/>
      <c r="H716" s="21"/>
      <c r="I716" s="127">
        <v>305710</v>
      </c>
      <c r="J716" s="173">
        <v>50</v>
      </c>
      <c r="K716">
        <v>0</v>
      </c>
      <c r="L716">
        <v>221202</v>
      </c>
      <c r="O716">
        <v>1002</v>
      </c>
      <c r="R716" s="8"/>
    </row>
    <row r="717" spans="2:18" ht="16.5">
      <c r="B717">
        <v>3249</v>
      </c>
      <c r="C717">
        <v>1001</v>
      </c>
      <c r="D717" s="323"/>
      <c r="E717" s="198" t="s">
        <v>1782</v>
      </c>
      <c r="G717" s="77"/>
      <c r="H717" s="21"/>
      <c r="I717" s="127">
        <v>305614</v>
      </c>
      <c r="J717" s="173">
        <v>50</v>
      </c>
      <c r="K717">
        <v>0</v>
      </c>
      <c r="L717">
        <v>221202</v>
      </c>
      <c r="O717">
        <v>1003</v>
      </c>
      <c r="R717" s="8"/>
    </row>
    <row r="718" spans="2:18" ht="18.75" customHeight="1">
      <c r="B718">
        <v>3250</v>
      </c>
      <c r="C718">
        <v>1001</v>
      </c>
      <c r="E718" s="127" t="s">
        <v>1783</v>
      </c>
      <c r="I718" s="127">
        <v>305542</v>
      </c>
      <c r="J718">
        <v>100</v>
      </c>
      <c r="K718">
        <v>0</v>
      </c>
      <c r="L718">
        <v>221202</v>
      </c>
      <c r="O718">
        <v>1004</v>
      </c>
    </row>
    <row r="719" spans="2:18" ht="16.5">
      <c r="B719">
        <v>3251</v>
      </c>
      <c r="C719">
        <v>1001</v>
      </c>
      <c r="D719" s="323" t="s">
        <v>1785</v>
      </c>
      <c r="E719" s="221" t="s">
        <v>1786</v>
      </c>
      <c r="G719" s="77"/>
      <c r="H719" s="21"/>
      <c r="I719" s="129">
        <v>200067</v>
      </c>
      <c r="J719">
        <v>150</v>
      </c>
      <c r="K719">
        <v>0</v>
      </c>
      <c r="O719">
        <v>536</v>
      </c>
      <c r="R719" s="8"/>
    </row>
    <row r="720" spans="2:18" ht="16.5">
      <c r="B720">
        <v>3252</v>
      </c>
      <c r="C720">
        <v>1001</v>
      </c>
      <c r="D720" s="323"/>
      <c r="E720" s="198" t="s">
        <v>1787</v>
      </c>
      <c r="G720" s="77"/>
      <c r="H720" s="21"/>
      <c r="I720" s="127">
        <v>305619</v>
      </c>
      <c r="J720" s="173">
        <v>50</v>
      </c>
      <c r="K720">
        <v>0</v>
      </c>
      <c r="L720">
        <v>230140</v>
      </c>
      <c r="O720">
        <v>1001</v>
      </c>
      <c r="R720" s="8"/>
    </row>
    <row r="721" spans="2:18" ht="16.5">
      <c r="B721">
        <v>3253</v>
      </c>
      <c r="C721">
        <v>1001</v>
      </c>
      <c r="D721" s="323"/>
      <c r="E721" s="228" t="s">
        <v>1788</v>
      </c>
      <c r="G721" s="77"/>
      <c r="H721" s="21"/>
      <c r="I721" s="127">
        <v>305711</v>
      </c>
      <c r="J721" s="173">
        <v>50</v>
      </c>
      <c r="K721">
        <v>0</v>
      </c>
      <c r="L721">
        <v>230140</v>
      </c>
      <c r="O721">
        <v>1002</v>
      </c>
      <c r="R721" s="8"/>
    </row>
    <row r="722" spans="2:18" ht="16.5">
      <c r="B722">
        <v>3254</v>
      </c>
      <c r="C722">
        <v>1001</v>
      </c>
      <c r="D722" s="323"/>
      <c r="E722" s="198" t="s">
        <v>1789</v>
      </c>
      <c r="G722" s="77"/>
      <c r="H722" s="21"/>
      <c r="I722" s="127">
        <v>305545</v>
      </c>
      <c r="J722" s="173">
        <v>100</v>
      </c>
      <c r="K722">
        <v>0</v>
      </c>
      <c r="L722">
        <v>230140</v>
      </c>
      <c r="O722">
        <v>1003</v>
      </c>
      <c r="R722" s="8"/>
    </row>
    <row r="723" spans="2:18" ht="18.75" customHeight="1">
      <c r="B723">
        <v>3255</v>
      </c>
      <c r="C723">
        <v>1001</v>
      </c>
      <c r="E723" s="127" t="s">
        <v>1790</v>
      </c>
      <c r="I723" s="127">
        <v>305053</v>
      </c>
      <c r="J723">
        <v>50</v>
      </c>
      <c r="K723">
        <v>0</v>
      </c>
      <c r="L723">
        <v>230140</v>
      </c>
      <c r="O723">
        <v>1004</v>
      </c>
    </row>
    <row r="724" spans="2:18" ht="16.5">
      <c r="B724">
        <v>3256</v>
      </c>
      <c r="C724">
        <v>1001</v>
      </c>
      <c r="D724" s="323" t="s">
        <v>573</v>
      </c>
      <c r="E724" s="9" t="s">
        <v>574</v>
      </c>
      <c r="G724" s="77"/>
      <c r="H724" s="21"/>
      <c r="I724">
        <v>305216</v>
      </c>
      <c r="J724" s="173">
        <v>50</v>
      </c>
      <c r="K724">
        <v>0</v>
      </c>
      <c r="L724" s="127">
        <v>230203</v>
      </c>
      <c r="M724" s="127"/>
      <c r="N724" s="127"/>
      <c r="O724">
        <v>1001</v>
      </c>
      <c r="R724" s="8"/>
    </row>
    <row r="725" spans="2:18" ht="16.5">
      <c r="B725">
        <v>3257</v>
      </c>
      <c r="C725">
        <v>1001</v>
      </c>
      <c r="D725" s="323" t="s">
        <v>575</v>
      </c>
      <c r="E725" s="9" t="s">
        <v>574</v>
      </c>
      <c r="G725" s="77"/>
      <c r="H725" s="21"/>
      <c r="I725">
        <v>305316</v>
      </c>
      <c r="J725" s="173">
        <v>50</v>
      </c>
      <c r="K725">
        <v>0</v>
      </c>
      <c r="L725" s="127">
        <v>230203</v>
      </c>
      <c r="M725" s="127"/>
      <c r="N725" s="127"/>
      <c r="O725">
        <v>1002</v>
      </c>
      <c r="R725" s="8"/>
    </row>
    <row r="726" spans="2:18" ht="16.5">
      <c r="B726">
        <v>3258</v>
      </c>
      <c r="C726">
        <v>1001</v>
      </c>
      <c r="D726" s="323" t="s">
        <v>576</v>
      </c>
      <c r="E726" s="9" t="s">
        <v>574</v>
      </c>
      <c r="G726" s="77"/>
      <c r="H726" s="21"/>
      <c r="I726">
        <v>305706</v>
      </c>
      <c r="J726" s="173">
        <v>50</v>
      </c>
      <c r="K726">
        <v>0</v>
      </c>
      <c r="L726" s="127">
        <v>230203</v>
      </c>
      <c r="M726" s="127"/>
      <c r="N726" s="127"/>
      <c r="O726">
        <v>1003</v>
      </c>
      <c r="R726" s="8"/>
    </row>
    <row r="727" spans="2:18" ht="18.75" customHeight="1">
      <c r="B727">
        <v>3259</v>
      </c>
      <c r="C727">
        <v>1001</v>
      </c>
      <c r="D727" s="321" t="s">
        <v>577</v>
      </c>
      <c r="E727" t="s">
        <v>574</v>
      </c>
      <c r="I727">
        <v>305807</v>
      </c>
      <c r="J727">
        <v>50</v>
      </c>
      <c r="K727">
        <v>0</v>
      </c>
      <c r="L727" s="127">
        <v>230203</v>
      </c>
      <c r="M727" s="127"/>
      <c r="N727" s="127"/>
      <c r="O727">
        <v>1004</v>
      </c>
    </row>
    <row r="728" spans="2:18" ht="16.5">
      <c r="B728">
        <v>3260</v>
      </c>
      <c r="C728">
        <v>1001</v>
      </c>
      <c r="D728" s="323" t="s">
        <v>1794</v>
      </c>
      <c r="E728" s="191" t="s">
        <v>1796</v>
      </c>
      <c r="G728" s="77"/>
      <c r="H728" s="21"/>
      <c r="I728" s="8">
        <v>200068</v>
      </c>
      <c r="J728">
        <v>150</v>
      </c>
      <c r="K728">
        <v>0</v>
      </c>
      <c r="O728">
        <v>537</v>
      </c>
      <c r="R728" s="8"/>
    </row>
    <row r="729" spans="2:18" ht="16.5">
      <c r="B729">
        <v>3261</v>
      </c>
      <c r="C729">
        <v>1001</v>
      </c>
      <c r="D729" s="323" t="s">
        <v>1795</v>
      </c>
      <c r="E729" s="191" t="s">
        <v>1797</v>
      </c>
      <c r="G729" s="77"/>
      <c r="H729" s="21"/>
      <c r="I729" s="8">
        <v>200069</v>
      </c>
      <c r="J729">
        <v>150</v>
      </c>
      <c r="K729">
        <v>0</v>
      </c>
      <c r="O729">
        <v>538</v>
      </c>
      <c r="R729" s="8"/>
    </row>
    <row r="730" spans="2:18" ht="16.5">
      <c r="B730">
        <v>3262</v>
      </c>
      <c r="C730">
        <v>1001</v>
      </c>
      <c r="D730" s="323"/>
      <c r="E730" s="238">
        <v>305221</v>
      </c>
      <c r="G730" s="77"/>
      <c r="H730" s="21"/>
      <c r="I730" s="238">
        <v>305221</v>
      </c>
      <c r="J730" s="173">
        <v>50</v>
      </c>
      <c r="K730">
        <v>0</v>
      </c>
      <c r="L730">
        <v>230303</v>
      </c>
      <c r="O730">
        <v>1001</v>
      </c>
      <c r="R730" s="8"/>
    </row>
    <row r="731" spans="2:18" ht="16.5">
      <c r="B731">
        <v>3263</v>
      </c>
      <c r="C731">
        <v>1001</v>
      </c>
      <c r="D731" s="323"/>
      <c r="E731" s="238">
        <v>305321</v>
      </c>
      <c r="G731" s="77"/>
      <c r="H731" s="21"/>
      <c r="I731" s="238">
        <v>305321</v>
      </c>
      <c r="J731" s="173">
        <v>50</v>
      </c>
      <c r="K731">
        <v>0</v>
      </c>
      <c r="L731">
        <v>230303</v>
      </c>
      <c r="O731">
        <v>1002</v>
      </c>
      <c r="R731" s="8"/>
    </row>
    <row r="732" spans="2:18" ht="16.5">
      <c r="B732">
        <v>3264</v>
      </c>
      <c r="C732">
        <v>1001</v>
      </c>
      <c r="D732" s="323"/>
      <c r="E732" s="238">
        <v>305713</v>
      </c>
      <c r="G732" s="77"/>
      <c r="H732" s="21"/>
      <c r="I732" s="238">
        <v>305713</v>
      </c>
      <c r="J732" s="173">
        <v>50</v>
      </c>
      <c r="K732">
        <v>0</v>
      </c>
      <c r="L732">
        <v>230303</v>
      </c>
      <c r="O732">
        <v>1003</v>
      </c>
      <c r="R732" s="8"/>
    </row>
    <row r="733" spans="2:18" ht="16.5">
      <c r="B733">
        <v>3265</v>
      </c>
      <c r="C733">
        <v>1001</v>
      </c>
      <c r="D733" s="323" t="s">
        <v>1805</v>
      </c>
      <c r="E733" s="225"/>
      <c r="G733" s="77"/>
      <c r="H733" s="21"/>
      <c r="I733">
        <v>200070</v>
      </c>
      <c r="J733">
        <v>150</v>
      </c>
      <c r="K733">
        <v>0</v>
      </c>
      <c r="L733">
        <v>230407</v>
      </c>
      <c r="O733">
        <v>1</v>
      </c>
      <c r="R733" s="8"/>
    </row>
    <row r="734" spans="2:18" ht="16.5">
      <c r="B734">
        <v>3266</v>
      </c>
      <c r="C734">
        <v>1001</v>
      </c>
      <c r="D734" s="323" t="s">
        <v>1806</v>
      </c>
      <c r="E734" s="224"/>
      <c r="G734" s="77"/>
      <c r="H734" s="21"/>
      <c r="I734">
        <v>200071</v>
      </c>
      <c r="J734">
        <v>150</v>
      </c>
      <c r="K734">
        <v>0</v>
      </c>
      <c r="L734">
        <v>230407</v>
      </c>
      <c r="O734">
        <v>2</v>
      </c>
      <c r="R734" s="8"/>
    </row>
    <row r="735" spans="2:18" ht="16.5">
      <c r="B735">
        <v>3267</v>
      </c>
      <c r="C735">
        <v>1001</v>
      </c>
      <c r="D735" s="323" t="s">
        <v>1807</v>
      </c>
      <c r="E735" s="225"/>
      <c r="G735" s="77"/>
      <c r="H735" s="21"/>
      <c r="I735">
        <v>200072</v>
      </c>
      <c r="J735">
        <v>150</v>
      </c>
      <c r="K735">
        <v>0</v>
      </c>
      <c r="L735">
        <v>230407</v>
      </c>
      <c r="O735">
        <v>3</v>
      </c>
      <c r="R735" s="8"/>
    </row>
    <row r="736" spans="2:18" ht="16.5">
      <c r="B736">
        <v>3268</v>
      </c>
      <c r="C736">
        <v>1001</v>
      </c>
      <c r="D736" s="323" t="s">
        <v>1808</v>
      </c>
      <c r="E736" s="225"/>
      <c r="G736" s="77"/>
      <c r="H736" s="21"/>
      <c r="I736">
        <v>200073</v>
      </c>
      <c r="J736">
        <v>150</v>
      </c>
      <c r="K736" s="173">
        <v>0</v>
      </c>
      <c r="L736">
        <v>230407</v>
      </c>
      <c r="O736">
        <v>4</v>
      </c>
      <c r="R736" s="8"/>
    </row>
    <row r="737" spans="2:18" ht="16.5">
      <c r="B737">
        <v>3269</v>
      </c>
      <c r="C737">
        <v>1001</v>
      </c>
      <c r="D737" s="323"/>
      <c r="G737" s="77"/>
      <c r="H737" s="21"/>
      <c r="I737">
        <v>308026</v>
      </c>
      <c r="J737" s="173">
        <v>50</v>
      </c>
      <c r="K737">
        <v>0</v>
      </c>
      <c r="L737">
        <v>230407</v>
      </c>
      <c r="O737">
        <v>1001</v>
      </c>
      <c r="R737" s="8"/>
    </row>
    <row r="738" spans="2:18" ht="16.5">
      <c r="B738">
        <v>3270</v>
      </c>
      <c r="C738">
        <v>1001</v>
      </c>
      <c r="D738" s="323"/>
      <c r="G738" s="77"/>
      <c r="H738" s="21"/>
      <c r="I738">
        <v>308027</v>
      </c>
      <c r="J738" s="173">
        <v>50</v>
      </c>
      <c r="K738">
        <v>0</v>
      </c>
      <c r="L738">
        <v>230407</v>
      </c>
      <c r="O738">
        <v>1002</v>
      </c>
      <c r="R738" s="8"/>
    </row>
    <row r="739" spans="2:18" ht="16.5">
      <c r="B739">
        <v>3271</v>
      </c>
      <c r="C739">
        <v>1001</v>
      </c>
      <c r="D739" s="323"/>
      <c r="G739" s="77"/>
      <c r="H739" s="21"/>
      <c r="I739">
        <v>308028</v>
      </c>
      <c r="J739" s="173">
        <v>50</v>
      </c>
      <c r="K739" s="173">
        <v>0</v>
      </c>
      <c r="L739">
        <v>230407</v>
      </c>
      <c r="O739">
        <v>1003</v>
      </c>
      <c r="R739" s="8"/>
    </row>
    <row r="740" spans="2:18" ht="16.5">
      <c r="B740">
        <v>3272</v>
      </c>
      <c r="C740">
        <v>1001</v>
      </c>
      <c r="D740" s="323"/>
      <c r="G740" s="77"/>
      <c r="H740" s="21"/>
      <c r="I740">
        <v>308029</v>
      </c>
      <c r="J740" s="173">
        <v>50</v>
      </c>
      <c r="K740">
        <v>0</v>
      </c>
      <c r="L740">
        <v>230407</v>
      </c>
      <c r="O740">
        <v>1004</v>
      </c>
      <c r="R740" s="8"/>
    </row>
    <row r="741" spans="2:18" ht="16.5">
      <c r="B741">
        <v>3273</v>
      </c>
      <c r="C741">
        <v>1001</v>
      </c>
      <c r="D741" s="323"/>
      <c r="E741" s="226"/>
      <c r="G741" s="77"/>
      <c r="H741" s="21"/>
      <c r="I741">
        <v>308030</v>
      </c>
      <c r="J741" s="173">
        <v>50</v>
      </c>
      <c r="K741" s="173">
        <v>0</v>
      </c>
      <c r="L741">
        <v>230407</v>
      </c>
      <c r="O741">
        <v>1005</v>
      </c>
      <c r="R741" s="8"/>
    </row>
    <row r="742" spans="2:18" ht="16.5">
      <c r="B742">
        <v>3274</v>
      </c>
      <c r="C742">
        <v>1001</v>
      </c>
      <c r="D742" s="323"/>
      <c r="G742" s="77"/>
      <c r="H742" s="21"/>
      <c r="I742">
        <v>305029</v>
      </c>
      <c r="J742" s="173">
        <v>50</v>
      </c>
      <c r="K742">
        <v>0</v>
      </c>
      <c r="L742">
        <v>230503</v>
      </c>
      <c r="O742">
        <v>1001</v>
      </c>
      <c r="R742" s="8"/>
    </row>
    <row r="743" spans="2:18" ht="16.5">
      <c r="B743">
        <v>3275</v>
      </c>
      <c r="C743">
        <v>1001</v>
      </c>
      <c r="D743" s="323"/>
      <c r="G743" s="77"/>
      <c r="H743" s="21"/>
      <c r="I743">
        <v>305303</v>
      </c>
      <c r="J743" s="173">
        <v>50</v>
      </c>
      <c r="K743">
        <v>0</v>
      </c>
      <c r="L743">
        <v>230503</v>
      </c>
      <c r="O743">
        <v>1002</v>
      </c>
      <c r="R743" s="8"/>
    </row>
    <row r="744" spans="2:18" ht="16.5">
      <c r="B744">
        <v>3276</v>
      </c>
      <c r="C744">
        <v>1001</v>
      </c>
      <c r="D744" s="323"/>
      <c r="G744" s="77"/>
      <c r="H744" s="21"/>
      <c r="I744">
        <v>305028</v>
      </c>
      <c r="J744" s="173">
        <v>50</v>
      </c>
      <c r="K744" s="173">
        <v>0</v>
      </c>
      <c r="L744">
        <v>230503</v>
      </c>
      <c r="O744">
        <v>1003</v>
      </c>
      <c r="R744" s="8"/>
    </row>
    <row r="745" spans="2:18" ht="16.5">
      <c r="B745">
        <v>3277</v>
      </c>
      <c r="C745">
        <v>1001</v>
      </c>
      <c r="D745" s="323" t="s">
        <v>1836</v>
      </c>
      <c r="E745" s="191" t="s">
        <v>1834</v>
      </c>
      <c r="G745" s="77"/>
      <c r="H745" s="21"/>
      <c r="I745" s="238">
        <v>200074</v>
      </c>
      <c r="J745">
        <v>150</v>
      </c>
      <c r="K745">
        <v>0</v>
      </c>
      <c r="O745">
        <v>539</v>
      </c>
      <c r="R745" s="8"/>
    </row>
    <row r="746" spans="2:18" ht="16.5">
      <c r="B746">
        <v>3278</v>
      </c>
      <c r="C746">
        <v>1001</v>
      </c>
      <c r="D746" s="323" t="s">
        <v>1837</v>
      </c>
      <c r="E746" s="191" t="s">
        <v>1835</v>
      </c>
      <c r="G746" s="77"/>
      <c r="H746" s="21"/>
      <c r="I746" s="238">
        <v>200075</v>
      </c>
      <c r="J746">
        <v>150</v>
      </c>
      <c r="K746">
        <v>0</v>
      </c>
      <c r="O746">
        <v>817</v>
      </c>
      <c r="R746" s="8"/>
    </row>
    <row r="747" spans="2:18" ht="16.5">
      <c r="B747">
        <v>3279</v>
      </c>
      <c r="C747">
        <v>1001</v>
      </c>
      <c r="D747" s="323"/>
      <c r="E747" s="9" t="s">
        <v>1838</v>
      </c>
      <c r="G747" s="77"/>
      <c r="H747" s="21"/>
      <c r="I747">
        <v>305222</v>
      </c>
      <c r="J747" s="173">
        <v>50</v>
      </c>
      <c r="K747">
        <v>0</v>
      </c>
      <c r="L747">
        <v>230604</v>
      </c>
      <c r="O747">
        <v>1001</v>
      </c>
      <c r="R747" s="8"/>
    </row>
    <row r="748" spans="2:18" ht="16.5">
      <c r="B748">
        <v>3280</v>
      </c>
      <c r="C748">
        <v>1001</v>
      </c>
      <c r="D748" s="323"/>
      <c r="E748" s="9" t="s">
        <v>1839</v>
      </c>
      <c r="G748" s="77"/>
      <c r="H748" s="21"/>
      <c r="I748">
        <v>305322</v>
      </c>
      <c r="J748" s="173">
        <v>50</v>
      </c>
      <c r="K748">
        <v>0</v>
      </c>
      <c r="L748">
        <v>230604</v>
      </c>
      <c r="O748">
        <v>1002</v>
      </c>
      <c r="R748" s="8"/>
    </row>
    <row r="749" spans="2:18" ht="16.5">
      <c r="B749">
        <v>3281</v>
      </c>
      <c r="C749">
        <v>1001</v>
      </c>
      <c r="D749" s="323"/>
      <c r="E749" s="9" t="s">
        <v>1840</v>
      </c>
      <c r="G749" s="77"/>
      <c r="H749" s="21"/>
      <c r="I749">
        <v>305620</v>
      </c>
      <c r="J749" s="173">
        <v>50</v>
      </c>
      <c r="K749" s="173">
        <v>0</v>
      </c>
      <c r="L749">
        <v>230604</v>
      </c>
      <c r="O749">
        <v>1003</v>
      </c>
      <c r="R749" s="8"/>
    </row>
    <row r="750" spans="2:18" ht="16.5">
      <c r="B750">
        <v>3282</v>
      </c>
      <c r="C750">
        <v>1001</v>
      </c>
      <c r="D750" s="323"/>
      <c r="E750" s="9" t="s">
        <v>1841</v>
      </c>
      <c r="G750" s="77"/>
      <c r="H750" s="21"/>
      <c r="I750">
        <v>306103</v>
      </c>
      <c r="J750" s="173">
        <v>50</v>
      </c>
      <c r="K750" s="173">
        <v>0</v>
      </c>
      <c r="L750">
        <v>230604</v>
      </c>
      <c r="O750">
        <v>1004</v>
      </c>
      <c r="R750" s="8"/>
    </row>
    <row r="751" spans="2:18">
      <c r="B751" s="7">
        <v>3283</v>
      </c>
      <c r="C751">
        <v>1001</v>
      </c>
      <c r="E751">
        <v>305218</v>
      </c>
      <c r="I751">
        <v>305218</v>
      </c>
      <c r="J751">
        <v>50</v>
      </c>
      <c r="K751">
        <v>0</v>
      </c>
      <c r="L751" s="252">
        <v>230702</v>
      </c>
      <c r="M751" s="252"/>
      <c r="N751" s="252"/>
      <c r="O751">
        <v>1001</v>
      </c>
    </row>
    <row r="752" spans="2:18">
      <c r="B752" s="7">
        <v>3284</v>
      </c>
      <c r="C752">
        <v>1001</v>
      </c>
      <c r="E752">
        <v>305318</v>
      </c>
      <c r="I752">
        <v>305318</v>
      </c>
      <c r="J752">
        <v>50</v>
      </c>
      <c r="K752">
        <v>0</v>
      </c>
      <c r="L752" s="252">
        <v>230702</v>
      </c>
      <c r="M752" s="252"/>
      <c r="N752" s="252"/>
      <c r="O752">
        <v>1002</v>
      </c>
    </row>
    <row r="753" spans="1:23">
      <c r="B753" s="7">
        <v>3285</v>
      </c>
      <c r="C753">
        <v>1001</v>
      </c>
      <c r="E753">
        <v>305612</v>
      </c>
      <c r="I753">
        <v>305612</v>
      </c>
      <c r="J753">
        <v>50</v>
      </c>
      <c r="K753">
        <v>0</v>
      </c>
      <c r="L753" s="252">
        <v>230702</v>
      </c>
      <c r="M753" s="252"/>
      <c r="N753" s="252"/>
      <c r="O753">
        <v>1003</v>
      </c>
    </row>
    <row r="754" spans="1:23" ht="16.5">
      <c r="B754" s="207">
        <v>3286</v>
      </c>
      <c r="C754">
        <v>1001</v>
      </c>
      <c r="D754" s="323" t="s">
        <v>1857</v>
      </c>
      <c r="E754" s="221" t="s">
        <v>1858</v>
      </c>
      <c r="G754" s="77"/>
      <c r="H754" s="21"/>
      <c r="I754" s="129">
        <v>200076</v>
      </c>
      <c r="J754">
        <v>300</v>
      </c>
      <c r="K754">
        <v>0</v>
      </c>
      <c r="L754">
        <v>230816</v>
      </c>
      <c r="O754">
        <v>1</v>
      </c>
      <c r="R754" s="8"/>
    </row>
    <row r="755" spans="1:23" ht="16.5">
      <c r="B755" s="207">
        <v>3287</v>
      </c>
      <c r="C755">
        <v>1001</v>
      </c>
      <c r="D755" s="323"/>
      <c r="E755" s="9" t="s">
        <v>1859</v>
      </c>
      <c r="G755" s="77"/>
      <c r="H755" s="21"/>
      <c r="I755" s="127">
        <v>305622</v>
      </c>
      <c r="J755" s="173">
        <v>50</v>
      </c>
      <c r="K755">
        <v>0</v>
      </c>
      <c r="L755">
        <v>230816</v>
      </c>
      <c r="O755">
        <v>1001</v>
      </c>
      <c r="R755" s="8"/>
    </row>
    <row r="756" spans="1:23" ht="16.5">
      <c r="B756" s="207">
        <v>3288</v>
      </c>
      <c r="C756">
        <v>1001</v>
      </c>
      <c r="D756" s="323"/>
      <c r="E756" s="9" t="s">
        <v>1859</v>
      </c>
      <c r="G756" s="77"/>
      <c r="H756" s="21"/>
      <c r="I756" s="127">
        <v>305814</v>
      </c>
      <c r="J756" s="173">
        <v>50</v>
      </c>
      <c r="K756">
        <v>0</v>
      </c>
      <c r="L756">
        <v>230816</v>
      </c>
      <c r="O756">
        <v>1002</v>
      </c>
      <c r="R756" s="8"/>
    </row>
    <row r="757" spans="1:23" ht="16.5">
      <c r="B757" s="207">
        <v>3289</v>
      </c>
      <c r="C757">
        <v>1001</v>
      </c>
      <c r="D757" s="323"/>
      <c r="E757" s="9" t="s">
        <v>1859</v>
      </c>
      <c r="G757" s="77"/>
      <c r="H757" s="21"/>
      <c r="I757" s="127">
        <v>305716</v>
      </c>
      <c r="J757" s="173">
        <v>50</v>
      </c>
      <c r="K757">
        <v>0</v>
      </c>
      <c r="L757">
        <v>230816</v>
      </c>
      <c r="O757">
        <v>1003</v>
      </c>
      <c r="R757" s="8"/>
    </row>
    <row r="758" spans="1:23" ht="18.75" customHeight="1">
      <c r="B758" s="207">
        <v>3290</v>
      </c>
      <c r="C758">
        <v>1001</v>
      </c>
      <c r="E758" s="9" t="s">
        <v>1859</v>
      </c>
      <c r="I758" s="127">
        <v>305552</v>
      </c>
      <c r="J758">
        <v>100</v>
      </c>
      <c r="K758">
        <v>0</v>
      </c>
      <c r="L758">
        <v>230816</v>
      </c>
      <c r="O758">
        <v>1004</v>
      </c>
    </row>
    <row r="759" spans="1:23" ht="18.75" customHeight="1">
      <c r="B759" s="207">
        <v>3291</v>
      </c>
      <c r="C759">
        <v>1001</v>
      </c>
      <c r="E759" s="9" t="s">
        <v>1859</v>
      </c>
      <c r="I759" s="127">
        <v>305054</v>
      </c>
      <c r="J759">
        <v>50</v>
      </c>
      <c r="K759">
        <v>0</v>
      </c>
      <c r="L759">
        <v>230816</v>
      </c>
      <c r="O759">
        <v>1005</v>
      </c>
    </row>
    <row r="760" spans="1:23">
      <c r="A760" s="167" t="s">
        <v>1892</v>
      </c>
      <c r="B760">
        <v>3292</v>
      </c>
      <c r="C760">
        <v>1001</v>
      </c>
      <c r="E760" s="244" t="s">
        <v>1827</v>
      </c>
      <c r="H760" s="89"/>
      <c r="I760" s="254">
        <v>305623</v>
      </c>
      <c r="J760">
        <v>50</v>
      </c>
      <c r="K760">
        <v>0</v>
      </c>
      <c r="O760">
        <v>2310</v>
      </c>
      <c r="R760" s="8"/>
      <c r="T760" s="236">
        <v>305007</v>
      </c>
      <c r="U760" s="236" t="s">
        <v>1213</v>
      </c>
      <c r="V760" s="236">
        <v>1</v>
      </c>
      <c r="W760" s="245" t="s">
        <v>1828</v>
      </c>
    </row>
    <row r="761" spans="1:23">
      <c r="A761" s="126"/>
      <c r="B761">
        <v>3293</v>
      </c>
      <c r="C761">
        <v>1001</v>
      </c>
      <c r="E761" s="244" t="s">
        <v>1827</v>
      </c>
      <c r="H761" s="89"/>
      <c r="I761" s="254">
        <v>305624</v>
      </c>
      <c r="J761">
        <v>50</v>
      </c>
      <c r="K761">
        <v>0</v>
      </c>
      <c r="O761">
        <v>2311</v>
      </c>
      <c r="R761" s="8"/>
      <c r="T761" s="236">
        <v>305008</v>
      </c>
      <c r="U761" s="236" t="s">
        <v>1217</v>
      </c>
      <c r="V761" s="236">
        <v>1</v>
      </c>
      <c r="W761" s="245" t="s">
        <v>1828</v>
      </c>
    </row>
    <row r="762" spans="1:23">
      <c r="A762" s="126"/>
      <c r="B762">
        <v>3294</v>
      </c>
      <c r="C762">
        <v>1001</v>
      </c>
      <c r="E762" s="244" t="s">
        <v>1827</v>
      </c>
      <c r="H762" s="89"/>
      <c r="I762" s="254">
        <v>305625</v>
      </c>
      <c r="J762">
        <v>50</v>
      </c>
      <c r="K762">
        <v>0</v>
      </c>
      <c r="O762">
        <v>2312</v>
      </c>
      <c r="R762" s="8"/>
      <c r="T762" s="236">
        <v>305009</v>
      </c>
      <c r="U762" s="236" t="s">
        <v>1220</v>
      </c>
      <c r="V762" s="236">
        <v>1</v>
      </c>
      <c r="W762" s="245" t="s">
        <v>1828</v>
      </c>
    </row>
    <row r="763" spans="1:23">
      <c r="A763" s="126"/>
      <c r="B763">
        <v>3295</v>
      </c>
      <c r="C763">
        <v>1001</v>
      </c>
      <c r="E763" s="244" t="s">
        <v>1827</v>
      </c>
      <c r="H763" s="89"/>
      <c r="I763" s="254">
        <v>305626</v>
      </c>
      <c r="J763">
        <v>50</v>
      </c>
      <c r="K763">
        <v>0</v>
      </c>
      <c r="O763">
        <v>2313</v>
      </c>
      <c r="R763" s="8"/>
      <c r="T763" s="236">
        <v>305023</v>
      </c>
      <c r="U763" s="236" t="s">
        <v>1277</v>
      </c>
      <c r="V763" s="236">
        <v>1</v>
      </c>
      <c r="W763" s="245" t="s">
        <v>1828</v>
      </c>
    </row>
    <row r="764" spans="1:23">
      <c r="A764" s="126"/>
      <c r="B764">
        <v>3296</v>
      </c>
      <c r="C764">
        <v>1001</v>
      </c>
      <c r="E764" s="245" t="s">
        <v>1828</v>
      </c>
      <c r="H764" s="89"/>
      <c r="I764" s="254">
        <v>305224</v>
      </c>
      <c r="J764">
        <v>50</v>
      </c>
      <c r="K764">
        <v>0</v>
      </c>
      <c r="O764">
        <v>2110</v>
      </c>
      <c r="R764" s="8"/>
      <c r="T764" s="236">
        <v>305034</v>
      </c>
      <c r="U764" s="236" t="s">
        <v>222</v>
      </c>
      <c r="V764" s="236">
        <v>1</v>
      </c>
      <c r="W764" s="245" t="s">
        <v>1828</v>
      </c>
    </row>
    <row r="765" spans="1:23">
      <c r="A765" s="126"/>
      <c r="B765">
        <v>3297</v>
      </c>
      <c r="C765">
        <v>1001</v>
      </c>
      <c r="E765" s="245" t="s">
        <v>1828</v>
      </c>
      <c r="H765" s="89"/>
      <c r="I765" s="254">
        <v>305225</v>
      </c>
      <c r="J765">
        <v>50</v>
      </c>
      <c r="K765">
        <v>0</v>
      </c>
      <c r="O765">
        <v>2111</v>
      </c>
      <c r="R765" s="8"/>
      <c r="T765" s="236">
        <v>305035</v>
      </c>
      <c r="U765" s="236" t="s">
        <v>227</v>
      </c>
      <c r="V765" s="236">
        <v>1</v>
      </c>
      <c r="W765" s="245" t="s">
        <v>1828</v>
      </c>
    </row>
    <row r="766" spans="1:23">
      <c r="A766" s="126"/>
      <c r="B766">
        <v>3298</v>
      </c>
      <c r="C766">
        <v>1001</v>
      </c>
      <c r="E766" s="245" t="s">
        <v>1828</v>
      </c>
      <c r="H766" s="89"/>
      <c r="I766" s="254">
        <v>305226</v>
      </c>
      <c r="J766">
        <v>50</v>
      </c>
      <c r="K766">
        <v>0</v>
      </c>
      <c r="O766">
        <v>2112</v>
      </c>
      <c r="R766" s="8"/>
      <c r="T766" s="236">
        <v>305036</v>
      </c>
      <c r="U766" s="236" t="s">
        <v>232</v>
      </c>
      <c r="V766" s="236">
        <v>1</v>
      </c>
      <c r="W766" s="245" t="s">
        <v>1828</v>
      </c>
    </row>
    <row r="767" spans="1:23">
      <c r="A767" s="126"/>
      <c r="B767">
        <v>3299</v>
      </c>
      <c r="C767">
        <v>1001</v>
      </c>
      <c r="E767" s="247" t="s">
        <v>1830</v>
      </c>
      <c r="H767" s="89"/>
      <c r="I767" s="254">
        <v>305324</v>
      </c>
      <c r="J767">
        <v>50</v>
      </c>
      <c r="K767">
        <v>0</v>
      </c>
      <c r="O767">
        <v>2208</v>
      </c>
      <c r="R767" s="8"/>
      <c r="T767" s="236">
        <v>305039</v>
      </c>
      <c r="U767" s="236" t="s">
        <v>1829</v>
      </c>
      <c r="V767" s="236">
        <v>1</v>
      </c>
      <c r="W767" s="245" t="s">
        <v>1828</v>
      </c>
    </row>
    <row r="768" spans="1:23">
      <c r="A768" s="126"/>
      <c r="B768">
        <v>3300</v>
      </c>
      <c r="C768">
        <v>1001</v>
      </c>
      <c r="E768" s="247" t="s">
        <v>1830</v>
      </c>
      <c r="H768" s="89"/>
      <c r="I768" s="254">
        <v>305325</v>
      </c>
      <c r="J768">
        <v>50</v>
      </c>
      <c r="K768">
        <v>0</v>
      </c>
      <c r="O768">
        <v>2209</v>
      </c>
      <c r="R768" s="8"/>
      <c r="T768" s="236">
        <v>305007</v>
      </c>
      <c r="U768" s="236" t="s">
        <v>1213</v>
      </c>
      <c r="V768" s="236">
        <v>1</v>
      </c>
      <c r="W768" s="245" t="s">
        <v>1828</v>
      </c>
    </row>
    <row r="769" spans="1:23">
      <c r="A769" s="126"/>
      <c r="B769">
        <v>3301</v>
      </c>
      <c r="C769">
        <v>1001</v>
      </c>
      <c r="E769" s="247" t="s">
        <v>1830</v>
      </c>
      <c r="H769" s="89"/>
      <c r="I769" s="254">
        <v>305326</v>
      </c>
      <c r="J769">
        <v>50</v>
      </c>
      <c r="K769">
        <v>0</v>
      </c>
      <c r="O769">
        <v>2210</v>
      </c>
      <c r="R769" s="8"/>
      <c r="T769" s="236">
        <v>305008</v>
      </c>
      <c r="U769" s="236" t="s">
        <v>1217</v>
      </c>
      <c r="V769" s="236">
        <v>1</v>
      </c>
      <c r="W769" s="245" t="s">
        <v>1828</v>
      </c>
    </row>
    <row r="770" spans="1:23">
      <c r="A770" s="126"/>
      <c r="B770">
        <v>3302</v>
      </c>
      <c r="C770">
        <v>1001</v>
      </c>
      <c r="E770" s="249" t="s">
        <v>1832</v>
      </c>
      <c r="H770" s="89"/>
      <c r="I770" s="254">
        <v>305055</v>
      </c>
      <c r="J770">
        <v>50</v>
      </c>
      <c r="K770">
        <v>0</v>
      </c>
      <c r="O770">
        <v>2905</v>
      </c>
      <c r="R770" s="8"/>
      <c r="T770" s="236">
        <v>305009</v>
      </c>
      <c r="U770" s="236" t="s">
        <v>1220</v>
      </c>
      <c r="V770" s="236">
        <v>1</v>
      </c>
      <c r="W770" s="245" t="s">
        <v>1828</v>
      </c>
    </row>
    <row r="771" spans="1:23">
      <c r="A771" s="126"/>
      <c r="B771">
        <v>3303</v>
      </c>
      <c r="C771">
        <v>1001</v>
      </c>
      <c r="E771" s="249" t="s">
        <v>1832</v>
      </c>
      <c r="H771" s="89"/>
      <c r="I771" s="254">
        <v>305056</v>
      </c>
      <c r="J771">
        <v>50</v>
      </c>
      <c r="K771">
        <v>0</v>
      </c>
      <c r="O771">
        <v>2906</v>
      </c>
      <c r="R771" s="8"/>
      <c r="T771" s="236">
        <v>305023</v>
      </c>
      <c r="U771" s="236" t="s">
        <v>1277</v>
      </c>
      <c r="V771" s="236">
        <v>1</v>
      </c>
      <c r="W771" s="245" t="s">
        <v>1828</v>
      </c>
    </row>
    <row r="772" spans="1:23">
      <c r="A772" s="126"/>
      <c r="B772">
        <v>3304</v>
      </c>
      <c r="C772">
        <v>1001</v>
      </c>
      <c r="E772" s="249" t="s">
        <v>1886</v>
      </c>
      <c r="H772" s="89"/>
      <c r="I772" s="254">
        <v>306104</v>
      </c>
      <c r="J772">
        <v>50</v>
      </c>
      <c r="K772">
        <v>0</v>
      </c>
      <c r="O772">
        <v>3001</v>
      </c>
      <c r="R772" s="8"/>
      <c r="T772" s="236">
        <v>305034</v>
      </c>
      <c r="U772" s="236" t="s">
        <v>222</v>
      </c>
      <c r="V772" s="236">
        <v>1</v>
      </c>
      <c r="W772" s="245" t="s">
        <v>1828</v>
      </c>
    </row>
    <row r="773" spans="1:23">
      <c r="A773" s="126"/>
      <c r="B773">
        <v>3305</v>
      </c>
      <c r="C773">
        <v>1001</v>
      </c>
      <c r="E773" s="249" t="s">
        <v>1886</v>
      </c>
      <c r="H773" s="89"/>
      <c r="I773" s="254">
        <v>306105</v>
      </c>
      <c r="J773">
        <v>50</v>
      </c>
      <c r="K773">
        <v>0</v>
      </c>
      <c r="O773">
        <v>3002</v>
      </c>
      <c r="R773" s="8"/>
      <c r="T773" s="236">
        <v>305035</v>
      </c>
      <c r="U773" s="236" t="s">
        <v>227</v>
      </c>
      <c r="V773" s="236">
        <v>1</v>
      </c>
      <c r="W773" s="245" t="s">
        <v>1828</v>
      </c>
    </row>
    <row r="774" spans="1:23">
      <c r="A774" s="126"/>
      <c r="B774">
        <v>3306</v>
      </c>
      <c r="C774">
        <v>1001</v>
      </c>
      <c r="E774" s="249" t="s">
        <v>1886</v>
      </c>
      <c r="H774" s="89"/>
      <c r="I774" s="254">
        <v>306106</v>
      </c>
      <c r="J774">
        <v>50</v>
      </c>
      <c r="K774">
        <v>0</v>
      </c>
      <c r="O774">
        <v>3003</v>
      </c>
      <c r="R774" s="8"/>
      <c r="T774" s="236">
        <v>305036</v>
      </c>
      <c r="U774" s="236" t="s">
        <v>232</v>
      </c>
      <c r="V774" s="236">
        <v>1</v>
      </c>
      <c r="W774" s="245" t="s">
        <v>1828</v>
      </c>
    </row>
    <row r="775" spans="1:23">
      <c r="A775" s="126"/>
      <c r="B775">
        <v>3307</v>
      </c>
      <c r="C775">
        <v>1001</v>
      </c>
      <c r="E775" s="249" t="s">
        <v>1886</v>
      </c>
      <c r="H775" s="89"/>
      <c r="I775" s="254">
        <v>306107</v>
      </c>
      <c r="J775">
        <v>50</v>
      </c>
      <c r="K775">
        <v>0</v>
      </c>
      <c r="O775">
        <v>3004</v>
      </c>
      <c r="R775" s="8"/>
      <c r="T775" s="236">
        <v>305039</v>
      </c>
      <c r="U775" s="236" t="s">
        <v>1829</v>
      </c>
      <c r="V775" s="236">
        <v>1</v>
      </c>
      <c r="W775" s="245" t="s">
        <v>1828</v>
      </c>
    </row>
    <row r="776" spans="1:23">
      <c r="A776" s="126"/>
      <c r="B776">
        <v>3308</v>
      </c>
      <c r="C776">
        <v>1001</v>
      </c>
      <c r="E776" s="250" t="s">
        <v>1833</v>
      </c>
      <c r="H776" s="89"/>
      <c r="I776" s="254">
        <v>305815</v>
      </c>
      <c r="J776">
        <v>50</v>
      </c>
      <c r="K776">
        <v>0</v>
      </c>
      <c r="O776">
        <v>2403</v>
      </c>
      <c r="R776" s="8"/>
      <c r="T776" s="236">
        <v>305007</v>
      </c>
      <c r="U776" s="236" t="s">
        <v>1213</v>
      </c>
      <c r="V776" s="236">
        <v>1</v>
      </c>
      <c r="W776" s="245" t="s">
        <v>1828</v>
      </c>
    </row>
    <row r="777" spans="1:23">
      <c r="A777" s="126"/>
      <c r="B777">
        <v>3309</v>
      </c>
      <c r="C777">
        <v>1001</v>
      </c>
      <c r="E777" s="250" t="s">
        <v>1833</v>
      </c>
      <c r="H777" s="89"/>
      <c r="I777" s="254">
        <v>305816</v>
      </c>
      <c r="J777">
        <v>50</v>
      </c>
      <c r="K777">
        <v>0</v>
      </c>
      <c r="O777">
        <v>2404</v>
      </c>
      <c r="R777" s="8"/>
      <c r="T777" s="236">
        <v>305008</v>
      </c>
      <c r="U777" s="236" t="s">
        <v>1217</v>
      </c>
      <c r="V777" s="236">
        <v>1</v>
      </c>
      <c r="W777" s="245" t="s">
        <v>1828</v>
      </c>
    </row>
    <row r="778" spans="1:23">
      <c r="A778" s="126"/>
      <c r="B778">
        <v>3310</v>
      </c>
      <c r="C778">
        <v>1001</v>
      </c>
      <c r="E778" s="250" t="s">
        <v>1833</v>
      </c>
      <c r="H778" s="89"/>
      <c r="I778" s="254">
        <v>305817</v>
      </c>
      <c r="J778">
        <v>50</v>
      </c>
      <c r="K778">
        <v>0</v>
      </c>
      <c r="O778">
        <v>2405</v>
      </c>
      <c r="R778" s="8"/>
      <c r="T778" s="236">
        <v>305009</v>
      </c>
      <c r="U778" s="236" t="s">
        <v>1220</v>
      </c>
      <c r="V778" s="236">
        <v>1</v>
      </c>
      <c r="W778" s="245" t="s">
        <v>1828</v>
      </c>
    </row>
    <row r="779" spans="1:23">
      <c r="A779" s="126"/>
      <c r="B779">
        <v>3311</v>
      </c>
      <c r="C779">
        <v>1001</v>
      </c>
      <c r="E779" s="250" t="s">
        <v>1833</v>
      </c>
      <c r="H779" s="89"/>
      <c r="I779" s="254">
        <v>305818</v>
      </c>
      <c r="J779">
        <v>50</v>
      </c>
      <c r="K779">
        <v>0</v>
      </c>
      <c r="O779">
        <v>2406</v>
      </c>
      <c r="R779" s="8"/>
      <c r="T779" s="236">
        <v>305023</v>
      </c>
      <c r="U779" s="236" t="s">
        <v>1277</v>
      </c>
      <c r="V779" s="236">
        <v>1</v>
      </c>
      <c r="W779" s="245" t="s">
        <v>1828</v>
      </c>
    </row>
    <row r="780" spans="1:23">
      <c r="A780" s="126"/>
      <c r="B780">
        <v>3312</v>
      </c>
      <c r="C780">
        <v>1001</v>
      </c>
      <c r="E780" s="251" t="s">
        <v>538</v>
      </c>
      <c r="H780" s="89"/>
      <c r="I780" s="254">
        <v>305719</v>
      </c>
      <c r="J780">
        <v>50</v>
      </c>
      <c r="K780">
        <v>0</v>
      </c>
      <c r="O780">
        <v>2502</v>
      </c>
      <c r="R780" s="8"/>
      <c r="T780" s="236">
        <v>305036</v>
      </c>
      <c r="U780" s="236" t="s">
        <v>232</v>
      </c>
      <c r="V780" s="236">
        <v>1</v>
      </c>
      <c r="W780" s="245" t="s">
        <v>1828</v>
      </c>
    </row>
    <row r="781" spans="1:23">
      <c r="A781" s="126"/>
      <c r="B781">
        <v>3313</v>
      </c>
      <c r="C781">
        <v>1001</v>
      </c>
      <c r="E781" s="251" t="s">
        <v>538</v>
      </c>
      <c r="H781" s="89"/>
      <c r="I781" s="254">
        <v>305720</v>
      </c>
      <c r="J781">
        <v>50</v>
      </c>
      <c r="K781">
        <v>0</v>
      </c>
      <c r="O781">
        <v>2503</v>
      </c>
      <c r="R781" s="8"/>
      <c r="T781" s="236">
        <v>305039</v>
      </c>
      <c r="U781" s="236" t="s">
        <v>1829</v>
      </c>
      <c r="V781" s="236">
        <v>1</v>
      </c>
      <c r="W781" s="245" t="s">
        <v>1828</v>
      </c>
    </row>
    <row r="782" spans="1:23">
      <c r="A782" s="126"/>
      <c r="B782">
        <v>3314</v>
      </c>
      <c r="C782">
        <v>1001</v>
      </c>
      <c r="E782" s="251" t="s">
        <v>538</v>
      </c>
      <c r="H782" s="89"/>
      <c r="I782" s="254">
        <v>305721</v>
      </c>
      <c r="J782">
        <v>50</v>
      </c>
      <c r="K782">
        <v>0</v>
      </c>
      <c r="O782">
        <v>2504</v>
      </c>
      <c r="R782" s="8"/>
      <c r="T782" s="236">
        <v>305034</v>
      </c>
      <c r="U782" s="236" t="s">
        <v>222</v>
      </c>
      <c r="V782" s="236">
        <v>1</v>
      </c>
      <c r="W782" s="245" t="s">
        <v>1828</v>
      </c>
    </row>
    <row r="783" spans="1:23">
      <c r="A783" s="126"/>
      <c r="B783">
        <v>3315</v>
      </c>
      <c r="C783">
        <v>1001</v>
      </c>
      <c r="E783" s="251" t="s">
        <v>538</v>
      </c>
      <c r="H783" s="89"/>
      <c r="I783" s="254">
        <v>305722</v>
      </c>
      <c r="J783">
        <v>50</v>
      </c>
      <c r="K783">
        <v>0</v>
      </c>
      <c r="O783">
        <v>2505</v>
      </c>
      <c r="R783" s="8"/>
      <c r="T783" s="236">
        <v>305035</v>
      </c>
      <c r="U783" s="236" t="s">
        <v>227</v>
      </c>
      <c r="V783" s="236">
        <v>1</v>
      </c>
      <c r="W783" s="245" t="s">
        <v>1828</v>
      </c>
    </row>
    <row r="784" spans="1:23" ht="16.5">
      <c r="B784">
        <v>3316</v>
      </c>
      <c r="C784">
        <v>1001</v>
      </c>
      <c r="D784" s="323"/>
      <c r="E784" s="9" t="s">
        <v>1758</v>
      </c>
      <c r="G784" s="77"/>
      <c r="H784" s="21"/>
      <c r="I784" s="258">
        <v>305220</v>
      </c>
      <c r="J784" s="173">
        <v>50</v>
      </c>
      <c r="K784">
        <v>0</v>
      </c>
      <c r="L784">
        <v>230903</v>
      </c>
      <c r="O784">
        <v>1001</v>
      </c>
      <c r="R784" s="8"/>
    </row>
    <row r="785" spans="2:18" ht="16.5">
      <c r="B785">
        <v>3317</v>
      </c>
      <c r="C785">
        <v>1001</v>
      </c>
      <c r="D785" s="323"/>
      <c r="E785" s="9" t="s">
        <v>1758</v>
      </c>
      <c r="G785" s="77"/>
      <c r="H785" s="21"/>
      <c r="I785" s="258">
        <v>305320</v>
      </c>
      <c r="J785" s="173">
        <v>50</v>
      </c>
      <c r="K785">
        <v>0</v>
      </c>
      <c r="L785">
        <v>230903</v>
      </c>
      <c r="O785">
        <v>1002</v>
      </c>
      <c r="R785" s="8"/>
    </row>
    <row r="786" spans="2:18" ht="16.5">
      <c r="B786">
        <v>3318</v>
      </c>
      <c r="C786">
        <v>1001</v>
      </c>
      <c r="D786" s="323"/>
      <c r="E786" s="9" t="s">
        <v>1758</v>
      </c>
      <c r="G786" s="77"/>
      <c r="H786" s="21"/>
      <c r="I786" s="258">
        <v>305613</v>
      </c>
      <c r="J786" s="173">
        <v>50</v>
      </c>
      <c r="K786">
        <v>0</v>
      </c>
      <c r="L786">
        <v>230903</v>
      </c>
      <c r="O786">
        <v>1003</v>
      </c>
      <c r="R786" s="8"/>
    </row>
    <row r="787" spans="2:18" ht="18.75" customHeight="1">
      <c r="B787">
        <v>3319</v>
      </c>
      <c r="C787">
        <v>1001</v>
      </c>
      <c r="E787" s="9" t="s">
        <v>1758</v>
      </c>
      <c r="I787" s="258">
        <v>305811</v>
      </c>
      <c r="J787">
        <v>50</v>
      </c>
      <c r="K787">
        <v>0</v>
      </c>
      <c r="L787">
        <v>230903</v>
      </c>
      <c r="O787">
        <v>1004</v>
      </c>
    </row>
    <row r="788" spans="2:18" ht="18.75" customHeight="1">
      <c r="B788">
        <v>3320</v>
      </c>
      <c r="C788">
        <v>1001</v>
      </c>
      <c r="E788" s="9" t="s">
        <v>1758</v>
      </c>
      <c r="I788" s="258">
        <v>305709</v>
      </c>
      <c r="J788">
        <v>50</v>
      </c>
      <c r="K788">
        <v>0</v>
      </c>
      <c r="L788">
        <v>230903</v>
      </c>
      <c r="O788">
        <v>1005</v>
      </c>
    </row>
    <row r="789" spans="2:18" ht="16.5">
      <c r="B789" s="126">
        <v>3321</v>
      </c>
      <c r="C789" s="126">
        <v>1001</v>
      </c>
      <c r="D789" s="323"/>
      <c r="E789" s="9"/>
      <c r="G789" s="77"/>
      <c r="H789" s="21"/>
      <c r="I789" s="127">
        <v>30520001</v>
      </c>
      <c r="J789" s="173">
        <v>50</v>
      </c>
      <c r="K789">
        <v>0</v>
      </c>
      <c r="L789" s="126">
        <v>231003</v>
      </c>
      <c r="M789" s="126"/>
      <c r="N789" s="126"/>
      <c r="O789" s="126">
        <v>1001</v>
      </c>
      <c r="R789" s="8"/>
    </row>
    <row r="790" spans="2:18" ht="16.5">
      <c r="B790" s="126">
        <v>3322</v>
      </c>
      <c r="C790" s="126">
        <v>1001</v>
      </c>
      <c r="D790" s="323"/>
      <c r="E790" s="9"/>
      <c r="G790" s="77"/>
      <c r="H790" s="21"/>
      <c r="I790" s="127">
        <v>30530001</v>
      </c>
      <c r="J790" s="173">
        <v>50</v>
      </c>
      <c r="K790">
        <v>0</v>
      </c>
      <c r="L790" s="126">
        <v>231003</v>
      </c>
      <c r="M790" s="126"/>
      <c r="N790" s="126"/>
      <c r="O790" s="126">
        <v>1002</v>
      </c>
      <c r="R790" s="8"/>
    </row>
    <row r="791" spans="2:18" ht="18.75" customHeight="1">
      <c r="B791" s="126">
        <v>3323</v>
      </c>
      <c r="C791" s="126">
        <v>1001</v>
      </c>
      <c r="E791" s="9"/>
      <c r="I791" s="127">
        <v>30560001</v>
      </c>
      <c r="J791">
        <v>50</v>
      </c>
      <c r="K791">
        <v>0</v>
      </c>
      <c r="L791" s="126">
        <v>231003</v>
      </c>
      <c r="M791" s="126"/>
      <c r="N791" s="126"/>
      <c r="O791" s="126">
        <v>1003</v>
      </c>
    </row>
    <row r="792" spans="2:18" ht="18.75" customHeight="1">
      <c r="B792" s="126">
        <v>3324</v>
      </c>
      <c r="C792" s="126">
        <v>1001</v>
      </c>
      <c r="E792" s="9"/>
      <c r="I792" s="127">
        <v>30610001</v>
      </c>
      <c r="J792">
        <v>50</v>
      </c>
      <c r="K792">
        <v>0</v>
      </c>
      <c r="L792" s="126">
        <v>231003</v>
      </c>
      <c r="M792" s="126"/>
      <c r="N792" s="126"/>
      <c r="O792" s="126">
        <v>1004</v>
      </c>
    </row>
    <row r="793" spans="2:18" ht="16.5">
      <c r="B793" s="126">
        <v>3325</v>
      </c>
      <c r="C793" s="126">
        <v>1001</v>
      </c>
      <c r="D793" s="323" t="s">
        <v>1905</v>
      </c>
      <c r="E793" s="191" t="s">
        <v>1904</v>
      </c>
      <c r="G793" s="77"/>
      <c r="H793" s="21"/>
      <c r="I793" s="238">
        <v>200077</v>
      </c>
      <c r="J793">
        <v>150</v>
      </c>
      <c r="K793">
        <v>0</v>
      </c>
      <c r="O793">
        <v>540</v>
      </c>
      <c r="R793" s="8"/>
    </row>
    <row r="794" spans="2:18" ht="16.5">
      <c r="B794" s="126">
        <v>3326</v>
      </c>
      <c r="C794" s="126">
        <v>1001</v>
      </c>
      <c r="D794" s="323" t="s">
        <v>1906</v>
      </c>
      <c r="E794" s="191" t="s">
        <v>1907</v>
      </c>
      <c r="G794" s="77"/>
      <c r="H794" s="21"/>
      <c r="I794" s="238">
        <v>200078</v>
      </c>
      <c r="J794">
        <v>150</v>
      </c>
      <c r="K794">
        <v>0</v>
      </c>
      <c r="O794">
        <v>818</v>
      </c>
      <c r="R794" s="8"/>
    </row>
    <row r="795" spans="2:18" ht="16.5">
      <c r="B795" s="126">
        <v>3327</v>
      </c>
      <c r="C795" s="126">
        <v>1001</v>
      </c>
      <c r="D795" s="323" t="s">
        <v>1914</v>
      </c>
      <c r="E795" s="225"/>
      <c r="G795" s="77"/>
      <c r="H795" s="21"/>
      <c r="I795" s="127">
        <v>200079</v>
      </c>
      <c r="J795">
        <v>150</v>
      </c>
      <c r="K795">
        <v>0</v>
      </c>
      <c r="L795">
        <v>231126</v>
      </c>
      <c r="O795">
        <v>1</v>
      </c>
      <c r="R795" s="8"/>
    </row>
    <row r="796" spans="2:18" ht="16.5">
      <c r="B796" s="126">
        <v>3328</v>
      </c>
      <c r="C796" s="126">
        <v>1001</v>
      </c>
      <c r="D796" s="323" t="s">
        <v>1915</v>
      </c>
      <c r="E796" s="224"/>
      <c r="G796" s="77"/>
      <c r="H796" s="21"/>
      <c r="I796" s="127">
        <v>200080</v>
      </c>
      <c r="J796">
        <v>150</v>
      </c>
      <c r="K796">
        <v>0</v>
      </c>
      <c r="L796">
        <v>231126</v>
      </c>
      <c r="O796">
        <v>2</v>
      </c>
      <c r="R796" s="8"/>
    </row>
    <row r="797" spans="2:18" ht="16.5">
      <c r="B797" s="126">
        <v>3329</v>
      </c>
      <c r="C797" s="126">
        <v>1001</v>
      </c>
      <c r="D797" s="323" t="s">
        <v>1916</v>
      </c>
      <c r="E797" s="225"/>
      <c r="G797" s="77"/>
      <c r="H797" s="21"/>
      <c r="I797" s="127">
        <v>200081</v>
      </c>
      <c r="J797">
        <v>150</v>
      </c>
      <c r="K797">
        <v>0</v>
      </c>
      <c r="L797">
        <v>231126</v>
      </c>
      <c r="O797">
        <v>3</v>
      </c>
      <c r="R797" s="8"/>
    </row>
    <row r="798" spans="2:18" ht="16.5">
      <c r="B798" s="126">
        <v>3330</v>
      </c>
      <c r="C798" s="126">
        <v>1001</v>
      </c>
      <c r="D798" s="323" t="s">
        <v>1917</v>
      </c>
      <c r="E798" s="225"/>
      <c r="G798" s="77"/>
      <c r="H798" s="21"/>
      <c r="I798" s="127">
        <v>200082</v>
      </c>
      <c r="J798">
        <v>150</v>
      </c>
      <c r="K798" s="173">
        <v>0</v>
      </c>
      <c r="L798">
        <v>231126</v>
      </c>
      <c r="O798">
        <v>4</v>
      </c>
      <c r="R798" s="8"/>
    </row>
    <row r="799" spans="2:18" ht="16.5">
      <c r="B799" s="126">
        <v>3331</v>
      </c>
      <c r="C799" s="126">
        <v>1001</v>
      </c>
      <c r="D799" s="323"/>
      <c r="G799" s="77"/>
      <c r="H799" s="21"/>
      <c r="I799" s="127">
        <v>308031</v>
      </c>
      <c r="J799" s="173">
        <v>50</v>
      </c>
      <c r="K799">
        <v>0</v>
      </c>
      <c r="L799">
        <v>231126</v>
      </c>
      <c r="O799">
        <v>1001</v>
      </c>
      <c r="R799" s="8"/>
    </row>
    <row r="800" spans="2:18" ht="16.5">
      <c r="B800" s="126">
        <v>3332</v>
      </c>
      <c r="C800" s="126">
        <v>1001</v>
      </c>
      <c r="D800" s="323"/>
      <c r="G800" s="77"/>
      <c r="H800" s="21"/>
      <c r="I800" s="127">
        <v>308032</v>
      </c>
      <c r="J800" s="173">
        <v>50</v>
      </c>
      <c r="K800">
        <v>0</v>
      </c>
      <c r="L800">
        <v>231126</v>
      </c>
      <c r="O800">
        <v>1002</v>
      </c>
      <c r="R800" s="8"/>
    </row>
    <row r="801" spans="2:18" ht="16.5">
      <c r="B801" s="126">
        <v>3333</v>
      </c>
      <c r="C801" s="126">
        <v>1001</v>
      </c>
      <c r="D801" s="323"/>
      <c r="G801" s="77"/>
      <c r="H801" s="21"/>
      <c r="I801" s="127">
        <v>308033</v>
      </c>
      <c r="J801" s="173">
        <v>50</v>
      </c>
      <c r="K801" s="173">
        <v>0</v>
      </c>
      <c r="L801">
        <v>231126</v>
      </c>
      <c r="O801">
        <v>1003</v>
      </c>
      <c r="R801" s="8"/>
    </row>
    <row r="802" spans="2:18">
      <c r="B802" s="126">
        <v>3334</v>
      </c>
      <c r="C802" s="126">
        <v>1001</v>
      </c>
      <c r="I802" s="127">
        <v>308034</v>
      </c>
      <c r="J802">
        <v>50</v>
      </c>
      <c r="K802">
        <v>0</v>
      </c>
      <c r="L802">
        <v>231126</v>
      </c>
      <c r="O802">
        <v>1004</v>
      </c>
    </row>
    <row r="803" spans="2:18">
      <c r="B803" s="126">
        <v>3335</v>
      </c>
      <c r="C803" s="126">
        <v>1001</v>
      </c>
      <c r="I803" s="127">
        <v>308035</v>
      </c>
      <c r="J803">
        <v>50</v>
      </c>
      <c r="K803">
        <v>0</v>
      </c>
      <c r="L803">
        <v>231126</v>
      </c>
      <c r="O803">
        <v>1005</v>
      </c>
    </row>
    <row r="804" spans="2:18" ht="16.5">
      <c r="B804" s="126">
        <v>3336</v>
      </c>
      <c r="C804" s="126">
        <v>1001</v>
      </c>
      <c r="D804" s="323"/>
      <c r="G804" s="77"/>
      <c r="H804" s="21"/>
      <c r="I804">
        <v>305812</v>
      </c>
      <c r="J804" s="173">
        <v>50</v>
      </c>
      <c r="K804">
        <v>0</v>
      </c>
      <c r="L804">
        <v>231174</v>
      </c>
      <c r="O804">
        <v>1006</v>
      </c>
      <c r="R804" s="8"/>
    </row>
    <row r="805" spans="2:18" ht="16.5">
      <c r="B805" s="126">
        <v>3337</v>
      </c>
      <c r="C805" s="126">
        <v>1001</v>
      </c>
      <c r="D805" s="323"/>
      <c r="G805" s="77"/>
      <c r="H805" s="21"/>
      <c r="I805">
        <v>305710</v>
      </c>
      <c r="J805" s="173">
        <v>50</v>
      </c>
      <c r="K805" s="173">
        <v>0</v>
      </c>
      <c r="L805">
        <v>231174</v>
      </c>
      <c r="O805">
        <v>1007</v>
      </c>
      <c r="R805" s="8"/>
    </row>
    <row r="806" spans="2:18">
      <c r="B806" s="126">
        <v>3338</v>
      </c>
      <c r="C806" s="126">
        <v>1001</v>
      </c>
      <c r="I806">
        <v>305614</v>
      </c>
      <c r="J806">
        <v>50</v>
      </c>
      <c r="K806">
        <v>0</v>
      </c>
      <c r="L806">
        <v>231174</v>
      </c>
      <c r="O806">
        <v>1008</v>
      </c>
    </row>
    <row r="807" spans="2:18">
      <c r="B807" s="126">
        <v>3339</v>
      </c>
      <c r="C807" s="126">
        <v>1001</v>
      </c>
      <c r="I807">
        <v>305542</v>
      </c>
      <c r="J807">
        <v>100</v>
      </c>
      <c r="K807">
        <v>0</v>
      </c>
      <c r="L807">
        <v>231174</v>
      </c>
      <c r="O807">
        <v>1009</v>
      </c>
    </row>
    <row r="808" spans="2:18" ht="16.5">
      <c r="B808" s="126">
        <v>3340</v>
      </c>
      <c r="C808" s="126">
        <v>1001</v>
      </c>
      <c r="D808" s="323" t="s">
        <v>1932</v>
      </c>
      <c r="E808" s="191" t="s">
        <v>1934</v>
      </c>
      <c r="G808" s="77"/>
      <c r="H808" s="21"/>
      <c r="I808" s="238">
        <v>200083</v>
      </c>
      <c r="J808">
        <v>150</v>
      </c>
      <c r="K808">
        <v>0</v>
      </c>
      <c r="M808" s="9" t="s">
        <v>1952</v>
      </c>
      <c r="O808">
        <v>541</v>
      </c>
      <c r="R808" s="8"/>
    </row>
    <row r="809" spans="2:18" ht="16.5">
      <c r="B809" s="126">
        <v>3341</v>
      </c>
      <c r="C809" s="126">
        <v>1001</v>
      </c>
      <c r="D809" s="323" t="s">
        <v>1933</v>
      </c>
      <c r="E809" s="191" t="s">
        <v>1935</v>
      </c>
      <c r="G809" s="77"/>
      <c r="H809" s="21"/>
      <c r="I809" s="238">
        <v>200090</v>
      </c>
      <c r="J809">
        <v>150</v>
      </c>
      <c r="K809">
        <v>0</v>
      </c>
      <c r="M809" s="9" t="s">
        <v>1952</v>
      </c>
      <c r="O809">
        <v>819</v>
      </c>
      <c r="R809" s="8"/>
    </row>
    <row r="810" spans="2:18" ht="16.5">
      <c r="B810" s="126">
        <v>3342</v>
      </c>
      <c r="C810" s="126">
        <v>1001</v>
      </c>
      <c r="D810" s="323"/>
      <c r="E810" s="9"/>
      <c r="G810" s="77"/>
      <c r="H810" s="21"/>
      <c r="I810" s="127">
        <v>30520002</v>
      </c>
      <c r="J810" s="173">
        <v>50</v>
      </c>
      <c r="K810">
        <v>0</v>
      </c>
      <c r="L810">
        <v>231210</v>
      </c>
      <c r="O810">
        <v>1001</v>
      </c>
      <c r="R810" s="8"/>
    </row>
    <row r="811" spans="2:18" ht="16.5">
      <c r="B811" s="126">
        <v>3343</v>
      </c>
      <c r="C811" s="126">
        <v>1001</v>
      </c>
      <c r="D811" s="323"/>
      <c r="E811" s="9"/>
      <c r="G811" s="77"/>
      <c r="H811" s="21"/>
      <c r="I811" s="127">
        <v>30530002</v>
      </c>
      <c r="J811" s="173">
        <v>50</v>
      </c>
      <c r="K811">
        <v>0</v>
      </c>
      <c r="L811">
        <v>231210</v>
      </c>
      <c r="O811">
        <v>1002</v>
      </c>
      <c r="R811" s="8"/>
    </row>
    <row r="812" spans="2:18" ht="16.5">
      <c r="B812" s="126">
        <v>3344</v>
      </c>
      <c r="C812" s="126">
        <v>1001</v>
      </c>
      <c r="D812" s="323"/>
      <c r="E812" s="9"/>
      <c r="G812" s="77"/>
      <c r="H812" s="21"/>
      <c r="I812" s="127">
        <v>30580002</v>
      </c>
      <c r="J812" s="173">
        <v>50</v>
      </c>
      <c r="K812">
        <v>0</v>
      </c>
      <c r="L812">
        <v>231210</v>
      </c>
      <c r="O812">
        <v>1003</v>
      </c>
      <c r="R812" s="8"/>
    </row>
    <row r="813" spans="2:18" ht="18.75" customHeight="1">
      <c r="B813" s="126">
        <v>3345</v>
      </c>
      <c r="C813" s="126">
        <v>1001</v>
      </c>
      <c r="E813" s="9"/>
      <c r="I813" s="127">
        <v>30570001</v>
      </c>
      <c r="J813">
        <v>50</v>
      </c>
      <c r="K813">
        <v>0</v>
      </c>
      <c r="L813">
        <v>231210</v>
      </c>
      <c r="O813">
        <v>1004</v>
      </c>
    </row>
    <row r="814" spans="2:18" ht="18.75" customHeight="1">
      <c r="B814" s="126">
        <v>3346</v>
      </c>
      <c r="C814" s="126">
        <v>1001</v>
      </c>
      <c r="E814" s="9"/>
      <c r="I814" s="127">
        <v>30505001</v>
      </c>
      <c r="J814">
        <v>50</v>
      </c>
      <c r="K814">
        <v>0</v>
      </c>
      <c r="L814">
        <v>231210</v>
      </c>
      <c r="O814">
        <v>1005</v>
      </c>
    </row>
    <row r="815" spans="2:18" ht="16.5">
      <c r="B815" s="126">
        <v>3347</v>
      </c>
      <c r="C815" s="126">
        <v>1001</v>
      </c>
      <c r="D815" s="323" t="s">
        <v>1957</v>
      </c>
      <c r="E815" s="191" t="s">
        <v>1959</v>
      </c>
      <c r="G815" s="77"/>
      <c r="H815" s="21"/>
      <c r="I815" s="238">
        <v>200084</v>
      </c>
      <c r="J815">
        <v>150</v>
      </c>
      <c r="K815">
        <v>0</v>
      </c>
      <c r="M815" s="9" t="s">
        <v>1961</v>
      </c>
      <c r="O815">
        <v>542</v>
      </c>
      <c r="R815" s="8"/>
    </row>
    <row r="816" spans="2:18" ht="16.5">
      <c r="B816" s="126">
        <v>3348</v>
      </c>
      <c r="C816" s="126">
        <v>1001</v>
      </c>
      <c r="D816" s="323" t="s">
        <v>1958</v>
      </c>
      <c r="E816" s="191" t="s">
        <v>1960</v>
      </c>
      <c r="G816" s="77"/>
      <c r="H816" s="21"/>
      <c r="I816" s="238">
        <v>200085</v>
      </c>
      <c r="J816">
        <v>150</v>
      </c>
      <c r="K816">
        <v>0</v>
      </c>
      <c r="M816" s="9" t="s">
        <v>1961</v>
      </c>
      <c r="O816">
        <v>820</v>
      </c>
      <c r="R816" s="8"/>
    </row>
    <row r="817" spans="2:18" ht="16.5">
      <c r="B817" s="126">
        <v>3349</v>
      </c>
      <c r="C817" s="126">
        <v>1001</v>
      </c>
      <c r="D817" s="323"/>
      <c r="E817" s="9"/>
      <c r="G817" s="77"/>
      <c r="H817" s="21"/>
      <c r="I817" s="127">
        <v>30520003</v>
      </c>
      <c r="J817" s="173">
        <v>50</v>
      </c>
      <c r="K817">
        <v>0</v>
      </c>
      <c r="L817">
        <v>240111</v>
      </c>
      <c r="M817" s="9"/>
      <c r="O817">
        <v>1001</v>
      </c>
      <c r="R817" s="8"/>
    </row>
    <row r="818" spans="2:18" ht="16.5">
      <c r="B818" s="126">
        <v>3350</v>
      </c>
      <c r="C818" s="126">
        <v>1001</v>
      </c>
      <c r="D818" s="323"/>
      <c r="E818" s="9"/>
      <c r="G818" s="77"/>
      <c r="H818" s="21"/>
      <c r="I818" s="127">
        <v>30530003</v>
      </c>
      <c r="J818" s="173">
        <v>50</v>
      </c>
      <c r="K818">
        <v>0</v>
      </c>
      <c r="L818">
        <v>240111</v>
      </c>
      <c r="M818" s="9"/>
      <c r="O818">
        <v>1002</v>
      </c>
      <c r="R818" s="8"/>
    </row>
    <row r="819" spans="2:18" ht="16.5">
      <c r="B819" s="126">
        <v>3351</v>
      </c>
      <c r="C819" s="126">
        <v>1001</v>
      </c>
      <c r="D819" s="323"/>
      <c r="E819" s="9"/>
      <c r="G819" s="77"/>
      <c r="H819" s="21"/>
      <c r="I819" s="127">
        <v>30560002</v>
      </c>
      <c r="J819" s="173">
        <v>50</v>
      </c>
      <c r="K819">
        <v>0</v>
      </c>
      <c r="L819">
        <v>240111</v>
      </c>
      <c r="M819" s="9"/>
      <c r="O819">
        <v>1003</v>
      </c>
      <c r="R819" s="8"/>
    </row>
    <row r="820" spans="2:18" ht="18.75" customHeight="1">
      <c r="B820" s="126">
        <v>3352</v>
      </c>
      <c r="C820" s="126">
        <v>1001</v>
      </c>
      <c r="E820" s="9"/>
      <c r="I820" s="127">
        <v>30580003</v>
      </c>
      <c r="J820">
        <v>50</v>
      </c>
      <c r="K820">
        <v>0</v>
      </c>
      <c r="L820">
        <v>240111</v>
      </c>
      <c r="M820" s="9"/>
      <c r="O820">
        <v>1004</v>
      </c>
    </row>
    <row r="821" spans="2:18" ht="18.75" customHeight="1">
      <c r="B821" s="126">
        <v>3353</v>
      </c>
      <c r="C821" s="126">
        <v>1001</v>
      </c>
      <c r="E821" s="9"/>
      <c r="I821" s="127">
        <v>30570002</v>
      </c>
      <c r="J821">
        <v>50</v>
      </c>
      <c r="K821">
        <v>0</v>
      </c>
      <c r="L821">
        <v>240111</v>
      </c>
      <c r="M821" s="9"/>
      <c r="O821">
        <v>1005</v>
      </c>
    </row>
    <row r="822" spans="2:18" ht="16.5">
      <c r="B822" s="126">
        <v>3354</v>
      </c>
      <c r="C822">
        <v>1001</v>
      </c>
      <c r="D822" s="323"/>
      <c r="E822" s="198" t="s">
        <v>1787</v>
      </c>
      <c r="G822" s="77"/>
      <c r="H822" s="21"/>
      <c r="I822" s="127">
        <v>305619</v>
      </c>
      <c r="J822" s="173">
        <v>50</v>
      </c>
      <c r="K822">
        <v>0</v>
      </c>
      <c r="L822">
        <v>240203</v>
      </c>
      <c r="O822">
        <v>1001</v>
      </c>
      <c r="R822" s="8"/>
    </row>
    <row r="823" spans="2:18" ht="16.5">
      <c r="B823" s="126">
        <v>3355</v>
      </c>
      <c r="C823">
        <v>1001</v>
      </c>
      <c r="D823" s="323"/>
      <c r="E823" s="228" t="s">
        <v>1788</v>
      </c>
      <c r="G823" s="77"/>
      <c r="H823" s="21"/>
      <c r="I823" s="127">
        <v>305711</v>
      </c>
      <c r="J823" s="173">
        <v>50</v>
      </c>
      <c r="K823">
        <v>0</v>
      </c>
      <c r="L823">
        <v>240203</v>
      </c>
      <c r="O823">
        <v>1002</v>
      </c>
      <c r="R823" s="8"/>
    </row>
    <row r="824" spans="2:18" ht="16.5">
      <c r="B824" s="126">
        <v>3356</v>
      </c>
      <c r="C824">
        <v>1001</v>
      </c>
      <c r="D824" s="323"/>
      <c r="E824" s="198" t="s">
        <v>1789</v>
      </c>
      <c r="G824" s="77"/>
      <c r="H824" s="21"/>
      <c r="I824" s="127">
        <v>305545</v>
      </c>
      <c r="J824" s="173">
        <v>100</v>
      </c>
      <c r="K824">
        <v>0</v>
      </c>
      <c r="L824">
        <v>240203</v>
      </c>
      <c r="O824">
        <v>1003</v>
      </c>
      <c r="R824" s="8"/>
    </row>
    <row r="825" spans="2:18" ht="18.75" customHeight="1">
      <c r="B825" s="126">
        <v>3357</v>
      </c>
      <c r="C825">
        <v>1001</v>
      </c>
      <c r="E825" s="127" t="s">
        <v>1790</v>
      </c>
      <c r="I825" s="127">
        <v>305053</v>
      </c>
      <c r="J825">
        <v>50</v>
      </c>
      <c r="K825">
        <v>0</v>
      </c>
      <c r="L825">
        <v>240203</v>
      </c>
      <c r="O825">
        <v>1004</v>
      </c>
    </row>
    <row r="826" spans="2:18" ht="16.5">
      <c r="B826" s="126">
        <v>3358</v>
      </c>
      <c r="C826">
        <v>1001</v>
      </c>
      <c r="D826" s="323"/>
      <c r="E826" s="228" t="s">
        <v>1788</v>
      </c>
      <c r="G826" s="77"/>
      <c r="H826" s="21"/>
      <c r="I826" s="127">
        <v>305221</v>
      </c>
      <c r="J826" s="173">
        <v>50</v>
      </c>
      <c r="K826">
        <v>0</v>
      </c>
      <c r="L826">
        <v>240317</v>
      </c>
      <c r="O826">
        <v>1001</v>
      </c>
      <c r="R826" s="8"/>
    </row>
    <row r="827" spans="2:18" ht="16.5">
      <c r="B827" s="126">
        <v>3359</v>
      </c>
      <c r="C827">
        <v>1001</v>
      </c>
      <c r="D827" s="323"/>
      <c r="E827" s="198" t="s">
        <v>1789</v>
      </c>
      <c r="G827" s="77"/>
      <c r="H827" s="21"/>
      <c r="I827" s="127">
        <v>305321</v>
      </c>
      <c r="J827" s="173">
        <v>50</v>
      </c>
      <c r="K827">
        <v>0</v>
      </c>
      <c r="L827">
        <v>240317</v>
      </c>
      <c r="O827">
        <v>1002</v>
      </c>
      <c r="R827" s="8"/>
    </row>
    <row r="828" spans="2:18" ht="18.75" customHeight="1">
      <c r="B828" s="126">
        <v>3360</v>
      </c>
      <c r="C828">
        <v>1001</v>
      </c>
      <c r="E828" s="127" t="s">
        <v>1790</v>
      </c>
      <c r="I828" s="127">
        <v>305713</v>
      </c>
      <c r="J828">
        <v>50</v>
      </c>
      <c r="K828">
        <v>0</v>
      </c>
      <c r="L828">
        <v>240317</v>
      </c>
      <c r="O828">
        <v>1003</v>
      </c>
    </row>
    <row r="829" spans="2:18" ht="16.5">
      <c r="B829" s="131">
        <v>3361</v>
      </c>
      <c r="C829">
        <v>1001</v>
      </c>
      <c r="D829" s="323" t="s">
        <v>1966</v>
      </c>
      <c r="E829" s="225"/>
      <c r="G829" s="77"/>
      <c r="H829" s="21"/>
      <c r="I829">
        <v>200086</v>
      </c>
      <c r="J829">
        <v>150</v>
      </c>
      <c r="K829">
        <v>0</v>
      </c>
      <c r="L829" s="126">
        <v>240443</v>
      </c>
      <c r="O829">
        <v>1</v>
      </c>
      <c r="R829" s="8"/>
    </row>
    <row r="830" spans="2:18" ht="16.5">
      <c r="B830" s="131">
        <v>3362</v>
      </c>
      <c r="C830">
        <v>1001</v>
      </c>
      <c r="D830" s="323" t="s">
        <v>1967</v>
      </c>
      <c r="E830" s="224"/>
      <c r="G830" s="77"/>
      <c r="H830" s="21"/>
      <c r="I830">
        <v>200087</v>
      </c>
      <c r="J830">
        <v>150</v>
      </c>
      <c r="K830">
        <v>0</v>
      </c>
      <c r="L830" s="126">
        <v>240443</v>
      </c>
      <c r="O830">
        <v>2</v>
      </c>
      <c r="R830" s="8"/>
    </row>
    <row r="831" spans="2:18" ht="16.5">
      <c r="B831" s="131">
        <v>3363</v>
      </c>
      <c r="C831">
        <v>1001</v>
      </c>
      <c r="D831" s="323" t="s">
        <v>1968</v>
      </c>
      <c r="E831" s="225"/>
      <c r="G831" s="77"/>
      <c r="H831" s="21"/>
      <c r="I831">
        <v>200088</v>
      </c>
      <c r="J831">
        <v>150</v>
      </c>
      <c r="K831">
        <v>0</v>
      </c>
      <c r="L831" s="126">
        <v>240443</v>
      </c>
      <c r="O831">
        <v>3</v>
      </c>
      <c r="R831" s="8"/>
    </row>
    <row r="832" spans="2:18" ht="16.5">
      <c r="B832" s="131">
        <v>3364</v>
      </c>
      <c r="C832">
        <v>1001</v>
      </c>
      <c r="D832" s="323" t="s">
        <v>1969</v>
      </c>
      <c r="E832" s="225"/>
      <c r="G832" s="77"/>
      <c r="H832" s="21"/>
      <c r="I832">
        <v>200089</v>
      </c>
      <c r="J832">
        <v>150</v>
      </c>
      <c r="K832" s="173">
        <v>0</v>
      </c>
      <c r="L832" s="126">
        <v>240443</v>
      </c>
      <c r="O832">
        <v>4</v>
      </c>
      <c r="R832" s="8"/>
    </row>
    <row r="833" spans="2:18" ht="16.5">
      <c r="B833" s="131">
        <v>3365</v>
      </c>
      <c r="C833">
        <v>1001</v>
      </c>
      <c r="D833" s="323"/>
      <c r="G833" s="77"/>
      <c r="H833" s="21"/>
      <c r="I833">
        <v>308036</v>
      </c>
      <c r="J833" s="173">
        <v>50</v>
      </c>
      <c r="K833">
        <v>0</v>
      </c>
      <c r="L833" s="126">
        <v>240443</v>
      </c>
      <c r="O833">
        <v>1001</v>
      </c>
      <c r="R833" s="8"/>
    </row>
    <row r="834" spans="2:18" ht="16.5">
      <c r="B834" s="131">
        <v>3366</v>
      </c>
      <c r="C834">
        <v>1001</v>
      </c>
      <c r="D834" s="323"/>
      <c r="G834" s="77"/>
      <c r="H834" s="21"/>
      <c r="I834">
        <v>308037</v>
      </c>
      <c r="J834" s="173">
        <v>50</v>
      </c>
      <c r="K834">
        <v>0</v>
      </c>
      <c r="L834" s="126">
        <v>240443</v>
      </c>
      <c r="O834">
        <v>1002</v>
      </c>
      <c r="R834" s="8"/>
    </row>
    <row r="835" spans="2:18" ht="16.5">
      <c r="B835" s="131">
        <v>3367</v>
      </c>
      <c r="C835">
        <v>1001</v>
      </c>
      <c r="D835" s="323"/>
      <c r="G835" s="77"/>
      <c r="H835" s="21"/>
      <c r="I835">
        <v>308038</v>
      </c>
      <c r="J835" s="173">
        <v>50</v>
      </c>
      <c r="K835" s="173">
        <v>0</v>
      </c>
      <c r="L835" s="126">
        <v>240443</v>
      </c>
      <c r="O835">
        <v>1003</v>
      </c>
      <c r="R835" s="8"/>
    </row>
    <row r="836" spans="2:18">
      <c r="B836" s="131">
        <v>3368</v>
      </c>
      <c r="C836">
        <v>1001</v>
      </c>
      <c r="I836">
        <v>308039</v>
      </c>
      <c r="J836">
        <v>50</v>
      </c>
      <c r="K836">
        <v>0</v>
      </c>
      <c r="L836" s="126">
        <v>240443</v>
      </c>
      <c r="O836">
        <v>1004</v>
      </c>
    </row>
    <row r="837" spans="2:18">
      <c r="B837" s="131">
        <v>3369</v>
      </c>
      <c r="C837">
        <v>1001</v>
      </c>
      <c r="I837">
        <v>308040</v>
      </c>
      <c r="J837">
        <v>50</v>
      </c>
      <c r="K837">
        <v>0</v>
      </c>
      <c r="L837" s="126">
        <v>240443</v>
      </c>
      <c r="O837">
        <v>1005</v>
      </c>
    </row>
    <row r="838" spans="2:18" ht="16.5">
      <c r="B838">
        <v>3370</v>
      </c>
      <c r="C838">
        <v>1001</v>
      </c>
      <c r="D838" s="323"/>
      <c r="E838" s="9" t="s">
        <v>1838</v>
      </c>
      <c r="G838" s="77"/>
      <c r="H838" s="21"/>
      <c r="I838" s="127">
        <v>305222</v>
      </c>
      <c r="J838" s="173">
        <v>50</v>
      </c>
      <c r="K838">
        <v>0</v>
      </c>
      <c r="L838">
        <v>240506</v>
      </c>
      <c r="O838">
        <v>1001</v>
      </c>
      <c r="R838" s="8"/>
    </row>
    <row r="839" spans="2:18" ht="16.5">
      <c r="B839">
        <v>3371</v>
      </c>
      <c r="C839">
        <v>1001</v>
      </c>
      <c r="D839" s="323"/>
      <c r="E839" s="9" t="s">
        <v>1839</v>
      </c>
      <c r="G839" s="77"/>
      <c r="H839" s="21"/>
      <c r="I839" s="127">
        <v>305322</v>
      </c>
      <c r="J839" s="173">
        <v>50</v>
      </c>
      <c r="K839">
        <v>0</v>
      </c>
      <c r="L839">
        <v>240506</v>
      </c>
      <c r="O839">
        <v>1002</v>
      </c>
      <c r="R839" s="8"/>
    </row>
    <row r="840" spans="2:18" ht="16.5">
      <c r="B840">
        <v>3372</v>
      </c>
      <c r="C840">
        <v>1001</v>
      </c>
      <c r="D840" s="323"/>
      <c r="E840" s="9" t="s">
        <v>1840</v>
      </c>
      <c r="G840" s="77"/>
      <c r="H840" s="21"/>
      <c r="I840" s="127">
        <v>305620</v>
      </c>
      <c r="J840" s="173">
        <v>50</v>
      </c>
      <c r="K840" s="173">
        <v>0</v>
      </c>
      <c r="L840">
        <v>240506</v>
      </c>
      <c r="O840">
        <v>1003</v>
      </c>
      <c r="R840" s="8"/>
    </row>
    <row r="841" spans="2:18" ht="16.5">
      <c r="B841">
        <v>3373</v>
      </c>
      <c r="C841">
        <v>1001</v>
      </c>
      <c r="D841" s="323"/>
      <c r="E841" s="9" t="s">
        <v>1841</v>
      </c>
      <c r="G841" s="77"/>
      <c r="H841" s="21"/>
      <c r="I841" s="127">
        <v>306103</v>
      </c>
      <c r="J841" s="173">
        <v>50</v>
      </c>
      <c r="K841" s="173">
        <v>0</v>
      </c>
      <c r="L841">
        <v>240506</v>
      </c>
      <c r="O841">
        <v>1004</v>
      </c>
      <c r="R841" s="8"/>
    </row>
    <row r="842" spans="2:18" ht="16.5">
      <c r="B842">
        <v>3374</v>
      </c>
      <c r="C842">
        <v>1001</v>
      </c>
      <c r="D842" s="323"/>
      <c r="E842" s="198" t="s">
        <v>1978</v>
      </c>
      <c r="G842" s="77"/>
      <c r="H842" s="21"/>
      <c r="I842" s="127">
        <v>30520004</v>
      </c>
      <c r="J842" s="173">
        <v>50</v>
      </c>
      <c r="K842">
        <v>0</v>
      </c>
      <c r="L842">
        <v>240610</v>
      </c>
      <c r="O842">
        <v>1001</v>
      </c>
      <c r="R842" s="8"/>
    </row>
    <row r="843" spans="2:18" ht="16.5">
      <c r="B843">
        <v>3375</v>
      </c>
      <c r="C843">
        <v>1001</v>
      </c>
      <c r="D843" s="323"/>
      <c r="E843" s="198" t="s">
        <v>1979</v>
      </c>
      <c r="G843" s="77"/>
      <c r="H843" s="21"/>
      <c r="I843" s="127">
        <v>30530004</v>
      </c>
      <c r="J843" s="173">
        <v>50</v>
      </c>
      <c r="K843">
        <v>0</v>
      </c>
      <c r="L843">
        <v>240610</v>
      </c>
      <c r="O843">
        <v>1002</v>
      </c>
      <c r="R843" s="8"/>
    </row>
    <row r="844" spans="2:18" ht="16.5">
      <c r="B844">
        <v>3376</v>
      </c>
      <c r="C844">
        <v>1001</v>
      </c>
      <c r="D844" s="323"/>
      <c r="E844" s="268" t="s">
        <v>1980</v>
      </c>
      <c r="G844" s="77"/>
      <c r="H844" s="21"/>
      <c r="I844" s="127">
        <v>30580006</v>
      </c>
      <c r="J844" s="173">
        <v>50</v>
      </c>
      <c r="K844" s="173">
        <v>0</v>
      </c>
      <c r="L844">
        <v>240610</v>
      </c>
      <c r="O844">
        <v>1003</v>
      </c>
      <c r="R844" s="8"/>
    </row>
    <row r="845" spans="2:18" ht="16.5">
      <c r="B845">
        <v>3377</v>
      </c>
      <c r="C845">
        <v>1001</v>
      </c>
      <c r="D845" s="323"/>
      <c r="E845" s="198" t="s">
        <v>1981</v>
      </c>
      <c r="G845" s="77"/>
      <c r="H845" s="21"/>
      <c r="I845" s="127">
        <v>30505002</v>
      </c>
      <c r="J845" s="173">
        <v>50</v>
      </c>
      <c r="K845" s="173">
        <v>0</v>
      </c>
      <c r="L845">
        <v>240610</v>
      </c>
      <c r="O845">
        <v>1004</v>
      </c>
      <c r="R845" s="8"/>
    </row>
    <row r="846" spans="2:18" ht="16.5">
      <c r="B846" s="242">
        <v>3378</v>
      </c>
      <c r="C846">
        <v>1001</v>
      </c>
      <c r="D846" s="323" t="s">
        <v>1984</v>
      </c>
      <c r="E846" s="191" t="s">
        <v>1982</v>
      </c>
      <c r="G846" s="77"/>
      <c r="H846" s="21"/>
      <c r="I846" s="238">
        <v>200093</v>
      </c>
      <c r="J846">
        <v>150</v>
      </c>
      <c r="K846">
        <v>0</v>
      </c>
      <c r="M846" t="s">
        <v>1986</v>
      </c>
      <c r="O846">
        <v>543</v>
      </c>
      <c r="R846" s="8"/>
    </row>
    <row r="847" spans="2:18" ht="16.5">
      <c r="B847" s="242">
        <v>3379</v>
      </c>
      <c r="C847">
        <v>1001</v>
      </c>
      <c r="D847" s="323" t="s">
        <v>1985</v>
      </c>
      <c r="E847" s="191" t="s">
        <v>1983</v>
      </c>
      <c r="G847" s="77"/>
      <c r="H847" s="21"/>
      <c r="I847" s="238">
        <v>200094</v>
      </c>
      <c r="J847">
        <v>150</v>
      </c>
      <c r="K847">
        <v>0</v>
      </c>
      <c r="M847" t="s">
        <v>1986</v>
      </c>
      <c r="O847">
        <v>544</v>
      </c>
      <c r="R847" s="8"/>
    </row>
    <row r="848" spans="2:18" ht="16.5">
      <c r="B848">
        <v>3380</v>
      </c>
      <c r="C848">
        <v>1001</v>
      </c>
      <c r="D848" s="323"/>
      <c r="E848" s="198" t="s">
        <v>1987</v>
      </c>
      <c r="G848" s="77"/>
      <c r="H848" s="21"/>
      <c r="I848" s="127">
        <v>305622</v>
      </c>
      <c r="J848">
        <v>50</v>
      </c>
      <c r="K848">
        <v>0</v>
      </c>
      <c r="L848">
        <v>240711</v>
      </c>
      <c r="O848">
        <v>1001</v>
      </c>
      <c r="R848" s="8"/>
    </row>
    <row r="849" spans="2:18" ht="16.5">
      <c r="B849">
        <v>3381</v>
      </c>
      <c r="C849">
        <v>1001</v>
      </c>
      <c r="D849" s="323"/>
      <c r="E849" s="198" t="s">
        <v>1988</v>
      </c>
      <c r="G849" s="77"/>
      <c r="H849" s="21"/>
      <c r="I849" s="127">
        <v>305814</v>
      </c>
      <c r="J849">
        <v>50</v>
      </c>
      <c r="K849">
        <v>0</v>
      </c>
      <c r="L849">
        <v>240711</v>
      </c>
      <c r="O849">
        <v>1002</v>
      </c>
      <c r="R849" s="8"/>
    </row>
    <row r="850" spans="2:18" ht="16.5">
      <c r="B850">
        <v>3382</v>
      </c>
      <c r="C850">
        <v>1001</v>
      </c>
      <c r="D850" s="323"/>
      <c r="E850" s="198" t="s">
        <v>1989</v>
      </c>
      <c r="G850" s="77"/>
      <c r="H850" s="21"/>
      <c r="I850" s="127">
        <v>305054</v>
      </c>
      <c r="J850">
        <v>50</v>
      </c>
      <c r="K850">
        <v>0</v>
      </c>
      <c r="L850">
        <v>240711</v>
      </c>
      <c r="O850">
        <v>1003</v>
      </c>
      <c r="R850" s="8"/>
    </row>
    <row r="851" spans="2:18" ht="16.5">
      <c r="B851">
        <v>3383</v>
      </c>
      <c r="C851">
        <v>1001</v>
      </c>
      <c r="D851" s="323"/>
      <c r="E851" s="198" t="s">
        <v>1990</v>
      </c>
      <c r="G851" s="77"/>
      <c r="H851" s="21"/>
      <c r="I851" s="127">
        <v>305716</v>
      </c>
      <c r="J851">
        <v>50</v>
      </c>
      <c r="K851">
        <v>0</v>
      </c>
      <c r="L851">
        <v>240711</v>
      </c>
      <c r="O851">
        <v>1004</v>
      </c>
      <c r="R851" s="8"/>
    </row>
    <row r="852" spans="2:18" ht="16.5">
      <c r="B852">
        <v>3384</v>
      </c>
      <c r="C852">
        <v>1001</v>
      </c>
      <c r="D852" s="323"/>
      <c r="E852" s="198" t="s">
        <v>1991</v>
      </c>
      <c r="G852" s="77"/>
      <c r="H852" s="21"/>
      <c r="I852" s="127">
        <v>305552</v>
      </c>
      <c r="J852">
        <v>100</v>
      </c>
      <c r="K852">
        <v>0</v>
      </c>
      <c r="L852">
        <v>240711</v>
      </c>
      <c r="O852">
        <v>1005</v>
      </c>
      <c r="R852" s="8"/>
    </row>
    <row r="853" spans="2:18" ht="16.5">
      <c r="B853">
        <v>3385</v>
      </c>
      <c r="C853">
        <v>1001</v>
      </c>
      <c r="D853" s="323" t="s">
        <v>1993</v>
      </c>
      <c r="E853" s="191" t="s">
        <v>1992</v>
      </c>
      <c r="G853" s="77"/>
      <c r="H853" s="21"/>
      <c r="I853" s="238">
        <v>200095</v>
      </c>
      <c r="J853">
        <v>300</v>
      </c>
      <c r="K853">
        <v>0</v>
      </c>
      <c r="L853">
        <v>240820</v>
      </c>
      <c r="O853">
        <v>1</v>
      </c>
      <c r="R853" s="8"/>
    </row>
    <row r="854" spans="2:18" ht="16.5">
      <c r="B854">
        <v>3386</v>
      </c>
      <c r="C854">
        <v>1001</v>
      </c>
      <c r="D854" s="323"/>
      <c r="E854" s="198" t="s">
        <v>1998</v>
      </c>
      <c r="G854" s="77"/>
      <c r="H854" s="21"/>
      <c r="I854" s="127">
        <v>30610003</v>
      </c>
      <c r="J854">
        <v>50</v>
      </c>
      <c r="K854">
        <v>0</v>
      </c>
      <c r="L854">
        <v>240820</v>
      </c>
      <c r="O854">
        <v>1001</v>
      </c>
      <c r="R854" s="8"/>
    </row>
    <row r="855" spans="2:18" ht="16.5">
      <c r="B855">
        <v>3387</v>
      </c>
      <c r="C855">
        <v>1001</v>
      </c>
      <c r="D855" s="323"/>
      <c r="E855" s="198" t="s">
        <v>1994</v>
      </c>
      <c r="G855" s="77"/>
      <c r="H855" s="21"/>
      <c r="I855" s="127">
        <v>30505003</v>
      </c>
      <c r="J855">
        <v>50</v>
      </c>
      <c r="K855">
        <v>0</v>
      </c>
      <c r="L855">
        <v>240820</v>
      </c>
      <c r="O855">
        <v>1002</v>
      </c>
      <c r="R855" s="8"/>
    </row>
    <row r="856" spans="2:18" ht="16.5">
      <c r="B856">
        <v>3388</v>
      </c>
      <c r="C856">
        <v>1001</v>
      </c>
      <c r="D856" s="323"/>
      <c r="E856" s="198" t="s">
        <v>1995</v>
      </c>
      <c r="G856" s="77"/>
      <c r="H856" s="21"/>
      <c r="I856" s="127">
        <v>30530005</v>
      </c>
      <c r="J856">
        <v>50</v>
      </c>
      <c r="K856">
        <v>0</v>
      </c>
      <c r="L856">
        <v>240820</v>
      </c>
      <c r="O856">
        <v>1003</v>
      </c>
      <c r="R856" s="8"/>
    </row>
    <row r="857" spans="2:18" ht="16.5">
      <c r="B857">
        <v>3389</v>
      </c>
      <c r="C857">
        <v>1001</v>
      </c>
      <c r="D857" s="323"/>
      <c r="E857" s="198" t="s">
        <v>1996</v>
      </c>
      <c r="G857" s="77"/>
      <c r="H857" s="21"/>
      <c r="I857" s="127">
        <v>30520005</v>
      </c>
      <c r="J857">
        <v>50</v>
      </c>
      <c r="K857">
        <v>0</v>
      </c>
      <c r="L857">
        <v>240820</v>
      </c>
      <c r="O857">
        <v>1004</v>
      </c>
      <c r="R857" s="8"/>
    </row>
    <row r="858" spans="2:18" ht="16.5">
      <c r="B858">
        <v>3390</v>
      </c>
      <c r="C858">
        <v>1001</v>
      </c>
      <c r="D858" s="323"/>
      <c r="E858" s="198" t="s">
        <v>1997</v>
      </c>
      <c r="G858" s="77"/>
      <c r="H858" s="21"/>
      <c r="I858" s="127">
        <v>30560003</v>
      </c>
      <c r="J858">
        <v>50</v>
      </c>
      <c r="K858">
        <v>0</v>
      </c>
      <c r="L858">
        <v>240820</v>
      </c>
      <c r="O858">
        <v>1005</v>
      </c>
      <c r="R858" s="8"/>
    </row>
    <row r="859" spans="2:18" ht="16.5">
      <c r="B859" s="242">
        <v>3391</v>
      </c>
      <c r="C859" s="242">
        <v>1001</v>
      </c>
      <c r="D859" s="323" t="s">
        <v>2002</v>
      </c>
      <c r="E859" s="191" t="s">
        <v>2000</v>
      </c>
      <c r="G859" s="77"/>
      <c r="H859" s="21"/>
      <c r="I859">
        <v>200091</v>
      </c>
      <c r="J859">
        <v>150</v>
      </c>
      <c r="K859">
        <v>0</v>
      </c>
      <c r="M859" s="9" t="s">
        <v>2004</v>
      </c>
      <c r="O859">
        <v>545</v>
      </c>
      <c r="R859" s="8"/>
    </row>
    <row r="860" spans="2:18" ht="16.5">
      <c r="B860" s="242">
        <v>3392</v>
      </c>
      <c r="C860" s="242">
        <v>1001</v>
      </c>
      <c r="D860" s="323" t="s">
        <v>2003</v>
      </c>
      <c r="E860" s="191" t="s">
        <v>2001</v>
      </c>
      <c r="G860" s="77"/>
      <c r="H860" s="21"/>
      <c r="I860">
        <v>200092</v>
      </c>
      <c r="J860">
        <v>150</v>
      </c>
      <c r="K860">
        <v>0</v>
      </c>
      <c r="M860" s="9" t="s">
        <v>2004</v>
      </c>
      <c r="O860">
        <v>821</v>
      </c>
      <c r="R860" s="8"/>
    </row>
    <row r="861" spans="2:18" ht="16.5">
      <c r="B861" s="242">
        <v>3393</v>
      </c>
      <c r="C861" s="242">
        <v>1001</v>
      </c>
      <c r="D861" s="323"/>
      <c r="E861" s="198" t="s">
        <v>2005</v>
      </c>
      <c r="G861" s="77"/>
      <c r="H861" s="21"/>
      <c r="I861" s="127">
        <v>30505004</v>
      </c>
      <c r="J861">
        <v>50</v>
      </c>
      <c r="K861">
        <v>0</v>
      </c>
      <c r="L861">
        <v>241010</v>
      </c>
      <c r="O861">
        <v>1001</v>
      </c>
      <c r="R861" s="8"/>
    </row>
    <row r="862" spans="2:18" ht="16.5">
      <c r="B862" s="242">
        <v>3394</v>
      </c>
      <c r="C862" s="242">
        <v>1001</v>
      </c>
      <c r="D862" s="323"/>
      <c r="E862" s="198" t="s">
        <v>2006</v>
      </c>
      <c r="G862" s="77"/>
      <c r="H862" s="21"/>
      <c r="I862" s="127">
        <v>30550017</v>
      </c>
      <c r="J862">
        <v>100</v>
      </c>
      <c r="K862">
        <v>0</v>
      </c>
      <c r="L862">
        <v>241010</v>
      </c>
      <c r="O862">
        <v>1002</v>
      </c>
      <c r="R862" s="8"/>
    </row>
    <row r="863" spans="2:18" ht="16.5">
      <c r="B863" s="242">
        <v>3395</v>
      </c>
      <c r="C863" s="242">
        <v>1001</v>
      </c>
      <c r="D863" s="323"/>
      <c r="E863" s="198" t="s">
        <v>2007</v>
      </c>
      <c r="G863" s="77"/>
      <c r="H863" s="21"/>
      <c r="I863" s="127">
        <v>30570006</v>
      </c>
      <c r="J863">
        <v>50</v>
      </c>
      <c r="K863">
        <v>0</v>
      </c>
      <c r="L863">
        <v>241010</v>
      </c>
      <c r="O863">
        <v>1003</v>
      </c>
      <c r="R863" s="8"/>
    </row>
    <row r="864" spans="2:18" ht="16.5">
      <c r="B864" s="242">
        <v>3396</v>
      </c>
      <c r="C864" s="242">
        <v>1001</v>
      </c>
      <c r="D864" s="323"/>
      <c r="E864" s="198" t="s">
        <v>2008</v>
      </c>
      <c r="G864" s="77"/>
      <c r="H864" s="21"/>
      <c r="I864" s="127">
        <v>30580009</v>
      </c>
      <c r="J864">
        <v>50</v>
      </c>
      <c r="K864">
        <v>0</v>
      </c>
      <c r="L864">
        <v>241010</v>
      </c>
      <c r="O864">
        <v>1004</v>
      </c>
      <c r="R864" s="8"/>
    </row>
    <row r="865" spans="2:18" ht="16.5">
      <c r="B865" s="242">
        <v>3397</v>
      </c>
      <c r="C865" s="242">
        <v>1001</v>
      </c>
      <c r="D865" s="323" t="s">
        <v>2009</v>
      </c>
      <c r="E865" s="191" t="s">
        <v>2013</v>
      </c>
      <c r="H865" s="21"/>
      <c r="I865">
        <v>20000100</v>
      </c>
      <c r="J865">
        <v>150</v>
      </c>
      <c r="K865">
        <v>0</v>
      </c>
      <c r="L865">
        <v>241111</v>
      </c>
      <c r="O865">
        <v>1</v>
      </c>
      <c r="R865" s="8"/>
    </row>
    <row r="866" spans="2:18" ht="16.5">
      <c r="B866" s="242">
        <v>3398</v>
      </c>
      <c r="C866" s="242">
        <v>1001</v>
      </c>
      <c r="D866" s="323" t="s">
        <v>2010</v>
      </c>
      <c r="E866" s="191" t="s">
        <v>2014</v>
      </c>
      <c r="G866" s="77"/>
      <c r="H866" s="21"/>
      <c r="I866">
        <v>20000101</v>
      </c>
      <c r="J866">
        <v>150</v>
      </c>
      <c r="K866">
        <v>0</v>
      </c>
      <c r="L866">
        <v>241111</v>
      </c>
      <c r="O866">
        <v>2</v>
      </c>
      <c r="R866" s="8"/>
    </row>
    <row r="867" spans="2:18" ht="16.5">
      <c r="B867" s="242">
        <v>3399</v>
      </c>
      <c r="C867" s="242">
        <v>1001</v>
      </c>
      <c r="D867" s="323" t="s">
        <v>2011</v>
      </c>
      <c r="E867" s="191" t="s">
        <v>2015</v>
      </c>
      <c r="G867" s="77"/>
      <c r="H867" s="21"/>
      <c r="I867">
        <v>20000102</v>
      </c>
      <c r="J867">
        <v>150</v>
      </c>
      <c r="K867">
        <v>0</v>
      </c>
      <c r="L867">
        <v>241111</v>
      </c>
      <c r="O867">
        <v>3</v>
      </c>
      <c r="R867" s="8"/>
    </row>
    <row r="868" spans="2:18" ht="16.5">
      <c r="B868" s="242">
        <v>3400</v>
      </c>
      <c r="C868" s="242">
        <v>1001</v>
      </c>
      <c r="D868" s="323" t="s">
        <v>2012</v>
      </c>
      <c r="E868" s="191" t="s">
        <v>2016</v>
      </c>
      <c r="G868" s="77"/>
      <c r="H868" s="21"/>
      <c r="I868">
        <v>20000103</v>
      </c>
      <c r="J868">
        <v>150</v>
      </c>
      <c r="K868">
        <v>0</v>
      </c>
      <c r="L868">
        <v>241111</v>
      </c>
      <c r="O868">
        <v>4</v>
      </c>
      <c r="R868" s="8"/>
    </row>
    <row r="869" spans="2:18" ht="16.5">
      <c r="B869" s="242">
        <v>3401</v>
      </c>
      <c r="C869" s="242">
        <v>1001</v>
      </c>
      <c r="D869" s="323"/>
      <c r="E869" s="198" t="s">
        <v>2018</v>
      </c>
      <c r="G869" s="77"/>
      <c r="H869" s="21"/>
      <c r="I869" s="127">
        <v>30520007</v>
      </c>
      <c r="J869">
        <v>50</v>
      </c>
      <c r="K869">
        <v>0</v>
      </c>
      <c r="L869">
        <v>241111</v>
      </c>
      <c r="O869">
        <v>1001</v>
      </c>
      <c r="R869" s="8"/>
    </row>
    <row r="870" spans="2:18" ht="16.5">
      <c r="B870" s="242">
        <v>3402</v>
      </c>
      <c r="C870" s="242">
        <v>1001</v>
      </c>
      <c r="D870" s="323"/>
      <c r="E870" s="198" t="s">
        <v>2019</v>
      </c>
      <c r="G870" s="77"/>
      <c r="H870" s="21"/>
      <c r="I870" s="127">
        <v>30530007</v>
      </c>
      <c r="J870">
        <v>50</v>
      </c>
      <c r="K870">
        <v>0</v>
      </c>
      <c r="L870">
        <v>241111</v>
      </c>
      <c r="O870">
        <v>1002</v>
      </c>
      <c r="R870" s="8"/>
    </row>
    <row r="871" spans="2:18" ht="16.5">
      <c r="B871" s="242">
        <v>3403</v>
      </c>
      <c r="C871" s="242">
        <v>1001</v>
      </c>
      <c r="D871" s="323"/>
      <c r="E871" s="198" t="s">
        <v>2020</v>
      </c>
      <c r="G871" s="77"/>
      <c r="H871" s="21"/>
      <c r="I871" s="127">
        <v>30560005</v>
      </c>
      <c r="J871">
        <v>50</v>
      </c>
      <c r="K871">
        <v>0</v>
      </c>
      <c r="L871">
        <v>241111</v>
      </c>
      <c r="O871">
        <v>1003</v>
      </c>
      <c r="R871" s="8"/>
    </row>
    <row r="872" spans="2:18" ht="16.5">
      <c r="B872" s="242">
        <v>3404</v>
      </c>
      <c r="C872" s="242">
        <v>1001</v>
      </c>
      <c r="D872" s="323"/>
      <c r="E872" s="198" t="s">
        <v>2021</v>
      </c>
      <c r="G872" s="77"/>
      <c r="H872" s="21"/>
      <c r="I872" s="127">
        <v>30570007</v>
      </c>
      <c r="J872">
        <v>50</v>
      </c>
      <c r="K872">
        <v>0</v>
      </c>
      <c r="L872">
        <v>241111</v>
      </c>
      <c r="O872">
        <v>1004</v>
      </c>
      <c r="R872" s="8"/>
    </row>
    <row r="873" spans="2:18" ht="16.5">
      <c r="B873" s="242">
        <v>3405</v>
      </c>
      <c r="C873" s="242">
        <v>1001</v>
      </c>
      <c r="D873" s="323"/>
      <c r="E873" s="198" t="s">
        <v>2022</v>
      </c>
      <c r="G873" s="77"/>
      <c r="H873" s="21"/>
      <c r="I873" s="127">
        <v>30580011</v>
      </c>
      <c r="J873">
        <v>50</v>
      </c>
      <c r="K873">
        <v>0</v>
      </c>
      <c r="L873">
        <v>241111</v>
      </c>
      <c r="O873">
        <v>1005</v>
      </c>
      <c r="R873" s="8"/>
    </row>
    <row r="874" spans="2:18" ht="16.5">
      <c r="B874" s="242">
        <v>3406</v>
      </c>
      <c r="C874" s="242">
        <v>1001</v>
      </c>
      <c r="D874" s="323" t="s">
        <v>2044</v>
      </c>
      <c r="E874" s="191" t="s">
        <v>2041</v>
      </c>
      <c r="G874" s="77"/>
      <c r="H874" s="21"/>
      <c r="I874">
        <v>20000107</v>
      </c>
      <c r="J874">
        <v>150</v>
      </c>
      <c r="K874">
        <v>0</v>
      </c>
      <c r="M874" s="9" t="s">
        <v>2051</v>
      </c>
      <c r="O874">
        <v>546</v>
      </c>
      <c r="R874" s="8"/>
    </row>
    <row r="875" spans="2:18" ht="16.5">
      <c r="B875" s="242">
        <v>3407</v>
      </c>
      <c r="C875" s="242">
        <v>1001</v>
      </c>
      <c r="D875" s="323" t="s">
        <v>2046</v>
      </c>
      <c r="E875" s="191" t="s">
        <v>2045</v>
      </c>
      <c r="G875" s="77"/>
      <c r="H875" s="21"/>
      <c r="I875">
        <v>200096</v>
      </c>
      <c r="J875">
        <v>150</v>
      </c>
      <c r="K875">
        <v>0</v>
      </c>
      <c r="M875" s="9" t="s">
        <v>2051</v>
      </c>
      <c r="O875">
        <v>822</v>
      </c>
      <c r="R875" s="8"/>
    </row>
    <row r="876" spans="2:18" ht="16.5">
      <c r="B876" s="242">
        <v>3408</v>
      </c>
      <c r="C876" s="242">
        <v>1001</v>
      </c>
      <c r="D876" s="323"/>
      <c r="E876" s="271" t="s">
        <v>2047</v>
      </c>
      <c r="G876" s="77"/>
      <c r="H876" s="21"/>
      <c r="I876" s="127">
        <v>30520008</v>
      </c>
      <c r="J876">
        <v>50</v>
      </c>
      <c r="K876">
        <v>0</v>
      </c>
      <c r="L876">
        <v>241210</v>
      </c>
      <c r="O876">
        <v>1001</v>
      </c>
      <c r="R876" s="8"/>
    </row>
    <row r="877" spans="2:18" ht="16.5">
      <c r="B877" s="242">
        <v>3409</v>
      </c>
      <c r="C877" s="242">
        <v>1001</v>
      </c>
      <c r="D877" s="323"/>
      <c r="E877" s="272" t="s">
        <v>2048</v>
      </c>
      <c r="G877" s="77"/>
      <c r="H877" s="21"/>
      <c r="I877" s="127">
        <v>30530008</v>
      </c>
      <c r="J877">
        <v>50</v>
      </c>
      <c r="K877">
        <v>0</v>
      </c>
      <c r="L877">
        <v>241210</v>
      </c>
      <c r="O877">
        <v>1002</v>
      </c>
      <c r="R877" s="8"/>
    </row>
    <row r="878" spans="2:18" ht="16.5">
      <c r="B878" s="242">
        <v>3410</v>
      </c>
      <c r="C878" s="242">
        <v>1001</v>
      </c>
      <c r="D878" s="323"/>
      <c r="E878" s="272" t="s">
        <v>2049</v>
      </c>
      <c r="G878" s="77"/>
      <c r="H878" s="21"/>
      <c r="I878" s="127">
        <v>30580012</v>
      </c>
      <c r="J878">
        <v>50</v>
      </c>
      <c r="K878">
        <v>0</v>
      </c>
      <c r="L878">
        <v>241210</v>
      </c>
      <c r="O878">
        <v>1003</v>
      </c>
      <c r="R878" s="8"/>
    </row>
    <row r="879" spans="2:18" ht="16.5">
      <c r="B879" s="242">
        <v>3411</v>
      </c>
      <c r="C879" s="242">
        <v>1001</v>
      </c>
      <c r="D879" s="323"/>
      <c r="E879" s="272" t="s">
        <v>2050</v>
      </c>
      <c r="G879" s="77"/>
      <c r="H879" s="21"/>
      <c r="I879" s="127">
        <v>30570008</v>
      </c>
      <c r="J879">
        <v>50</v>
      </c>
      <c r="K879">
        <v>0</v>
      </c>
      <c r="L879">
        <v>241210</v>
      </c>
      <c r="O879">
        <v>1004</v>
      </c>
      <c r="R879" s="8"/>
    </row>
    <row r="880" spans="2:18" ht="16.5">
      <c r="B880" s="242">
        <v>3412</v>
      </c>
      <c r="C880" s="242">
        <v>1001</v>
      </c>
      <c r="D880" s="323" t="s">
        <v>2071</v>
      </c>
      <c r="E880" s="191" t="s">
        <v>2064</v>
      </c>
      <c r="G880" s="77"/>
      <c r="H880" s="21"/>
      <c r="I880" s="274">
        <v>200099</v>
      </c>
      <c r="J880">
        <v>150</v>
      </c>
      <c r="K880">
        <v>0</v>
      </c>
      <c r="O880">
        <v>547</v>
      </c>
      <c r="R880" s="8"/>
    </row>
    <row r="881" spans="2:18" ht="16.5">
      <c r="B881" s="242">
        <v>3413</v>
      </c>
      <c r="C881" s="242">
        <v>1001</v>
      </c>
      <c r="D881" s="323" t="s">
        <v>2072</v>
      </c>
      <c r="E881" s="191" t="s">
        <v>2065</v>
      </c>
      <c r="G881" s="77"/>
      <c r="H881" s="21"/>
      <c r="I881" s="274">
        <v>200098</v>
      </c>
      <c r="J881">
        <v>150</v>
      </c>
      <c r="K881">
        <v>0</v>
      </c>
      <c r="O881">
        <v>548</v>
      </c>
      <c r="R881" s="8"/>
    </row>
    <row r="882" spans="2:18" ht="16.5">
      <c r="B882" s="242">
        <v>3414</v>
      </c>
      <c r="C882" s="242">
        <v>1001</v>
      </c>
      <c r="D882" s="323"/>
      <c r="E882" s="272" t="s">
        <v>2066</v>
      </c>
      <c r="G882" s="77"/>
      <c r="H882" s="21"/>
      <c r="I882" s="127">
        <v>30580015</v>
      </c>
      <c r="J882">
        <v>50</v>
      </c>
      <c r="K882">
        <v>0</v>
      </c>
      <c r="L882">
        <v>250121</v>
      </c>
      <c r="O882">
        <v>1001</v>
      </c>
      <c r="R882" s="8"/>
    </row>
    <row r="883" spans="2:18" ht="16.5">
      <c r="B883" s="242">
        <v>3415</v>
      </c>
      <c r="C883" s="242">
        <v>1001</v>
      </c>
      <c r="D883" s="323"/>
      <c r="E883" s="272" t="s">
        <v>2067</v>
      </c>
      <c r="G883" s="77"/>
      <c r="H883" s="21"/>
      <c r="I883" s="127">
        <v>30570009</v>
      </c>
      <c r="J883">
        <v>50</v>
      </c>
      <c r="K883">
        <v>0</v>
      </c>
      <c r="L883">
        <v>250121</v>
      </c>
      <c r="O883">
        <v>1002</v>
      </c>
      <c r="R883" s="8"/>
    </row>
    <row r="884" spans="2:18" ht="16.5">
      <c r="B884" s="242">
        <v>3416</v>
      </c>
      <c r="C884" s="242">
        <v>1001</v>
      </c>
      <c r="D884" s="323"/>
      <c r="E884" s="272" t="s">
        <v>2068</v>
      </c>
      <c r="G884" s="77"/>
      <c r="H884" s="21"/>
      <c r="I884" s="127">
        <v>30560007</v>
      </c>
      <c r="J884">
        <v>50</v>
      </c>
      <c r="K884">
        <v>0</v>
      </c>
      <c r="L884">
        <v>250121</v>
      </c>
      <c r="O884">
        <v>1003</v>
      </c>
      <c r="R884" s="8"/>
    </row>
    <row r="885" spans="2:18" ht="16.5">
      <c r="B885" s="242">
        <v>3417</v>
      </c>
      <c r="C885" s="242">
        <v>1001</v>
      </c>
      <c r="D885" s="323"/>
      <c r="E885" s="272" t="s">
        <v>2069</v>
      </c>
      <c r="G885" s="77"/>
      <c r="H885" s="21"/>
      <c r="I885" s="127">
        <v>30505005</v>
      </c>
      <c r="J885">
        <v>50</v>
      </c>
      <c r="K885">
        <v>0</v>
      </c>
      <c r="L885">
        <v>250121</v>
      </c>
      <c r="O885">
        <v>1004</v>
      </c>
      <c r="R885" s="8"/>
    </row>
    <row r="886" spans="2:18" ht="16.5">
      <c r="B886" s="242">
        <v>3418</v>
      </c>
      <c r="C886" s="242">
        <v>1001</v>
      </c>
      <c r="D886" s="323"/>
      <c r="E886" s="272" t="s">
        <v>2070</v>
      </c>
      <c r="G886" s="77"/>
      <c r="H886" s="21"/>
      <c r="I886" s="127">
        <v>30550022</v>
      </c>
      <c r="J886">
        <v>100</v>
      </c>
      <c r="K886">
        <v>0</v>
      </c>
      <c r="L886">
        <v>250121</v>
      </c>
      <c r="O886">
        <v>1005</v>
      </c>
      <c r="R886" s="8"/>
    </row>
    <row r="887" spans="2:18" ht="16.5">
      <c r="B887" s="242">
        <v>3419</v>
      </c>
      <c r="C887" s="242">
        <v>1001</v>
      </c>
      <c r="D887" s="323"/>
      <c r="E887" s="272" t="s">
        <v>2073</v>
      </c>
      <c r="G887" s="77"/>
      <c r="H887" s="21"/>
      <c r="I887" s="127">
        <v>30580002</v>
      </c>
      <c r="J887">
        <v>50</v>
      </c>
      <c r="K887">
        <v>0</v>
      </c>
      <c r="L887">
        <v>250211</v>
      </c>
      <c r="O887">
        <v>1001</v>
      </c>
      <c r="R887" s="8"/>
    </row>
    <row r="888" spans="2:18" ht="16.5">
      <c r="B888" s="242">
        <v>3420</v>
      </c>
      <c r="C888" s="242">
        <v>1001</v>
      </c>
      <c r="D888" s="323"/>
      <c r="E888" s="272" t="s">
        <v>2074</v>
      </c>
      <c r="G888" s="77"/>
      <c r="H888" s="21"/>
      <c r="I888" s="127">
        <v>30570001</v>
      </c>
      <c r="J888">
        <v>50</v>
      </c>
      <c r="K888">
        <v>0</v>
      </c>
      <c r="L888">
        <v>250211</v>
      </c>
      <c r="O888">
        <v>1002</v>
      </c>
      <c r="R888" s="8"/>
    </row>
    <row r="889" spans="2:18" ht="16.5">
      <c r="B889" s="242">
        <v>3421</v>
      </c>
      <c r="C889" s="242">
        <v>1001</v>
      </c>
      <c r="D889" s="323"/>
      <c r="E889" s="272" t="s">
        <v>2075</v>
      </c>
      <c r="G889" s="77"/>
      <c r="H889" s="21"/>
      <c r="I889" s="127">
        <v>30530002</v>
      </c>
      <c r="J889">
        <v>50</v>
      </c>
      <c r="K889">
        <v>0</v>
      </c>
      <c r="L889">
        <v>250211</v>
      </c>
      <c r="O889">
        <v>1003</v>
      </c>
      <c r="R889" s="8"/>
    </row>
    <row r="890" spans="2:18" ht="16.5">
      <c r="B890" s="242">
        <v>3422</v>
      </c>
      <c r="C890" s="242">
        <v>1001</v>
      </c>
      <c r="D890" s="323"/>
      <c r="E890" s="272" t="s">
        <v>2076</v>
      </c>
      <c r="G890" s="77"/>
      <c r="H890" s="21"/>
      <c r="I890" s="127">
        <v>30520002</v>
      </c>
      <c r="J890">
        <v>50</v>
      </c>
      <c r="K890">
        <v>0</v>
      </c>
      <c r="L890">
        <v>250211</v>
      </c>
      <c r="O890">
        <v>1004</v>
      </c>
      <c r="R890" s="8"/>
    </row>
    <row r="891" spans="2:18" ht="16.5">
      <c r="B891" s="242">
        <v>3423</v>
      </c>
      <c r="C891" s="242">
        <v>1001</v>
      </c>
      <c r="D891" s="323"/>
      <c r="E891" s="272" t="s">
        <v>2077</v>
      </c>
      <c r="G891" s="77"/>
      <c r="H891" s="21"/>
      <c r="I891" s="127">
        <v>30505001</v>
      </c>
      <c r="J891">
        <v>50</v>
      </c>
      <c r="K891">
        <v>0</v>
      </c>
      <c r="L891">
        <v>250211</v>
      </c>
      <c r="O891">
        <v>1005</v>
      </c>
      <c r="R891" s="8"/>
    </row>
    <row r="892" spans="2:18" ht="16.5">
      <c r="B892" s="242">
        <v>3424</v>
      </c>
      <c r="C892" s="242">
        <v>1001</v>
      </c>
      <c r="D892" s="323"/>
      <c r="E892" s="272" t="s">
        <v>2078</v>
      </c>
      <c r="G892" s="77"/>
      <c r="H892" s="21"/>
      <c r="I892" s="127">
        <v>30580003</v>
      </c>
      <c r="J892">
        <v>50</v>
      </c>
      <c r="K892">
        <v>0</v>
      </c>
      <c r="L892">
        <v>250311</v>
      </c>
      <c r="O892">
        <v>1001</v>
      </c>
      <c r="R892" s="8"/>
    </row>
    <row r="893" spans="2:18" ht="16.5">
      <c r="B893" s="242">
        <v>3425</v>
      </c>
      <c r="C893" s="242">
        <v>1001</v>
      </c>
      <c r="D893" s="323"/>
      <c r="E893" s="272" t="s">
        <v>2079</v>
      </c>
      <c r="G893" s="77"/>
      <c r="H893" s="21"/>
      <c r="I893" s="127">
        <v>30570002</v>
      </c>
      <c r="J893">
        <v>50</v>
      </c>
      <c r="K893">
        <v>0</v>
      </c>
      <c r="L893">
        <v>250311</v>
      </c>
      <c r="O893">
        <v>1002</v>
      </c>
      <c r="R893" s="8"/>
    </row>
    <row r="894" spans="2:18" ht="16.5">
      <c r="B894" s="242">
        <v>3426</v>
      </c>
      <c r="C894" s="242">
        <v>1001</v>
      </c>
      <c r="D894" s="323"/>
      <c r="E894" s="272" t="s">
        <v>2080</v>
      </c>
      <c r="G894" s="77"/>
      <c r="H894" s="21"/>
      <c r="I894" s="127">
        <v>30560002</v>
      </c>
      <c r="J894">
        <v>50</v>
      </c>
      <c r="K894">
        <v>0</v>
      </c>
      <c r="L894">
        <v>250311</v>
      </c>
      <c r="O894">
        <v>1003</v>
      </c>
      <c r="R894" s="8"/>
    </row>
    <row r="895" spans="2:18" ht="16.5">
      <c r="B895" s="242">
        <v>3427</v>
      </c>
      <c r="C895" s="242">
        <v>1001</v>
      </c>
      <c r="D895" s="323"/>
      <c r="E895" s="272" t="s">
        <v>2081</v>
      </c>
      <c r="G895" s="77"/>
      <c r="H895" s="21"/>
      <c r="I895" s="127">
        <v>30530003</v>
      </c>
      <c r="J895">
        <v>50</v>
      </c>
      <c r="K895">
        <v>0</v>
      </c>
      <c r="L895">
        <v>250311</v>
      </c>
      <c r="O895">
        <v>1004</v>
      </c>
      <c r="R895" s="8"/>
    </row>
    <row r="896" spans="2:18" ht="16.5">
      <c r="B896" s="242">
        <v>3428</v>
      </c>
      <c r="C896" s="242">
        <v>1001</v>
      </c>
      <c r="D896" s="323"/>
      <c r="E896" s="272" t="s">
        <v>2082</v>
      </c>
      <c r="G896" s="77"/>
      <c r="H896" s="21"/>
      <c r="I896" s="127">
        <v>30520003</v>
      </c>
      <c r="J896">
        <v>50</v>
      </c>
      <c r="K896">
        <v>0</v>
      </c>
      <c r="L896">
        <v>250311</v>
      </c>
      <c r="O896">
        <v>1005</v>
      </c>
      <c r="R896" s="8"/>
    </row>
    <row r="897" spans="2:18" ht="16.5">
      <c r="B897" s="242">
        <v>3429</v>
      </c>
      <c r="C897" s="242">
        <v>1001</v>
      </c>
      <c r="D897" s="323"/>
      <c r="E897" s="9" t="s">
        <v>2083</v>
      </c>
      <c r="G897" s="77"/>
      <c r="H897" s="21"/>
      <c r="I897" s="127">
        <v>20000108</v>
      </c>
      <c r="J897">
        <v>150</v>
      </c>
      <c r="K897">
        <v>0</v>
      </c>
      <c r="L897">
        <v>250421</v>
      </c>
      <c r="O897">
        <v>1</v>
      </c>
      <c r="R897" s="8"/>
    </row>
    <row r="898" spans="2:18" ht="16.5">
      <c r="B898" s="242">
        <v>3430</v>
      </c>
      <c r="C898" s="242">
        <v>1001</v>
      </c>
      <c r="D898" s="323"/>
      <c r="E898" s="9" t="s">
        <v>2084</v>
      </c>
      <c r="G898" s="77"/>
      <c r="H898" s="21"/>
      <c r="I898" s="127">
        <v>20000109</v>
      </c>
      <c r="J898">
        <v>150</v>
      </c>
      <c r="K898">
        <v>0</v>
      </c>
      <c r="L898">
        <v>250421</v>
      </c>
      <c r="O898">
        <v>2</v>
      </c>
      <c r="R898" s="8"/>
    </row>
    <row r="899" spans="2:18" ht="16.5">
      <c r="B899" s="242">
        <v>3431</v>
      </c>
      <c r="C899" s="242">
        <v>1001</v>
      </c>
      <c r="D899" s="323"/>
      <c r="E899" s="9" t="s">
        <v>2085</v>
      </c>
      <c r="G899" s="77"/>
      <c r="H899" s="21"/>
      <c r="I899" s="127">
        <v>20000110</v>
      </c>
      <c r="J899">
        <v>150</v>
      </c>
      <c r="K899">
        <v>0</v>
      </c>
      <c r="L899">
        <v>250421</v>
      </c>
      <c r="O899">
        <v>3</v>
      </c>
      <c r="R899" s="8"/>
    </row>
    <row r="900" spans="2:18" ht="16.5">
      <c r="B900" s="242">
        <v>3432</v>
      </c>
      <c r="C900" s="242">
        <v>1001</v>
      </c>
      <c r="D900" s="323"/>
      <c r="E900" s="9" t="s">
        <v>2086</v>
      </c>
      <c r="G900" s="77"/>
      <c r="H900" s="21"/>
      <c r="I900" s="127">
        <v>20000111</v>
      </c>
      <c r="J900">
        <v>150</v>
      </c>
      <c r="K900">
        <v>0</v>
      </c>
      <c r="L900">
        <v>250421</v>
      </c>
      <c r="O900">
        <v>4</v>
      </c>
      <c r="R900" s="8"/>
    </row>
    <row r="901" spans="2:18" ht="16.5">
      <c r="B901" s="242">
        <v>3433</v>
      </c>
      <c r="C901" s="242">
        <v>1001</v>
      </c>
      <c r="D901" s="323"/>
      <c r="E901" s="9" t="s">
        <v>2087</v>
      </c>
      <c r="G901" s="77"/>
      <c r="H901" s="21"/>
      <c r="I901" s="127">
        <v>308041</v>
      </c>
      <c r="J901">
        <v>50</v>
      </c>
      <c r="K901">
        <v>0</v>
      </c>
      <c r="L901">
        <v>250421</v>
      </c>
      <c r="O901">
        <v>1001</v>
      </c>
      <c r="R901" s="8"/>
    </row>
    <row r="902" spans="2:18" ht="16.5">
      <c r="B902" s="242">
        <v>3434</v>
      </c>
      <c r="C902" s="242">
        <v>1001</v>
      </c>
      <c r="D902" s="323"/>
      <c r="E902" s="9" t="s">
        <v>2088</v>
      </c>
      <c r="G902" s="77"/>
      <c r="H902" s="21"/>
      <c r="I902" s="127">
        <v>308042</v>
      </c>
      <c r="J902">
        <v>50</v>
      </c>
      <c r="K902">
        <v>0</v>
      </c>
      <c r="L902">
        <v>250421</v>
      </c>
      <c r="O902">
        <v>1002</v>
      </c>
      <c r="R902" s="8"/>
    </row>
    <row r="903" spans="2:18" ht="16.5">
      <c r="B903" s="242">
        <v>3435</v>
      </c>
      <c r="C903" s="242">
        <v>1001</v>
      </c>
      <c r="D903" s="323"/>
      <c r="E903" s="9" t="s">
        <v>2089</v>
      </c>
      <c r="G903" s="77"/>
      <c r="H903" s="21"/>
      <c r="I903" s="127">
        <v>308043</v>
      </c>
      <c r="J903">
        <v>50</v>
      </c>
      <c r="K903">
        <v>0</v>
      </c>
      <c r="L903">
        <v>250421</v>
      </c>
      <c r="O903">
        <v>1003</v>
      </c>
      <c r="R903" s="8"/>
    </row>
    <row r="904" spans="2:18" ht="16.5">
      <c r="B904" s="242">
        <v>3436</v>
      </c>
      <c r="C904" s="242">
        <v>1001</v>
      </c>
      <c r="D904" s="323"/>
      <c r="E904" s="9" t="s">
        <v>2090</v>
      </c>
      <c r="G904" s="77"/>
      <c r="H904" s="21"/>
      <c r="I904" s="127">
        <v>308044</v>
      </c>
      <c r="J904">
        <v>50</v>
      </c>
      <c r="K904">
        <v>0</v>
      </c>
      <c r="L904">
        <v>250421</v>
      </c>
      <c r="O904">
        <v>1004</v>
      </c>
      <c r="R904" s="8"/>
    </row>
    <row r="905" spans="2:18" ht="16.5">
      <c r="B905" s="242">
        <v>3437</v>
      </c>
      <c r="C905" s="242">
        <v>1001</v>
      </c>
      <c r="D905" s="323"/>
      <c r="E905" s="9" t="s">
        <v>2091</v>
      </c>
      <c r="G905" s="77"/>
      <c r="H905" s="21"/>
      <c r="I905" s="127">
        <v>308045</v>
      </c>
      <c r="J905">
        <v>50</v>
      </c>
      <c r="K905">
        <v>0</v>
      </c>
      <c r="L905">
        <v>250421</v>
      </c>
      <c r="O905">
        <v>1005</v>
      </c>
      <c r="R905" s="8"/>
    </row>
    <row r="906" spans="2:18" ht="16.5">
      <c r="B906" s="242">
        <v>3438</v>
      </c>
      <c r="C906" s="242">
        <v>1001</v>
      </c>
      <c r="D906" s="323"/>
      <c r="E906" s="198" t="s">
        <v>1978</v>
      </c>
      <c r="G906" s="77"/>
      <c r="H906" s="21"/>
      <c r="I906" s="127">
        <v>30520004</v>
      </c>
      <c r="J906">
        <v>50</v>
      </c>
      <c r="K906">
        <v>0</v>
      </c>
      <c r="L906">
        <v>250511</v>
      </c>
      <c r="O906">
        <v>1001</v>
      </c>
      <c r="R906" s="8"/>
    </row>
    <row r="907" spans="2:18" ht="16.5">
      <c r="B907" s="242">
        <v>3439</v>
      </c>
      <c r="C907" s="242">
        <v>1001</v>
      </c>
      <c r="D907" s="323"/>
      <c r="E907" s="198" t="s">
        <v>1979</v>
      </c>
      <c r="G907" s="77"/>
      <c r="H907" s="21"/>
      <c r="I907" s="127">
        <v>30530004</v>
      </c>
      <c r="J907">
        <v>50</v>
      </c>
      <c r="K907">
        <v>0</v>
      </c>
      <c r="L907">
        <v>250511</v>
      </c>
      <c r="O907">
        <v>1002</v>
      </c>
      <c r="R907" s="8"/>
    </row>
    <row r="908" spans="2:18" ht="16.5">
      <c r="B908" s="242">
        <v>3440</v>
      </c>
      <c r="C908" s="242">
        <v>1001</v>
      </c>
      <c r="D908" s="323"/>
      <c r="E908" s="268" t="s">
        <v>1980</v>
      </c>
      <c r="G908" s="77"/>
      <c r="H908" s="21"/>
      <c r="I908" s="127">
        <v>30580006</v>
      </c>
      <c r="J908">
        <v>50</v>
      </c>
      <c r="K908">
        <v>0</v>
      </c>
      <c r="L908">
        <v>250511</v>
      </c>
      <c r="O908">
        <v>1003</v>
      </c>
      <c r="R908" s="8"/>
    </row>
    <row r="909" spans="2:18" ht="16.5">
      <c r="B909" s="242">
        <v>3441</v>
      </c>
      <c r="C909" s="242">
        <v>1001</v>
      </c>
      <c r="D909" s="323"/>
      <c r="E909" s="198" t="s">
        <v>1981</v>
      </c>
      <c r="G909" s="77"/>
      <c r="H909" s="21"/>
      <c r="I909" s="127">
        <v>30505002</v>
      </c>
      <c r="J909">
        <v>50</v>
      </c>
      <c r="K909">
        <v>0</v>
      </c>
      <c r="L909">
        <v>250511</v>
      </c>
      <c r="O909">
        <v>1004</v>
      </c>
      <c r="R909" s="8"/>
    </row>
    <row r="910" spans="2:18" ht="16.5">
      <c r="B910" s="242">
        <v>3442</v>
      </c>
      <c r="C910" s="242">
        <v>1001</v>
      </c>
      <c r="D910" s="323"/>
      <c r="E910" s="191" t="s">
        <v>2093</v>
      </c>
      <c r="G910" s="77"/>
      <c r="H910" s="21"/>
      <c r="I910" s="127">
        <v>20000106</v>
      </c>
      <c r="J910">
        <v>150</v>
      </c>
      <c r="K910">
        <v>0</v>
      </c>
      <c r="M910" s="9" t="s">
        <v>2110</v>
      </c>
      <c r="O910">
        <v>549</v>
      </c>
      <c r="R910" s="8"/>
    </row>
    <row r="911" spans="2:18" ht="16.5">
      <c r="B911" s="242">
        <v>3443</v>
      </c>
      <c r="C911" s="242">
        <v>1001</v>
      </c>
      <c r="D911" s="323"/>
      <c r="E911" s="191" t="s">
        <v>2095</v>
      </c>
      <c r="G911" s="77"/>
      <c r="H911" s="21"/>
      <c r="I911" s="127">
        <v>200097</v>
      </c>
      <c r="J911">
        <v>150</v>
      </c>
      <c r="K911">
        <v>0</v>
      </c>
      <c r="M911" s="9" t="s">
        <v>2110</v>
      </c>
      <c r="O911">
        <v>823</v>
      </c>
      <c r="R911" s="8"/>
    </row>
    <row r="912" spans="2:18" ht="16.5">
      <c r="B912" s="242">
        <v>3444</v>
      </c>
      <c r="C912" s="242">
        <v>1001</v>
      </c>
      <c r="D912" s="323"/>
      <c r="E912" s="280" t="s">
        <v>2099</v>
      </c>
      <c r="G912" s="77"/>
      <c r="H912" s="21"/>
      <c r="I912" s="127">
        <v>30560008</v>
      </c>
      <c r="J912">
        <v>50</v>
      </c>
      <c r="K912">
        <v>0</v>
      </c>
      <c r="L912">
        <v>250611</v>
      </c>
      <c r="O912">
        <v>1001</v>
      </c>
      <c r="R912" s="8"/>
    </row>
    <row r="913" spans="2:18" ht="16.5">
      <c r="B913" s="242">
        <v>3445</v>
      </c>
      <c r="C913" s="242">
        <v>1001</v>
      </c>
      <c r="D913" s="323"/>
      <c r="E913" s="280" t="s">
        <v>2098</v>
      </c>
      <c r="G913" s="77"/>
      <c r="H913" s="21"/>
      <c r="I913" s="127">
        <v>30580019</v>
      </c>
      <c r="J913">
        <v>50</v>
      </c>
      <c r="K913">
        <v>0</v>
      </c>
      <c r="L913">
        <v>250611</v>
      </c>
      <c r="O913">
        <v>1002</v>
      </c>
      <c r="R913" s="8"/>
    </row>
    <row r="914" spans="2:18" ht="16.5">
      <c r="B914" s="242">
        <v>3446</v>
      </c>
      <c r="C914" s="242">
        <v>1001</v>
      </c>
      <c r="D914" s="323"/>
      <c r="E914" s="280" t="s">
        <v>2097</v>
      </c>
      <c r="G914" s="77"/>
      <c r="H914" s="21"/>
      <c r="I914" s="127">
        <v>30570010</v>
      </c>
      <c r="J914">
        <v>50</v>
      </c>
      <c r="K914">
        <v>0</v>
      </c>
      <c r="L914">
        <v>250611</v>
      </c>
      <c r="O914">
        <v>1003</v>
      </c>
      <c r="R914" s="8"/>
    </row>
    <row r="915" spans="2:18" ht="16.5">
      <c r="B915" s="242">
        <v>3447</v>
      </c>
      <c r="C915" s="242">
        <v>1001</v>
      </c>
      <c r="D915" s="323"/>
      <c r="E915" s="198" t="s">
        <v>2096</v>
      </c>
      <c r="G915" s="77"/>
      <c r="H915" s="21"/>
      <c r="I915" s="127">
        <v>30610006</v>
      </c>
      <c r="J915">
        <v>50</v>
      </c>
      <c r="K915">
        <v>0</v>
      </c>
      <c r="L915">
        <v>250611</v>
      </c>
      <c r="O915">
        <v>1004</v>
      </c>
      <c r="R915" s="8"/>
    </row>
    <row r="916" spans="2:18" ht="16.5">
      <c r="B916" s="242">
        <v>3448</v>
      </c>
      <c r="C916" s="242">
        <v>1001</v>
      </c>
      <c r="D916" s="323"/>
      <c r="E916" s="198" t="s">
        <v>2111</v>
      </c>
      <c r="G916" s="77"/>
      <c r="H916" s="21"/>
      <c r="I916" s="127">
        <v>30610003</v>
      </c>
      <c r="J916">
        <v>50</v>
      </c>
      <c r="K916">
        <v>0</v>
      </c>
      <c r="L916">
        <v>250711</v>
      </c>
      <c r="O916">
        <v>1001</v>
      </c>
      <c r="R916" s="8"/>
    </row>
    <row r="917" spans="2:18" ht="16.5">
      <c r="B917" s="242">
        <v>3449</v>
      </c>
      <c r="C917" s="242">
        <v>1001</v>
      </c>
      <c r="D917" s="323"/>
      <c r="E917" s="198" t="s">
        <v>2112</v>
      </c>
      <c r="G917" s="77"/>
      <c r="H917" s="21"/>
      <c r="I917" s="127">
        <v>30505003</v>
      </c>
      <c r="J917">
        <v>50</v>
      </c>
      <c r="K917">
        <v>0</v>
      </c>
      <c r="L917">
        <v>250711</v>
      </c>
      <c r="O917">
        <v>1002</v>
      </c>
      <c r="R917" s="8"/>
    </row>
    <row r="918" spans="2:18" ht="16.5">
      <c r="B918" s="242">
        <v>3450</v>
      </c>
      <c r="C918" s="242">
        <v>1001</v>
      </c>
      <c r="D918" s="323"/>
      <c r="E918" s="198" t="s">
        <v>2113</v>
      </c>
      <c r="G918" s="77"/>
      <c r="H918" s="21"/>
      <c r="I918" s="127">
        <v>30530005</v>
      </c>
      <c r="J918">
        <v>50</v>
      </c>
      <c r="K918">
        <v>0</v>
      </c>
      <c r="L918">
        <v>250711</v>
      </c>
      <c r="O918">
        <v>1003</v>
      </c>
      <c r="R918" s="8"/>
    </row>
    <row r="919" spans="2:18" ht="16.5">
      <c r="B919" s="242">
        <v>3451</v>
      </c>
      <c r="C919" s="242">
        <v>1001</v>
      </c>
      <c r="D919" s="323"/>
      <c r="E919" s="198" t="s">
        <v>2114</v>
      </c>
      <c r="G919" s="77"/>
      <c r="H919" s="21"/>
      <c r="I919" s="127">
        <v>30520005</v>
      </c>
      <c r="J919">
        <v>50</v>
      </c>
      <c r="K919">
        <v>0</v>
      </c>
      <c r="L919">
        <v>250711</v>
      </c>
      <c r="O919">
        <v>1004</v>
      </c>
      <c r="R919" s="8"/>
    </row>
    <row r="920" spans="2:18" ht="16.5">
      <c r="B920" s="242">
        <v>3452</v>
      </c>
      <c r="C920" s="242">
        <v>1001</v>
      </c>
      <c r="D920" s="323"/>
      <c r="E920" s="198" t="s">
        <v>2115</v>
      </c>
      <c r="G920" s="77"/>
      <c r="H920" s="21"/>
      <c r="I920" s="127">
        <v>30560003</v>
      </c>
      <c r="J920">
        <v>50</v>
      </c>
      <c r="K920">
        <v>0</v>
      </c>
      <c r="L920">
        <v>250711</v>
      </c>
      <c r="O920">
        <v>1005</v>
      </c>
      <c r="R920" s="8"/>
    </row>
    <row r="921" spans="2:18" ht="16.5">
      <c r="B921" s="242">
        <v>3453</v>
      </c>
      <c r="C921" s="242">
        <v>1001</v>
      </c>
      <c r="D921" s="323"/>
      <c r="E921" s="191" t="s">
        <v>2116</v>
      </c>
      <c r="G921" s="77"/>
      <c r="H921" s="21"/>
      <c r="I921" s="238">
        <v>20000112</v>
      </c>
      <c r="J921">
        <v>300</v>
      </c>
      <c r="K921">
        <v>0</v>
      </c>
      <c r="L921">
        <v>250831</v>
      </c>
      <c r="O921">
        <v>1</v>
      </c>
      <c r="R921" s="8"/>
    </row>
    <row r="922" spans="2:18" ht="16.5">
      <c r="B922" s="242">
        <v>3454</v>
      </c>
      <c r="C922" s="242">
        <v>1001</v>
      </c>
      <c r="D922" s="323"/>
      <c r="E922" s="198" t="s">
        <v>2117</v>
      </c>
      <c r="G922" s="77"/>
      <c r="H922" s="21"/>
      <c r="I922" s="127">
        <v>30530010</v>
      </c>
      <c r="J922">
        <v>50</v>
      </c>
      <c r="K922">
        <v>0</v>
      </c>
      <c r="L922">
        <v>250831</v>
      </c>
      <c r="O922">
        <v>1001</v>
      </c>
      <c r="R922" s="8"/>
    </row>
    <row r="923" spans="2:18" ht="16.5">
      <c r="B923" s="242">
        <v>3455</v>
      </c>
      <c r="C923" s="242">
        <v>1001</v>
      </c>
      <c r="D923" s="323"/>
      <c r="E923" s="198" t="s">
        <v>2118</v>
      </c>
      <c r="G923" s="77"/>
      <c r="H923" s="21"/>
      <c r="I923" s="127">
        <v>30520010</v>
      </c>
      <c r="J923">
        <v>50</v>
      </c>
      <c r="K923">
        <v>0</v>
      </c>
      <c r="L923">
        <v>250831</v>
      </c>
      <c r="O923">
        <v>1002</v>
      </c>
      <c r="R923" s="8"/>
    </row>
    <row r="924" spans="2:18" ht="16.5">
      <c r="B924" s="242">
        <v>3456</v>
      </c>
      <c r="C924" s="242">
        <v>1001</v>
      </c>
      <c r="D924" s="323"/>
      <c r="E924" s="198" t="s">
        <v>2119</v>
      </c>
      <c r="G924" s="77"/>
      <c r="H924" s="21"/>
      <c r="I924" s="127">
        <v>30580020</v>
      </c>
      <c r="J924">
        <v>50</v>
      </c>
      <c r="K924">
        <v>0</v>
      </c>
      <c r="L924">
        <v>250831</v>
      </c>
      <c r="O924">
        <v>1003</v>
      </c>
      <c r="R924" s="8"/>
    </row>
    <row r="925" spans="2:18" ht="16.5">
      <c r="B925" s="242">
        <v>3457</v>
      </c>
      <c r="C925" s="242">
        <v>1001</v>
      </c>
      <c r="D925" s="323"/>
      <c r="E925" s="198" t="s">
        <v>2120</v>
      </c>
      <c r="G925" s="77"/>
      <c r="H925" s="21"/>
      <c r="I925" s="127">
        <v>30570012</v>
      </c>
      <c r="J925">
        <v>50</v>
      </c>
      <c r="K925">
        <v>0</v>
      </c>
      <c r="L925">
        <v>250831</v>
      </c>
      <c r="O925">
        <v>1004</v>
      </c>
      <c r="R925" s="8"/>
    </row>
    <row r="926" spans="2:18" ht="16.5">
      <c r="B926" s="242">
        <v>3458</v>
      </c>
      <c r="C926" s="242">
        <v>1001</v>
      </c>
      <c r="D926" s="323"/>
      <c r="E926" s="198" t="s">
        <v>2121</v>
      </c>
      <c r="G926" s="77"/>
      <c r="H926" s="21"/>
      <c r="I926" s="127">
        <v>30560009</v>
      </c>
      <c r="J926">
        <v>50</v>
      </c>
      <c r="K926">
        <v>0</v>
      </c>
      <c r="L926">
        <v>250831</v>
      </c>
      <c r="O926">
        <v>1005</v>
      </c>
      <c r="R926" s="8"/>
    </row>
    <row r="927" spans="2:18" ht="16.5">
      <c r="B927" s="242">
        <v>3459</v>
      </c>
      <c r="C927" s="242">
        <v>1001</v>
      </c>
      <c r="D927" s="323"/>
      <c r="E927" s="198" t="s">
        <v>2005</v>
      </c>
      <c r="G927" s="77"/>
      <c r="H927" s="21"/>
      <c r="I927" s="127">
        <v>30505004</v>
      </c>
      <c r="J927">
        <v>50</v>
      </c>
      <c r="K927">
        <v>0</v>
      </c>
      <c r="L927">
        <v>250911</v>
      </c>
      <c r="O927">
        <v>1001</v>
      </c>
      <c r="R927" s="8"/>
    </row>
    <row r="928" spans="2:18" ht="16.5">
      <c r="B928" s="242">
        <v>3460</v>
      </c>
      <c r="C928" s="242">
        <v>1001</v>
      </c>
      <c r="D928" s="323"/>
      <c r="E928" s="198" t="s">
        <v>2006</v>
      </c>
      <c r="G928" s="77"/>
      <c r="H928" s="21"/>
      <c r="I928" s="127">
        <v>30550017</v>
      </c>
      <c r="J928">
        <v>100</v>
      </c>
      <c r="K928">
        <v>0</v>
      </c>
      <c r="L928">
        <v>250911</v>
      </c>
      <c r="O928">
        <v>1002</v>
      </c>
      <c r="R928" s="8"/>
    </row>
    <row r="929" spans="2:18" ht="16.5">
      <c r="B929" s="242">
        <v>3461</v>
      </c>
      <c r="C929" s="242">
        <v>1001</v>
      </c>
      <c r="D929" s="323"/>
      <c r="E929" s="198" t="s">
        <v>2007</v>
      </c>
      <c r="G929" s="77"/>
      <c r="H929" s="21"/>
      <c r="I929" s="127">
        <v>30570006</v>
      </c>
      <c r="J929">
        <v>50</v>
      </c>
      <c r="K929">
        <v>0</v>
      </c>
      <c r="L929">
        <v>250911</v>
      </c>
      <c r="O929">
        <v>1003</v>
      </c>
      <c r="R929" s="8"/>
    </row>
    <row r="930" spans="2:18" ht="16.5">
      <c r="B930" s="242">
        <v>3462</v>
      </c>
      <c r="C930" s="242">
        <v>1001</v>
      </c>
      <c r="D930" s="323"/>
      <c r="E930" s="198" t="s">
        <v>2008</v>
      </c>
      <c r="G930" s="77"/>
      <c r="H930" s="21"/>
      <c r="I930" s="127">
        <v>30580009</v>
      </c>
      <c r="J930">
        <v>50</v>
      </c>
      <c r="K930">
        <v>0</v>
      </c>
      <c r="L930">
        <v>250911</v>
      </c>
      <c r="O930">
        <v>1004</v>
      </c>
      <c r="R930" s="8"/>
    </row>
    <row r="931" spans="2:18" ht="16.5">
      <c r="B931" s="242">
        <v>3463</v>
      </c>
      <c r="C931" s="242">
        <v>1001</v>
      </c>
      <c r="D931" s="323"/>
      <c r="E931" s="9" t="s">
        <v>2122</v>
      </c>
      <c r="G931" s="77"/>
      <c r="H931" s="21"/>
      <c r="I931" s="127">
        <v>20000113</v>
      </c>
      <c r="J931">
        <v>150</v>
      </c>
      <c r="K931">
        <v>0</v>
      </c>
      <c r="L931">
        <v>251021</v>
      </c>
      <c r="O931">
        <v>1</v>
      </c>
      <c r="R931" s="8"/>
    </row>
    <row r="932" spans="2:18" ht="16.5">
      <c r="B932" s="242">
        <v>3464</v>
      </c>
      <c r="C932" s="242">
        <v>1001</v>
      </c>
      <c r="D932" s="323"/>
      <c r="E932" s="9" t="s">
        <v>2123</v>
      </c>
      <c r="G932" s="77"/>
      <c r="H932" s="21"/>
      <c r="I932" s="127">
        <v>20000114</v>
      </c>
      <c r="J932">
        <v>150</v>
      </c>
      <c r="K932">
        <v>0</v>
      </c>
      <c r="L932">
        <v>251021</v>
      </c>
      <c r="O932">
        <v>2</v>
      </c>
      <c r="R932" s="8"/>
    </row>
    <row r="933" spans="2:18" ht="16.5">
      <c r="B933" s="242">
        <v>3465</v>
      </c>
      <c r="C933" s="242">
        <v>1001</v>
      </c>
      <c r="D933" s="323"/>
      <c r="E933" s="9" t="s">
        <v>2124</v>
      </c>
      <c r="G933" s="77"/>
      <c r="H933" s="21"/>
      <c r="I933" s="127">
        <v>20000115</v>
      </c>
      <c r="J933">
        <v>150</v>
      </c>
      <c r="K933">
        <v>0</v>
      </c>
      <c r="L933">
        <v>251021</v>
      </c>
      <c r="O933">
        <v>3</v>
      </c>
      <c r="R933" s="8"/>
    </row>
    <row r="934" spans="2:18" ht="16.5">
      <c r="B934" s="242">
        <v>3466</v>
      </c>
      <c r="C934" s="242">
        <v>1001</v>
      </c>
      <c r="D934" s="323"/>
      <c r="E934" s="9" t="s">
        <v>2125</v>
      </c>
      <c r="G934" s="77"/>
      <c r="H934" s="21"/>
      <c r="I934" s="127">
        <v>20000116</v>
      </c>
      <c r="J934">
        <v>150</v>
      </c>
      <c r="K934">
        <v>0</v>
      </c>
      <c r="L934">
        <v>251021</v>
      </c>
      <c r="O934">
        <v>4</v>
      </c>
      <c r="R934" s="8"/>
    </row>
    <row r="935" spans="2:18" ht="16.5">
      <c r="B935" s="242">
        <v>3467</v>
      </c>
      <c r="C935" s="242">
        <v>1001</v>
      </c>
      <c r="D935" s="323"/>
      <c r="E935" s="9" t="s">
        <v>2087</v>
      </c>
      <c r="G935" s="77"/>
      <c r="H935" s="21"/>
      <c r="I935" s="127">
        <v>308046</v>
      </c>
      <c r="J935">
        <v>50</v>
      </c>
      <c r="K935">
        <v>0</v>
      </c>
      <c r="L935">
        <v>251021</v>
      </c>
      <c r="O935">
        <v>1001</v>
      </c>
      <c r="R935" s="8"/>
    </row>
    <row r="936" spans="2:18" ht="16.5">
      <c r="B936" s="242">
        <v>3468</v>
      </c>
      <c r="C936" s="242">
        <v>1001</v>
      </c>
      <c r="D936" s="323"/>
      <c r="E936" s="9" t="s">
        <v>2088</v>
      </c>
      <c r="G936" s="77"/>
      <c r="H936" s="21"/>
      <c r="I936" s="127">
        <v>308047</v>
      </c>
      <c r="J936">
        <v>50</v>
      </c>
      <c r="K936">
        <v>0</v>
      </c>
      <c r="L936">
        <v>251021</v>
      </c>
      <c r="O936">
        <v>1002</v>
      </c>
      <c r="R936" s="8"/>
    </row>
    <row r="937" spans="2:18" ht="16.5">
      <c r="B937" s="242">
        <v>3469</v>
      </c>
      <c r="C937" s="242">
        <v>1001</v>
      </c>
      <c r="D937" s="323"/>
      <c r="E937" s="9" t="s">
        <v>1827</v>
      </c>
      <c r="G937" s="77"/>
      <c r="H937" s="21"/>
      <c r="I937" s="127">
        <v>308048</v>
      </c>
      <c r="J937">
        <v>50</v>
      </c>
      <c r="K937">
        <v>0</v>
      </c>
      <c r="L937">
        <v>251021</v>
      </c>
      <c r="O937">
        <v>1003</v>
      </c>
      <c r="R937" s="8"/>
    </row>
    <row r="938" spans="2:18" ht="16.5">
      <c r="B938" s="242">
        <v>3470</v>
      </c>
      <c r="C938" s="242">
        <v>1001</v>
      </c>
      <c r="D938" s="323"/>
      <c r="E938" s="9" t="s">
        <v>2090</v>
      </c>
      <c r="G938" s="77"/>
      <c r="H938" s="21"/>
      <c r="I938" s="127">
        <v>308049</v>
      </c>
      <c r="J938">
        <v>50</v>
      </c>
      <c r="K938">
        <v>0</v>
      </c>
      <c r="L938">
        <v>251021</v>
      </c>
      <c r="O938">
        <v>1004</v>
      </c>
      <c r="R938" s="8"/>
    </row>
    <row r="939" spans="2:18" ht="16.5">
      <c r="B939" s="242">
        <v>3471</v>
      </c>
      <c r="C939" s="242">
        <v>1001</v>
      </c>
      <c r="D939" s="323"/>
      <c r="E939" s="9" t="s">
        <v>2126</v>
      </c>
      <c r="G939" s="77"/>
      <c r="H939" s="21"/>
      <c r="I939" s="127">
        <v>308051</v>
      </c>
      <c r="J939">
        <v>100</v>
      </c>
      <c r="K939">
        <v>0</v>
      </c>
      <c r="L939">
        <v>251021</v>
      </c>
      <c r="O939">
        <v>1005</v>
      </c>
      <c r="R939" s="8"/>
    </row>
    <row r="940" spans="2:18" ht="16.5">
      <c r="B940" s="242">
        <v>3472</v>
      </c>
      <c r="C940" s="242">
        <v>1001</v>
      </c>
      <c r="D940" s="323"/>
      <c r="E940" s="9" t="s">
        <v>2127</v>
      </c>
      <c r="G940" s="77"/>
      <c r="H940" s="21"/>
      <c r="I940" s="127">
        <v>30520001</v>
      </c>
      <c r="J940">
        <v>50</v>
      </c>
      <c r="K940">
        <v>0</v>
      </c>
      <c r="L940">
        <v>251111</v>
      </c>
      <c r="O940">
        <v>1001</v>
      </c>
      <c r="R940" s="8"/>
    </row>
    <row r="941" spans="2:18" ht="16.5">
      <c r="B941" s="242">
        <v>3473</v>
      </c>
      <c r="C941" s="242">
        <v>1001</v>
      </c>
      <c r="D941" s="323"/>
      <c r="E941" s="9" t="s">
        <v>2128</v>
      </c>
      <c r="G941" s="77"/>
      <c r="H941" s="21"/>
      <c r="I941" s="127">
        <v>30530001</v>
      </c>
      <c r="J941">
        <v>50</v>
      </c>
      <c r="K941">
        <v>0</v>
      </c>
      <c r="L941">
        <v>251111</v>
      </c>
      <c r="O941">
        <v>1002</v>
      </c>
      <c r="R941" s="8"/>
    </row>
    <row r="942" spans="2:18" ht="16.5">
      <c r="B942" s="242">
        <v>3474</v>
      </c>
      <c r="C942" s="242">
        <v>1001</v>
      </c>
      <c r="D942" s="323"/>
      <c r="E942" s="9" t="s">
        <v>2129</v>
      </c>
      <c r="G942" s="77"/>
      <c r="H942" s="21"/>
      <c r="I942" s="127">
        <v>30560001</v>
      </c>
      <c r="J942">
        <v>50</v>
      </c>
      <c r="K942">
        <v>0</v>
      </c>
      <c r="L942">
        <v>251111</v>
      </c>
      <c r="O942">
        <v>1003</v>
      </c>
      <c r="R942" s="8"/>
    </row>
    <row r="943" spans="2:18" ht="16.5">
      <c r="B943" s="242">
        <v>3475</v>
      </c>
      <c r="C943" s="242">
        <v>1001</v>
      </c>
      <c r="D943" s="323"/>
      <c r="E943" s="9" t="s">
        <v>2130</v>
      </c>
      <c r="G943" s="77"/>
      <c r="H943" s="21"/>
      <c r="I943" s="127">
        <v>30610001</v>
      </c>
      <c r="J943">
        <v>50</v>
      </c>
      <c r="K943">
        <v>0</v>
      </c>
      <c r="L943">
        <v>251111</v>
      </c>
      <c r="O943">
        <v>1004</v>
      </c>
      <c r="R943" s="8"/>
    </row>
    <row r="944" spans="2:18" s="275" customFormat="1">
      <c r="B944" s="275">
        <v>3999</v>
      </c>
      <c r="C944" s="275">
        <v>1001</v>
      </c>
      <c r="D944" s="321" t="s">
        <v>589</v>
      </c>
      <c r="E944" s="276" t="s">
        <v>590</v>
      </c>
      <c r="F944" s="276" t="s">
        <v>591</v>
      </c>
      <c r="G944" s="275" t="s">
        <v>592</v>
      </c>
      <c r="H944" s="278" t="s">
        <v>593</v>
      </c>
      <c r="I944" s="279">
        <v>302002</v>
      </c>
      <c r="J944" s="275">
        <v>1</v>
      </c>
      <c r="K944" s="275">
        <v>1</v>
      </c>
      <c r="O944" s="275">
        <v>9999</v>
      </c>
    </row>
    <row r="945" spans="16:16">
      <c r="P945" s="8"/>
    </row>
  </sheetData>
  <phoneticPr fontId="40" type="noConversion"/>
  <conditionalFormatting sqref="O1:O13 O19:O31 O35:O42 O45:O51 O53:O269 O275:O293 O314:O331 O345:O365 O368:O380 O436:O440 O442:O445 O474:O483 O489:O501 O505:O512 O515:O521 O523:O763 O784:O801 O808:O835 O838:O850 O906:O910 O912:O915 O944">
    <cfRule type="cellIs" dxfId="847" priority="1356" operator="lessThan">
      <formula>1000</formula>
    </cfRule>
  </conditionalFormatting>
  <conditionalFormatting sqref="O15 O345:O351">
    <cfRule type="cellIs" dxfId="846" priority="1156" operator="lessThan">
      <formula>1000</formula>
    </cfRule>
  </conditionalFormatting>
  <conditionalFormatting sqref="O53:O269 O838:O850 O944 O275:O293 O314:O331 O523:O763 O784:O801 O808:O835 O345:O365 O368:O380 O436:O440 O442:O445 O474:O483 O906:O910 O912:O915 O1:O13 O19:O31 O35:O42 O45:O51 O489:O501 O505:O512 O515:O521">
    <cfRule type="cellIs" dxfId="845" priority="1355" operator="lessThan">
      <formula>800</formula>
    </cfRule>
  </conditionalFormatting>
  <conditionalFormatting sqref="O136 O838:O847 O944:O1048576">
    <cfRule type="cellIs" dxfId="844" priority="1352" operator="lessThan">
      <formula>1000</formula>
    </cfRule>
  </conditionalFormatting>
  <conditionalFormatting sqref="O136 O944:O1048576 O838:O847">
    <cfRule type="cellIs" dxfId="843" priority="1351" operator="lessThan">
      <formula>800</formula>
    </cfRule>
  </conditionalFormatting>
  <conditionalFormatting sqref="O136:O269 O275:O293 O314:O331 O606:O763 O784:O801 O822:O825 O944">
    <cfRule type="cellIs" dxfId="842" priority="1331" operator="lessThan">
      <formula>800</formula>
    </cfRule>
    <cfRule type="cellIs" dxfId="841" priority="1332" operator="lessThan">
      <formula>1000</formula>
    </cfRule>
  </conditionalFormatting>
  <conditionalFormatting sqref="O151:O169">
    <cfRule type="cellIs" dxfId="840" priority="1287" operator="lessThan">
      <formula>800</formula>
    </cfRule>
    <cfRule type="cellIs" dxfId="839" priority="1288" operator="lessThan">
      <formula>1000</formula>
    </cfRule>
  </conditionalFormatting>
  <conditionalFormatting sqref="O153:O157">
    <cfRule type="cellIs" dxfId="838" priority="1319" operator="lessThan">
      <formula>800</formula>
    </cfRule>
    <cfRule type="cellIs" dxfId="837" priority="1320" operator="lessThan">
      <formula>1000</formula>
    </cfRule>
  </conditionalFormatting>
  <conditionalFormatting sqref="O163:O164">
    <cfRule type="cellIs" dxfId="836" priority="1285" operator="lessThan">
      <formula>800</formula>
    </cfRule>
    <cfRule type="cellIs" dxfId="835" priority="1286" operator="lessThan">
      <formula>1000</formula>
    </cfRule>
  </conditionalFormatting>
  <conditionalFormatting sqref="O170:O269 O275:O293 O314:O331 O640:O763 O784:O801">
    <cfRule type="cellIs" dxfId="834" priority="1253" operator="lessThan">
      <formula>800</formula>
    </cfRule>
    <cfRule type="cellIs" dxfId="833" priority="1254" operator="lessThan">
      <formula>1000</formula>
    </cfRule>
  </conditionalFormatting>
  <conditionalFormatting sqref="O213:O269 O275:O280 O284:O293 O314:O331">
    <cfRule type="cellIs" dxfId="832" priority="1210" operator="lessThan">
      <formula>1000</formula>
    </cfRule>
  </conditionalFormatting>
  <conditionalFormatting sqref="O213:O269 O275:O280 O314:O331 O284:O293">
    <cfRule type="cellIs" dxfId="831" priority="1209" operator="lessThan">
      <formula>800</formula>
    </cfRule>
  </conditionalFormatting>
  <conditionalFormatting sqref="O219:O221">
    <cfRule type="cellIs" dxfId="830" priority="1207" operator="lessThan">
      <formula>800</formula>
    </cfRule>
    <cfRule type="cellIs" dxfId="829" priority="1208" operator="lessThan">
      <formula>1000</formula>
    </cfRule>
  </conditionalFormatting>
  <conditionalFormatting sqref="O226:O243">
    <cfRule type="cellIs" dxfId="828" priority="1203" operator="lessThan">
      <formula>800</formula>
    </cfRule>
    <cfRule type="cellIs" dxfId="827" priority="1204" operator="lessThan">
      <formula>1000</formula>
    </cfRule>
  </conditionalFormatting>
  <conditionalFormatting sqref="O249:O252">
    <cfRule type="cellIs" dxfId="826" priority="1191" operator="lessThan">
      <formula>800</formula>
    </cfRule>
    <cfRule type="cellIs" dxfId="825" priority="1192" operator="lessThan">
      <formula>1000</formula>
    </cfRule>
  </conditionalFormatting>
  <conditionalFormatting sqref="O254:O256">
    <cfRule type="cellIs" dxfId="824" priority="1185" operator="lessThan">
      <formula>800</formula>
    </cfRule>
    <cfRule type="cellIs" dxfId="823" priority="1186" operator="lessThan">
      <formula>1000</formula>
    </cfRule>
  </conditionalFormatting>
  <conditionalFormatting sqref="O258:O269">
    <cfRule type="cellIs" dxfId="822" priority="1171" operator="lessThan">
      <formula>800</formula>
    </cfRule>
    <cfRule type="cellIs" dxfId="821" priority="1172" operator="lessThan">
      <formula>1000</formula>
    </cfRule>
  </conditionalFormatting>
  <conditionalFormatting sqref="O275:O280">
    <cfRule type="cellIs" dxfId="820" priority="1131" operator="lessThan">
      <formula>800</formula>
    </cfRule>
    <cfRule type="cellIs" dxfId="819" priority="1132" operator="lessThan">
      <formula>1000</formula>
    </cfRule>
  </conditionalFormatting>
  <conditionalFormatting sqref="O323:O324">
    <cfRule type="cellIs" dxfId="818" priority="1107" operator="lessThan">
      <formula>800</formula>
    </cfRule>
    <cfRule type="cellIs" dxfId="817" priority="1108" operator="lessThan">
      <formula>1000</formula>
    </cfRule>
  </conditionalFormatting>
  <conditionalFormatting sqref="O323:O331">
    <cfRule type="cellIs" dxfId="816" priority="1093" operator="lessThan">
      <formula>800</formula>
    </cfRule>
    <cfRule type="cellIs" dxfId="815" priority="1094" operator="lessThan">
      <formula>1000</formula>
    </cfRule>
  </conditionalFormatting>
  <conditionalFormatting sqref="O324">
    <cfRule type="cellIs" dxfId="814" priority="1105" operator="lessThan">
      <formula>800</formula>
    </cfRule>
    <cfRule type="cellIs" dxfId="813" priority="1106" operator="lessThan">
      <formula>1000</formula>
    </cfRule>
  </conditionalFormatting>
  <conditionalFormatting sqref="O338:O339">
    <cfRule type="cellIs" dxfId="812" priority="1029" operator="lessThan">
      <formula>800</formula>
    </cfRule>
    <cfRule type="cellIs" dxfId="811" priority="1030" operator="lessThan">
      <formula>1000</formula>
    </cfRule>
    <cfRule type="cellIs" dxfId="810" priority="1033" operator="lessThan">
      <formula>800</formula>
    </cfRule>
    <cfRule type="cellIs" dxfId="809" priority="1034" operator="lessThan">
      <formula>1000</formula>
    </cfRule>
    <cfRule type="cellIs" dxfId="808" priority="1035" operator="lessThan">
      <formula>800</formula>
    </cfRule>
    <cfRule type="cellIs" dxfId="807" priority="1036" operator="lessThan">
      <formula>1000</formula>
    </cfRule>
    <cfRule type="cellIs" dxfId="806" priority="1037" operator="lessThan">
      <formula>800</formula>
    </cfRule>
    <cfRule type="cellIs" dxfId="805" priority="1038" operator="lessThan">
      <formula>1000</formula>
    </cfRule>
    <cfRule type="cellIs" dxfId="804" priority="1039" operator="lessThan">
      <formula>800</formula>
    </cfRule>
    <cfRule type="cellIs" dxfId="803" priority="1040" operator="lessThan">
      <formula>1000</formula>
    </cfRule>
    <cfRule type="cellIs" dxfId="802" priority="1041" operator="lessThan">
      <formula>800</formula>
    </cfRule>
    <cfRule type="cellIs" dxfId="801" priority="1042" operator="lessThan">
      <formula>1000</formula>
    </cfRule>
  </conditionalFormatting>
  <conditionalFormatting sqref="O339">
    <cfRule type="cellIs" dxfId="800" priority="1031" operator="lessThan">
      <formula>800</formula>
    </cfRule>
    <cfRule type="cellIs" dxfId="799" priority="1032" operator="lessThan">
      <formula>1000</formula>
    </cfRule>
  </conditionalFormatting>
  <conditionalFormatting sqref="O345:O346 O838:O845">
    <cfRule type="cellIs" dxfId="798" priority="1047" operator="lessThan">
      <formula>800</formula>
    </cfRule>
    <cfRule type="cellIs" dxfId="797" priority="1048" operator="lessThan">
      <formula>1000</formula>
    </cfRule>
  </conditionalFormatting>
  <conditionalFormatting sqref="O345:O346">
    <cfRule type="cellIs" dxfId="796" priority="1043" operator="lessThan">
      <formula>800</formula>
    </cfRule>
    <cfRule type="cellIs" dxfId="795" priority="1044" operator="lessThan">
      <formula>1000</formula>
    </cfRule>
  </conditionalFormatting>
  <conditionalFormatting sqref="O345:O351 O15">
    <cfRule type="cellIs" dxfId="794" priority="1155" operator="lessThan">
      <formula>800</formula>
    </cfRule>
  </conditionalFormatting>
  <conditionalFormatting sqref="O345:O351">
    <cfRule type="cellIs" dxfId="793" priority="1055" operator="lessThan">
      <formula>800</formula>
    </cfRule>
    <cfRule type="cellIs" dxfId="792" priority="1056" operator="lessThan">
      <formula>1000</formula>
    </cfRule>
    <cfRule type="cellIs" dxfId="791" priority="1073" operator="lessThan">
      <formula>800</formula>
    </cfRule>
    <cfRule type="cellIs" dxfId="790" priority="1074" operator="lessThan">
      <formula>1000</formula>
    </cfRule>
    <cfRule type="cellIs" dxfId="789" priority="1077" operator="lessThan">
      <formula>800</formula>
    </cfRule>
    <cfRule type="cellIs" dxfId="788" priority="1078" operator="lessThan">
      <formula>1000</formula>
    </cfRule>
  </conditionalFormatting>
  <conditionalFormatting sqref="O346">
    <cfRule type="cellIs" dxfId="787" priority="1045" operator="lessThan">
      <formula>800</formula>
    </cfRule>
    <cfRule type="cellIs" dxfId="786" priority="1046" operator="lessThan">
      <formula>1000</formula>
    </cfRule>
  </conditionalFormatting>
  <conditionalFormatting sqref="O346:O351">
    <cfRule type="cellIs" dxfId="785" priority="1075" operator="lessThan">
      <formula>800</formula>
    </cfRule>
    <cfRule type="cellIs" dxfId="784" priority="1076" operator="lessThan">
      <formula>1000</formula>
    </cfRule>
  </conditionalFormatting>
  <conditionalFormatting sqref="O347:O351">
    <cfRule type="cellIs" dxfId="783" priority="1059" operator="lessThan">
      <formula>800</formula>
    </cfRule>
    <cfRule type="cellIs" dxfId="782" priority="1060" operator="lessThan">
      <formula>1000</formula>
    </cfRule>
    <cfRule type="cellIs" dxfId="781" priority="1061" operator="lessThan">
      <formula>800</formula>
    </cfRule>
    <cfRule type="cellIs" dxfId="780" priority="1062" operator="lessThan">
      <formula>1000</formula>
    </cfRule>
    <cfRule type="cellIs" dxfId="779" priority="1063" operator="lessThan">
      <formula>800</formula>
    </cfRule>
    <cfRule type="cellIs" dxfId="778" priority="1064" operator="lessThan">
      <formula>1000</formula>
    </cfRule>
  </conditionalFormatting>
  <conditionalFormatting sqref="O352:O354">
    <cfRule type="cellIs" dxfId="777" priority="983" operator="lessThan">
      <formula>800</formula>
    </cfRule>
    <cfRule type="cellIs" dxfId="776" priority="984" operator="lessThan">
      <formula>1000</formula>
    </cfRule>
  </conditionalFormatting>
  <conditionalFormatting sqref="O352:O358">
    <cfRule type="cellIs" dxfId="775" priority="985" operator="lessThan">
      <formula>800</formula>
    </cfRule>
    <cfRule type="cellIs" dxfId="774" priority="986" operator="lessThan">
      <formula>1000</formula>
    </cfRule>
    <cfRule type="cellIs" dxfId="773" priority="987" operator="lessThan">
      <formula>800</formula>
    </cfRule>
    <cfRule type="cellIs" dxfId="772" priority="988" operator="lessThan">
      <formula>1000</formula>
    </cfRule>
    <cfRule type="cellIs" dxfId="771" priority="989" operator="lessThan">
      <formula>800</formula>
    </cfRule>
    <cfRule type="cellIs" dxfId="770" priority="990" operator="lessThan">
      <formula>1000</formula>
    </cfRule>
  </conditionalFormatting>
  <conditionalFormatting sqref="O356:O357">
    <cfRule type="cellIs" dxfId="769" priority="965" operator="lessThan">
      <formula>800</formula>
    </cfRule>
    <cfRule type="cellIs" dxfId="768" priority="966" operator="lessThan">
      <formula>1000</formula>
    </cfRule>
  </conditionalFormatting>
  <conditionalFormatting sqref="O359:O365">
    <cfRule type="cellIs" dxfId="767" priority="949" operator="lessThan">
      <formula>800</formula>
    </cfRule>
    <cfRule type="cellIs" dxfId="766" priority="950" operator="lessThan">
      <formula>1000</formula>
    </cfRule>
    <cfRule type="cellIs" dxfId="765" priority="951" operator="lessThan">
      <formula>800</formula>
    </cfRule>
    <cfRule type="cellIs" dxfId="764" priority="952" operator="lessThan">
      <formula>1000</formula>
    </cfRule>
    <cfRule type="cellIs" dxfId="763" priority="953" operator="lessThan">
      <formula>800</formula>
    </cfRule>
    <cfRule type="cellIs" dxfId="762" priority="954" operator="lessThan">
      <formula>1000</formula>
    </cfRule>
    <cfRule type="cellIs" dxfId="761" priority="955" operator="lessThan">
      <formula>800</formula>
    </cfRule>
    <cfRule type="cellIs" dxfId="760" priority="956" operator="lessThan">
      <formula>1000</formula>
    </cfRule>
  </conditionalFormatting>
  <conditionalFormatting sqref="O368:O377">
    <cfRule type="cellIs" dxfId="759" priority="917" operator="lessThan">
      <formula>800</formula>
    </cfRule>
    <cfRule type="cellIs" dxfId="758" priority="918" operator="lessThan">
      <formula>1000</formula>
    </cfRule>
    <cfRule type="cellIs" dxfId="757" priority="929" operator="lessThan">
      <formula>800</formula>
    </cfRule>
    <cfRule type="cellIs" dxfId="756" priority="930" operator="lessThan">
      <formula>1000</formula>
    </cfRule>
    <cfRule type="cellIs" dxfId="755" priority="931" operator="lessThan">
      <formula>800</formula>
    </cfRule>
    <cfRule type="cellIs" dxfId="754" priority="932" operator="lessThan">
      <formula>1000</formula>
    </cfRule>
    <cfRule type="cellIs" dxfId="753" priority="933" operator="lessThan">
      <formula>800</formula>
    </cfRule>
    <cfRule type="cellIs" dxfId="752" priority="934" operator="lessThan">
      <formula>1000</formula>
    </cfRule>
  </conditionalFormatting>
  <conditionalFormatting sqref="O376:O377">
    <cfRule type="cellIs" dxfId="751" priority="905" operator="lessThan">
      <formula>800</formula>
    </cfRule>
    <cfRule type="cellIs" dxfId="750" priority="906" operator="lessThan">
      <formula>1000</formula>
    </cfRule>
    <cfRule type="cellIs" dxfId="749" priority="907" operator="lessThan">
      <formula>800</formula>
    </cfRule>
    <cfRule type="cellIs" dxfId="748" priority="908" operator="lessThan">
      <formula>1000</formula>
    </cfRule>
    <cfRule type="cellIs" dxfId="747" priority="909" operator="lessThan">
      <formula>800</formula>
    </cfRule>
    <cfRule type="cellIs" dxfId="746" priority="910" operator="lessThan">
      <formula>1000</formula>
    </cfRule>
    <cfRule type="cellIs" dxfId="745" priority="911" operator="lessThan">
      <formula>800</formula>
    </cfRule>
    <cfRule type="cellIs" dxfId="744" priority="912" operator="lessThan">
      <formula>1000</formula>
    </cfRule>
    <cfRule type="cellIs" dxfId="743" priority="913" operator="lessThan">
      <formula>800</formula>
    </cfRule>
    <cfRule type="cellIs" dxfId="742" priority="914" operator="lessThan">
      <formula>1000</formula>
    </cfRule>
    <cfRule type="cellIs" dxfId="741" priority="915" operator="lessThan">
      <formula>800</formula>
    </cfRule>
    <cfRule type="cellIs" dxfId="740" priority="916" operator="lessThan">
      <formula>1000</formula>
    </cfRule>
  </conditionalFormatting>
  <conditionalFormatting sqref="O376:O380">
    <cfRule type="cellIs" dxfId="739" priority="853" operator="lessThan">
      <formula>800</formula>
    </cfRule>
    <cfRule type="cellIs" dxfId="738" priority="854" operator="lessThan">
      <formula>1000</formula>
    </cfRule>
  </conditionalFormatting>
  <conditionalFormatting sqref="O378:O380">
    <cfRule type="cellIs" dxfId="737" priority="847" operator="lessThan">
      <formula>800</formula>
    </cfRule>
    <cfRule type="cellIs" dxfId="736" priority="848" operator="lessThan">
      <formula>1000</formula>
    </cfRule>
    <cfRule type="cellIs" dxfId="735" priority="849" operator="lessThan">
      <formula>800</formula>
    </cfRule>
    <cfRule type="cellIs" dxfId="734" priority="850" operator="lessThan">
      <formula>1000</formula>
    </cfRule>
    <cfRule type="cellIs" dxfId="733" priority="851" operator="lessThan">
      <formula>800</formula>
    </cfRule>
    <cfRule type="cellIs" dxfId="732" priority="852" operator="lessThan">
      <formula>1000</formula>
    </cfRule>
  </conditionalFormatting>
  <conditionalFormatting sqref="O383">
    <cfRule type="cellIs" dxfId="731" priority="841" operator="lessThan">
      <formula>800</formula>
    </cfRule>
    <cfRule type="cellIs" dxfId="730" priority="842" operator="lessThan">
      <formula>1000</formula>
    </cfRule>
    <cfRule type="cellIs" dxfId="729" priority="843" operator="lessThan">
      <formula>800</formula>
    </cfRule>
    <cfRule type="cellIs" dxfId="728" priority="844" operator="lessThan">
      <formula>1000</formula>
    </cfRule>
    <cfRule type="cellIs" dxfId="727" priority="845" operator="lessThan">
      <formula>800</formula>
    </cfRule>
    <cfRule type="cellIs" dxfId="726" priority="846" operator="lessThan">
      <formula>1000</formula>
    </cfRule>
  </conditionalFormatting>
  <conditionalFormatting sqref="O383:O386">
    <cfRule type="cellIs" dxfId="725" priority="837" operator="lessThan">
      <formula>800</formula>
    </cfRule>
    <cfRule type="cellIs" dxfId="724" priority="838" operator="lessThan">
      <formula>1000</formula>
    </cfRule>
  </conditionalFormatting>
  <conditionalFormatting sqref="O384:O386">
    <cfRule type="cellIs" dxfId="723" priority="829" operator="lessThan">
      <formula>800</formula>
    </cfRule>
    <cfRule type="cellIs" dxfId="722" priority="830" operator="lessThan">
      <formula>1000</formula>
    </cfRule>
    <cfRule type="cellIs" dxfId="721" priority="831" operator="lessThan">
      <formula>800</formula>
    </cfRule>
    <cfRule type="cellIs" dxfId="720" priority="832" operator="lessThan">
      <formula>1000</formula>
    </cfRule>
    <cfRule type="cellIs" dxfId="719" priority="833" operator="lessThan">
      <formula>800</formula>
    </cfRule>
    <cfRule type="cellIs" dxfId="718" priority="834" operator="lessThan">
      <formula>1000</formula>
    </cfRule>
    <cfRule type="cellIs" dxfId="717" priority="835" operator="lessThan">
      <formula>800</formula>
    </cfRule>
    <cfRule type="cellIs" dxfId="716" priority="836" operator="lessThan">
      <formula>1000</formula>
    </cfRule>
  </conditionalFormatting>
  <conditionalFormatting sqref="O389">
    <cfRule type="cellIs" dxfId="715" priority="749" operator="lessThan">
      <formula>800</formula>
    </cfRule>
    <cfRule type="cellIs" dxfId="714" priority="750" operator="lessThan">
      <formula>1000</formula>
    </cfRule>
    <cfRule type="cellIs" dxfId="713" priority="751" operator="lessThan">
      <formula>800</formula>
    </cfRule>
    <cfRule type="cellIs" dxfId="712" priority="752" operator="lessThan">
      <formula>1000</formula>
    </cfRule>
    <cfRule type="cellIs" dxfId="711" priority="753" operator="lessThan">
      <formula>800</formula>
    </cfRule>
    <cfRule type="cellIs" dxfId="710" priority="754" operator="lessThan">
      <formula>1000</formula>
    </cfRule>
    <cfRule type="cellIs" dxfId="709" priority="755" operator="lessThan">
      <formula>800</formula>
    </cfRule>
    <cfRule type="cellIs" dxfId="708" priority="756" operator="lessThan">
      <formula>1000</formula>
    </cfRule>
    <cfRule type="cellIs" dxfId="707" priority="757" operator="lessThan">
      <formula>800</formula>
    </cfRule>
    <cfRule type="cellIs" dxfId="706" priority="758" operator="lessThan">
      <formula>1000</formula>
    </cfRule>
    <cfRule type="cellIs" dxfId="705" priority="759" operator="lessThan">
      <formula>800</formula>
    </cfRule>
    <cfRule type="cellIs" dxfId="704" priority="760" operator="lessThan">
      <formula>1000</formula>
    </cfRule>
    <cfRule type="cellIs" dxfId="703" priority="761" operator="lessThan">
      <formula>800</formula>
    </cfRule>
    <cfRule type="cellIs" dxfId="702" priority="762" operator="lessThan">
      <formula>1000</formula>
    </cfRule>
    <cfRule type="cellIs" dxfId="701" priority="763" operator="lessThan">
      <formula>800</formula>
    </cfRule>
    <cfRule type="cellIs" dxfId="700" priority="764" operator="lessThan">
      <formula>1000</formula>
    </cfRule>
    <cfRule type="cellIs" dxfId="699" priority="765" operator="lessThan">
      <formula>800</formula>
    </cfRule>
    <cfRule type="cellIs" dxfId="698" priority="766" operator="lessThan">
      <formula>1000</formula>
    </cfRule>
    <cfRule type="cellIs" dxfId="697" priority="767" operator="lessThan">
      <formula>800</formula>
    </cfRule>
    <cfRule type="cellIs" dxfId="696" priority="768" operator="lessThan">
      <formula>1000</formula>
    </cfRule>
    <cfRule type="cellIs" dxfId="695" priority="769" operator="lessThan">
      <formula>800</formula>
    </cfRule>
    <cfRule type="cellIs" dxfId="694" priority="770" operator="lessThan">
      <formula>1000</formula>
    </cfRule>
  </conditionalFormatting>
  <conditionalFormatting sqref="O389:O393">
    <cfRule type="cellIs" dxfId="693" priority="745" operator="lessThan">
      <formula>800</formula>
    </cfRule>
    <cfRule type="cellIs" dxfId="692" priority="746" operator="lessThan">
      <formula>1000</formula>
    </cfRule>
  </conditionalFormatting>
  <conditionalFormatting sqref="O390">
    <cfRule type="cellIs" dxfId="691" priority="729" operator="lessThan">
      <formula>800</formula>
    </cfRule>
    <cfRule type="cellIs" dxfId="690" priority="730" operator="lessThan">
      <formula>1000</formula>
    </cfRule>
    <cfRule type="cellIs" dxfId="689" priority="731" operator="lessThan">
      <formula>800</formula>
    </cfRule>
    <cfRule type="cellIs" dxfId="688" priority="732" operator="lessThan">
      <formula>1000</formula>
    </cfRule>
    <cfRule type="cellIs" dxfId="687" priority="733" operator="lessThan">
      <formula>800</formula>
    </cfRule>
    <cfRule type="cellIs" dxfId="686" priority="734" operator="lessThan">
      <formula>1000</formula>
    </cfRule>
    <cfRule type="cellIs" dxfId="685" priority="735" operator="lessThan">
      <formula>800</formula>
    </cfRule>
    <cfRule type="cellIs" dxfId="684" priority="736" operator="lessThan">
      <formula>1000</formula>
    </cfRule>
    <cfRule type="cellIs" dxfId="683" priority="737" operator="lessThan">
      <formula>800</formula>
    </cfRule>
    <cfRule type="cellIs" dxfId="682" priority="738" operator="lessThan">
      <formula>1000</formula>
    </cfRule>
    <cfRule type="cellIs" dxfId="681" priority="739" operator="lessThan">
      <formula>800</formula>
    </cfRule>
    <cfRule type="cellIs" dxfId="680" priority="740" operator="lessThan">
      <formula>1000</formula>
    </cfRule>
    <cfRule type="cellIs" dxfId="679" priority="741" operator="lessThan">
      <formula>800</formula>
    </cfRule>
    <cfRule type="cellIs" dxfId="678" priority="742" operator="lessThan">
      <formula>1000</formula>
    </cfRule>
    <cfRule type="cellIs" dxfId="677" priority="743" operator="lessThan">
      <formula>800</formula>
    </cfRule>
    <cfRule type="cellIs" dxfId="676" priority="744" operator="lessThan">
      <formula>1000</formula>
    </cfRule>
  </conditionalFormatting>
  <conditionalFormatting sqref="O391:O393">
    <cfRule type="cellIs" dxfId="675" priority="803" operator="lessThan">
      <formula>800</formula>
    </cfRule>
    <cfRule type="cellIs" dxfId="674" priority="804" operator="lessThan">
      <formula>1000</formula>
    </cfRule>
    <cfRule type="cellIs" dxfId="673" priority="805" operator="lessThan">
      <formula>800</formula>
    </cfRule>
    <cfRule type="cellIs" dxfId="672" priority="806" operator="lessThan">
      <formula>1000</formula>
    </cfRule>
    <cfRule type="cellIs" dxfId="671" priority="807" operator="lessThan">
      <formula>800</formula>
    </cfRule>
    <cfRule type="cellIs" dxfId="670" priority="808" operator="lessThan">
      <formula>1000</formula>
    </cfRule>
    <cfRule type="cellIs" dxfId="669" priority="809" operator="lessThan">
      <formula>800</formula>
    </cfRule>
    <cfRule type="cellIs" dxfId="668" priority="810" operator="lessThan">
      <formula>1000</formula>
    </cfRule>
  </conditionalFormatting>
  <conditionalFormatting sqref="O395:O398">
    <cfRule type="cellIs" dxfId="667" priority="773" operator="lessThan">
      <formula>800</formula>
    </cfRule>
    <cfRule type="cellIs" dxfId="666" priority="774" operator="lessThan">
      <formula>1000</formula>
    </cfRule>
    <cfRule type="cellIs" dxfId="665" priority="775" operator="lessThan">
      <formula>800</formula>
    </cfRule>
    <cfRule type="cellIs" dxfId="664" priority="776" operator="lessThan">
      <formula>1000</formula>
    </cfRule>
    <cfRule type="cellIs" dxfId="663" priority="777" operator="lessThan">
      <formula>800</formula>
    </cfRule>
    <cfRule type="cellIs" dxfId="662" priority="778" operator="lessThan">
      <formula>1000</formula>
    </cfRule>
    <cfRule type="cellIs" dxfId="661" priority="779" operator="lessThan">
      <formula>800</formula>
    </cfRule>
    <cfRule type="cellIs" dxfId="660" priority="780" operator="lessThan">
      <formula>1000</formula>
    </cfRule>
  </conditionalFormatting>
  <conditionalFormatting sqref="O395:O401">
    <cfRule type="cellIs" dxfId="659" priority="727" operator="lessThan">
      <formula>800</formula>
    </cfRule>
    <cfRule type="cellIs" dxfId="658" priority="728" operator="lessThan">
      <formula>1000</formula>
    </cfRule>
  </conditionalFormatting>
  <conditionalFormatting sqref="O399:O401">
    <cfRule type="cellIs" dxfId="657" priority="719" operator="lessThan">
      <formula>800</formula>
    </cfRule>
    <cfRule type="cellIs" dxfId="656" priority="720" operator="lessThan">
      <formula>1000</formula>
    </cfRule>
    <cfRule type="cellIs" dxfId="655" priority="721" operator="lessThan">
      <formula>800</formula>
    </cfRule>
    <cfRule type="cellIs" dxfId="654" priority="722" operator="lessThan">
      <formula>1000</formula>
    </cfRule>
    <cfRule type="cellIs" dxfId="653" priority="723" operator="lessThan">
      <formula>800</formula>
    </cfRule>
    <cfRule type="cellIs" dxfId="652" priority="724" operator="lessThan">
      <formula>1000</formula>
    </cfRule>
    <cfRule type="cellIs" dxfId="651" priority="725" operator="lessThan">
      <formula>800</formula>
    </cfRule>
    <cfRule type="cellIs" dxfId="650" priority="726" operator="lessThan">
      <formula>1000</formula>
    </cfRule>
  </conditionalFormatting>
  <conditionalFormatting sqref="O404">
    <cfRule type="cellIs" dxfId="649" priority="475" operator="lessThan">
      <formula>800</formula>
    </cfRule>
    <cfRule type="cellIs" dxfId="648" priority="476" operator="lessThan">
      <formula>1000</formula>
    </cfRule>
    <cfRule type="cellIs" dxfId="647" priority="477" operator="lessThan">
      <formula>800</formula>
    </cfRule>
    <cfRule type="cellIs" dxfId="646" priority="478" operator="lessThan">
      <formula>1000</formula>
    </cfRule>
    <cfRule type="cellIs" dxfId="645" priority="479" operator="lessThan">
      <formula>800</formula>
    </cfRule>
    <cfRule type="cellIs" dxfId="644" priority="480" operator="lessThan">
      <formula>1000</formula>
    </cfRule>
    <cfRule type="cellIs" dxfId="643" priority="481" operator="lessThan">
      <formula>800</formula>
    </cfRule>
    <cfRule type="cellIs" dxfId="642" priority="482" operator="lessThan">
      <formula>1000</formula>
    </cfRule>
    <cfRule type="cellIs" dxfId="641" priority="483" operator="lessThan">
      <formula>800</formula>
    </cfRule>
    <cfRule type="cellIs" dxfId="640" priority="484" operator="lessThan">
      <formula>1000</formula>
    </cfRule>
    <cfRule type="cellIs" dxfId="639" priority="485" operator="lessThan">
      <formula>800</formula>
    </cfRule>
    <cfRule type="cellIs" dxfId="638" priority="486" operator="lessThan">
      <formula>1000</formula>
    </cfRule>
    <cfRule type="cellIs" dxfId="637" priority="487" operator="lessThan">
      <formula>800</formula>
    </cfRule>
    <cfRule type="cellIs" dxfId="636" priority="488" operator="lessThan">
      <formula>1000</formula>
    </cfRule>
    <cfRule type="cellIs" dxfId="635" priority="489" operator="lessThan">
      <formula>800</formula>
    </cfRule>
    <cfRule type="cellIs" dxfId="634" priority="490" operator="lessThan">
      <formula>1000</formula>
    </cfRule>
    <cfRule type="cellIs" dxfId="633" priority="491" operator="lessThan">
      <formula>800</formula>
    </cfRule>
    <cfRule type="cellIs" dxfId="632" priority="492" operator="lessThan">
      <formula>1000</formula>
    </cfRule>
    <cfRule type="cellIs" dxfId="631" priority="493" operator="lessThan">
      <formula>800</formula>
    </cfRule>
    <cfRule type="cellIs" dxfId="630" priority="494" operator="lessThan">
      <formula>1000</formula>
    </cfRule>
    <cfRule type="cellIs" dxfId="629" priority="495" operator="lessThan">
      <formula>800</formula>
    </cfRule>
    <cfRule type="cellIs" dxfId="628" priority="496" operator="lessThan">
      <formula>1000</formula>
    </cfRule>
  </conditionalFormatting>
  <conditionalFormatting sqref="O404:O408">
    <cfRule type="cellIs" dxfId="627" priority="471" operator="lessThan">
      <formula>800</formula>
    </cfRule>
    <cfRule type="cellIs" dxfId="626" priority="472" operator="lessThan">
      <formula>1000</formula>
    </cfRule>
  </conditionalFormatting>
  <conditionalFormatting sqref="O405">
    <cfRule type="cellIs" dxfId="625" priority="455" operator="lessThan">
      <formula>800</formula>
    </cfRule>
    <cfRule type="cellIs" dxfId="624" priority="456" operator="lessThan">
      <formula>1000</formula>
    </cfRule>
    <cfRule type="cellIs" dxfId="623" priority="457" operator="lessThan">
      <formula>800</formula>
    </cfRule>
    <cfRule type="cellIs" dxfId="622" priority="458" operator="lessThan">
      <formula>1000</formula>
    </cfRule>
    <cfRule type="cellIs" dxfId="621" priority="459" operator="lessThan">
      <formula>800</formula>
    </cfRule>
    <cfRule type="cellIs" dxfId="620" priority="460" operator="lessThan">
      <formula>1000</formula>
    </cfRule>
    <cfRule type="cellIs" dxfId="619" priority="461" operator="lessThan">
      <formula>800</formula>
    </cfRule>
    <cfRule type="cellIs" dxfId="618" priority="462" operator="lessThan">
      <formula>1000</formula>
    </cfRule>
    <cfRule type="cellIs" dxfId="617" priority="463" operator="lessThan">
      <formula>800</formula>
    </cfRule>
    <cfRule type="cellIs" dxfId="616" priority="464" operator="lessThan">
      <formula>1000</formula>
    </cfRule>
    <cfRule type="cellIs" dxfId="615" priority="465" operator="lessThan">
      <formula>800</formula>
    </cfRule>
    <cfRule type="cellIs" dxfId="614" priority="466" operator="lessThan">
      <formula>1000</formula>
    </cfRule>
    <cfRule type="cellIs" dxfId="613" priority="467" operator="lessThan">
      <formula>800</formula>
    </cfRule>
    <cfRule type="cellIs" dxfId="612" priority="468" operator="lessThan">
      <formula>1000</formula>
    </cfRule>
    <cfRule type="cellIs" dxfId="611" priority="469" operator="lessThan">
      <formula>800</formula>
    </cfRule>
    <cfRule type="cellIs" dxfId="610" priority="470" operator="lessThan">
      <formula>1000</formula>
    </cfRule>
  </conditionalFormatting>
  <conditionalFormatting sqref="O406:O408">
    <cfRule type="cellIs" dxfId="609" priority="549" operator="lessThan">
      <formula>800</formula>
    </cfRule>
    <cfRule type="cellIs" dxfId="608" priority="550" operator="lessThan">
      <formula>1000</formula>
    </cfRule>
    <cfRule type="cellIs" dxfId="607" priority="551" operator="lessThan">
      <formula>800</formula>
    </cfRule>
    <cfRule type="cellIs" dxfId="606" priority="552" operator="lessThan">
      <formula>1000</formula>
    </cfRule>
    <cfRule type="cellIs" dxfId="605" priority="553" operator="lessThan">
      <formula>800</formula>
    </cfRule>
    <cfRule type="cellIs" dxfId="604" priority="554" operator="lessThan">
      <formula>1000</formula>
    </cfRule>
    <cfRule type="cellIs" dxfId="603" priority="555" operator="lessThan">
      <formula>800</formula>
    </cfRule>
    <cfRule type="cellIs" dxfId="602" priority="556" operator="lessThan">
      <formula>1000</formula>
    </cfRule>
  </conditionalFormatting>
  <conditionalFormatting sqref="O410:O411">
    <cfRule type="cellIs" dxfId="601" priority="299" operator="lessThan">
      <formula>800</formula>
    </cfRule>
    <cfRule type="cellIs" dxfId="600" priority="300" operator="lessThan">
      <formula>1000</formula>
    </cfRule>
    <cfRule type="cellIs" dxfId="599" priority="301" operator="lessThan">
      <formula>800</formula>
    </cfRule>
    <cfRule type="cellIs" dxfId="598" priority="302" operator="lessThan">
      <formula>1000</formula>
    </cfRule>
    <cfRule type="cellIs" dxfId="597" priority="303" operator="lessThan">
      <formula>800</formula>
    </cfRule>
    <cfRule type="cellIs" dxfId="596" priority="304" operator="lessThan">
      <formula>1000</formula>
    </cfRule>
    <cfRule type="cellIs" dxfId="595" priority="305" operator="lessThan">
      <formula>800</formula>
    </cfRule>
    <cfRule type="cellIs" dxfId="594" priority="306" operator="lessThan">
      <formula>1000</formula>
    </cfRule>
    <cfRule type="cellIs" dxfId="593" priority="307" operator="lessThan">
      <formula>800</formula>
    </cfRule>
    <cfRule type="cellIs" dxfId="592" priority="308" operator="lessThan">
      <formula>1000</formula>
    </cfRule>
    <cfRule type="cellIs" dxfId="591" priority="309" operator="lessThan">
      <formula>800</formula>
    </cfRule>
    <cfRule type="cellIs" dxfId="590" priority="310" operator="lessThan">
      <formula>1000</formula>
    </cfRule>
    <cfRule type="cellIs" dxfId="589" priority="311" operator="lessThan">
      <formula>800</formula>
    </cfRule>
    <cfRule type="cellIs" dxfId="588" priority="312" operator="lessThan">
      <formula>1000</formula>
    </cfRule>
    <cfRule type="cellIs" dxfId="587" priority="313" operator="lessThan">
      <formula>800</formula>
    </cfRule>
    <cfRule type="cellIs" dxfId="586" priority="314" operator="lessThan">
      <formula>1000</formula>
    </cfRule>
    <cfRule type="cellIs" dxfId="585" priority="315" operator="lessThan">
      <formula>800</formula>
    </cfRule>
    <cfRule type="cellIs" dxfId="584" priority="316" operator="lessThan">
      <formula>1000</formula>
    </cfRule>
    <cfRule type="cellIs" dxfId="583" priority="317" operator="lessThan">
      <formula>800</formula>
    </cfRule>
    <cfRule type="cellIs" dxfId="582" priority="318" operator="lessThan">
      <formula>1000</formula>
    </cfRule>
    <cfRule type="cellIs" dxfId="581" priority="319" operator="lessThan">
      <formula>800</formula>
    </cfRule>
    <cfRule type="cellIs" dxfId="580" priority="320" operator="lessThan">
      <formula>1000</formula>
    </cfRule>
  </conditionalFormatting>
  <conditionalFormatting sqref="O410:O414">
    <cfRule type="cellIs" dxfId="579" priority="321" operator="lessThan">
      <formula>800</formula>
    </cfRule>
    <cfRule type="cellIs" dxfId="578" priority="322" operator="lessThan">
      <formula>1000</formula>
    </cfRule>
  </conditionalFormatting>
  <conditionalFormatting sqref="O412:O414 O416">
    <cfRule type="cellIs" dxfId="577" priority="539" operator="lessThan">
      <formula>800</formula>
    </cfRule>
    <cfRule type="cellIs" dxfId="576" priority="540" operator="lessThan">
      <formula>1000</formula>
    </cfRule>
    <cfRule type="cellIs" dxfId="575" priority="541" operator="lessThan">
      <formula>800</formula>
    </cfRule>
    <cfRule type="cellIs" dxfId="574" priority="542" operator="lessThan">
      <formula>1000</formula>
    </cfRule>
    <cfRule type="cellIs" dxfId="573" priority="543" operator="lessThan">
      <formula>800</formula>
    </cfRule>
    <cfRule type="cellIs" dxfId="572" priority="544" operator="lessThan">
      <formula>1000</formula>
    </cfRule>
    <cfRule type="cellIs" dxfId="571" priority="545" operator="lessThan">
      <formula>800</formula>
    </cfRule>
    <cfRule type="cellIs" dxfId="570" priority="546" operator="lessThan">
      <formula>1000</formula>
    </cfRule>
  </conditionalFormatting>
  <conditionalFormatting sqref="O416:O419 O421">
    <cfRule type="cellIs" dxfId="569" priority="271" operator="lessThan">
      <formula>800</formula>
    </cfRule>
    <cfRule type="cellIs" dxfId="568" priority="272" operator="lessThan">
      <formula>1000</formula>
    </cfRule>
  </conditionalFormatting>
  <conditionalFormatting sqref="O417:O419 O421">
    <cfRule type="cellIs" dxfId="567" priority="265" operator="lessThan">
      <formula>800</formula>
    </cfRule>
    <cfRule type="cellIs" dxfId="566" priority="266" operator="lessThan">
      <formula>1000</formula>
    </cfRule>
    <cfRule type="cellIs" dxfId="565" priority="267" operator="lessThan">
      <formula>800</formula>
    </cfRule>
    <cfRule type="cellIs" dxfId="564" priority="268" operator="lessThan">
      <formula>1000</formula>
    </cfRule>
    <cfRule type="cellIs" dxfId="563" priority="269" operator="lessThan">
      <formula>800</formula>
    </cfRule>
    <cfRule type="cellIs" dxfId="562" priority="270" operator="lessThan">
      <formula>1000</formula>
    </cfRule>
  </conditionalFormatting>
  <conditionalFormatting sqref="O417:O419">
    <cfRule type="cellIs" dxfId="561" priority="261" operator="lessThan">
      <formula>800</formula>
    </cfRule>
    <cfRule type="cellIs" dxfId="560" priority="262" operator="lessThan">
      <formula>1000</formula>
    </cfRule>
  </conditionalFormatting>
  <conditionalFormatting sqref="O421:O424 O426">
    <cfRule type="cellIs" dxfId="559" priority="257" operator="lessThan">
      <formula>800</formula>
    </cfRule>
    <cfRule type="cellIs" dxfId="558" priority="258" operator="lessThan">
      <formula>1000</formula>
    </cfRule>
  </conditionalFormatting>
  <conditionalFormatting sqref="O422:O424 O426">
    <cfRule type="cellIs" dxfId="557" priority="251" operator="lessThan">
      <formula>800</formula>
    </cfRule>
    <cfRule type="cellIs" dxfId="556" priority="252" operator="lessThan">
      <formula>1000</formula>
    </cfRule>
    <cfRule type="cellIs" dxfId="555" priority="253" operator="lessThan">
      <formula>800</formula>
    </cfRule>
    <cfRule type="cellIs" dxfId="554" priority="254" operator="lessThan">
      <formula>1000</formula>
    </cfRule>
    <cfRule type="cellIs" dxfId="553" priority="255" operator="lessThan">
      <formula>800</formula>
    </cfRule>
    <cfRule type="cellIs" dxfId="552" priority="256" operator="lessThan">
      <formula>1000</formula>
    </cfRule>
  </conditionalFormatting>
  <conditionalFormatting sqref="O422:O424">
    <cfRule type="cellIs" dxfId="551" priority="247" operator="lessThan">
      <formula>800</formula>
    </cfRule>
    <cfRule type="cellIs" dxfId="550" priority="248" operator="lessThan">
      <formula>1000</formula>
    </cfRule>
  </conditionalFormatting>
  <conditionalFormatting sqref="O426:O430">
    <cfRule type="cellIs" dxfId="549" priority="227" operator="lessThan">
      <formula>800</formula>
    </cfRule>
    <cfRule type="cellIs" dxfId="548" priority="228" operator="lessThan">
      <formula>1000</formula>
    </cfRule>
  </conditionalFormatting>
  <conditionalFormatting sqref="O427:O430">
    <cfRule type="cellIs" dxfId="547" priority="221" operator="lessThan">
      <formula>800</formula>
    </cfRule>
    <cfRule type="cellIs" dxfId="546" priority="222" operator="lessThan">
      <formula>1000</formula>
    </cfRule>
    <cfRule type="cellIs" dxfId="545" priority="223" operator="lessThan">
      <formula>800</formula>
    </cfRule>
    <cfRule type="cellIs" dxfId="544" priority="224" operator="lessThan">
      <formula>1000</formula>
    </cfRule>
    <cfRule type="cellIs" dxfId="543" priority="225" operator="lessThan">
      <formula>800</formula>
    </cfRule>
    <cfRule type="cellIs" dxfId="542" priority="226" operator="lessThan">
      <formula>1000</formula>
    </cfRule>
  </conditionalFormatting>
  <conditionalFormatting sqref="O427:O433">
    <cfRule type="cellIs" dxfId="541" priority="219" operator="lessThan">
      <formula>800</formula>
    </cfRule>
    <cfRule type="cellIs" dxfId="540" priority="220" operator="lessThan">
      <formula>1000</formula>
    </cfRule>
  </conditionalFormatting>
  <conditionalFormatting sqref="O431:O433">
    <cfRule type="cellIs" dxfId="539" priority="211" operator="lessThan">
      <formula>800</formula>
    </cfRule>
    <cfRule type="cellIs" dxfId="538" priority="212" operator="lessThan">
      <formula>1000</formula>
    </cfRule>
    <cfRule type="cellIs" dxfId="537" priority="213" operator="lessThan">
      <formula>800</formula>
    </cfRule>
    <cfRule type="cellIs" dxfId="536" priority="214" operator="lessThan">
      <formula>1000</formula>
    </cfRule>
    <cfRule type="cellIs" dxfId="535" priority="215" operator="lessThan">
      <formula>800</formula>
    </cfRule>
    <cfRule type="cellIs" dxfId="534" priority="216" operator="lessThan">
      <formula>1000</formula>
    </cfRule>
    <cfRule type="cellIs" dxfId="533" priority="217" operator="lessThan">
      <formula>800</formula>
    </cfRule>
    <cfRule type="cellIs" dxfId="532" priority="218" operator="lessThan">
      <formula>1000</formula>
    </cfRule>
  </conditionalFormatting>
  <conditionalFormatting sqref="O436:O439 O442:O445 O474">
    <cfRule type="cellIs" dxfId="531" priority="209" operator="lessThan">
      <formula>800</formula>
    </cfRule>
    <cfRule type="cellIs" dxfId="530" priority="210" operator="lessThan">
      <formula>1000</formula>
    </cfRule>
  </conditionalFormatting>
  <conditionalFormatting sqref="O436:O439 O442:O445">
    <cfRule type="cellIs" dxfId="529" priority="206" operator="lessThan">
      <formula>1000</formula>
    </cfRule>
    <cfRule type="cellIs" dxfId="528" priority="207" operator="lessThan">
      <formula>800</formula>
    </cfRule>
    <cfRule type="cellIs" dxfId="527" priority="208" operator="lessThan">
      <formula>1000</formula>
    </cfRule>
  </conditionalFormatting>
  <conditionalFormatting sqref="O436:O440">
    <cfRule type="cellIs" dxfId="526" priority="147" operator="lessThan">
      <formula>800</formula>
    </cfRule>
    <cfRule type="cellIs" dxfId="525" priority="148" operator="lessThan">
      <formula>1000</formula>
    </cfRule>
  </conditionalFormatting>
  <conditionalFormatting sqref="O440">
    <cfRule type="cellIs" dxfId="524" priority="143" operator="lessThan">
      <formula>800</formula>
    </cfRule>
    <cfRule type="cellIs" dxfId="523" priority="144" operator="lessThan">
      <formula>1000</formula>
    </cfRule>
    <cfRule type="cellIs" dxfId="522" priority="145" operator="lessThan">
      <formula>800</formula>
    </cfRule>
    <cfRule type="cellIs" dxfId="521" priority="146" operator="lessThan">
      <formula>1000</formula>
    </cfRule>
  </conditionalFormatting>
  <conditionalFormatting sqref="O440:O441">
    <cfRule type="cellIs" dxfId="520" priority="139" operator="lessThan">
      <formula>800</formula>
    </cfRule>
    <cfRule type="cellIs" dxfId="519" priority="140" operator="lessThan">
      <formula>1000</formula>
    </cfRule>
  </conditionalFormatting>
  <conditionalFormatting sqref="O441">
    <cfRule type="cellIs" dxfId="518" priority="123" operator="lessThan">
      <formula>800</formula>
    </cfRule>
    <cfRule type="cellIs" dxfId="517" priority="124" operator="lessThan">
      <formula>1000</formula>
    </cfRule>
    <cfRule type="cellIs" dxfId="516" priority="125" operator="lessThan">
      <formula>800</formula>
    </cfRule>
    <cfRule type="cellIs" dxfId="515" priority="126" operator="lessThan">
      <formula>1000</formula>
    </cfRule>
    <cfRule type="cellIs" dxfId="514" priority="127" operator="lessThan">
      <formula>800</formula>
    </cfRule>
    <cfRule type="cellIs" dxfId="513" priority="128" operator="lessThan">
      <formula>1000</formula>
    </cfRule>
    <cfRule type="cellIs" dxfId="512" priority="129" operator="lessThan">
      <formula>800</formula>
    </cfRule>
    <cfRule type="cellIs" dxfId="511" priority="130" operator="lessThan">
      <formula>1000</formula>
    </cfRule>
    <cfRule type="cellIs" dxfId="510" priority="131" operator="lessThan">
      <formula>800</formula>
    </cfRule>
    <cfRule type="cellIs" dxfId="509" priority="132" operator="lessThan">
      <formula>1000</formula>
    </cfRule>
    <cfRule type="cellIs" dxfId="508" priority="133" operator="lessThan">
      <formula>800</formula>
    </cfRule>
    <cfRule type="cellIs" dxfId="507" priority="134" operator="lessThan">
      <formula>1000</formula>
    </cfRule>
    <cfRule type="cellIs" dxfId="506" priority="135" operator="lessThan">
      <formula>800</formula>
    </cfRule>
    <cfRule type="cellIs" dxfId="505" priority="136" operator="lessThan">
      <formula>1000</formula>
    </cfRule>
    <cfRule type="cellIs" dxfId="504" priority="137" operator="lessThan">
      <formula>800</formula>
    </cfRule>
    <cfRule type="cellIs" dxfId="503" priority="138" operator="lessThan">
      <formula>1000</formula>
    </cfRule>
  </conditionalFormatting>
  <conditionalFormatting sqref="O442:O445 O436:O439">
    <cfRule type="cellIs" dxfId="502" priority="205" operator="lessThan">
      <formula>800</formula>
    </cfRule>
  </conditionalFormatting>
  <conditionalFormatting sqref="O442:O448">
    <cfRule type="cellIs" dxfId="501" priority="185" operator="lessThan">
      <formula>800</formula>
    </cfRule>
    <cfRule type="cellIs" dxfId="500" priority="186" operator="lessThan">
      <formula>1000</formula>
    </cfRule>
  </conditionalFormatting>
  <conditionalFormatting sqref="O446:O448">
    <cfRule type="cellIs" dxfId="499" priority="177" operator="lessThan">
      <formula>800</formula>
    </cfRule>
    <cfRule type="cellIs" dxfId="498" priority="178" operator="lessThan">
      <formula>1000</formula>
    </cfRule>
    <cfRule type="cellIs" dxfId="497" priority="179" operator="lessThan">
      <formula>800</formula>
    </cfRule>
    <cfRule type="cellIs" dxfId="496" priority="180" operator="lessThan">
      <formula>1000</formula>
    </cfRule>
    <cfRule type="cellIs" dxfId="495" priority="181" operator="lessThan">
      <formula>800</formula>
    </cfRule>
    <cfRule type="cellIs" dxfId="494" priority="182" operator="lessThan">
      <formula>1000</formula>
    </cfRule>
    <cfRule type="cellIs" dxfId="493" priority="183" operator="lessThan">
      <formula>800</formula>
    </cfRule>
    <cfRule type="cellIs" dxfId="492" priority="184" operator="lessThan">
      <formula>1000</formula>
    </cfRule>
  </conditionalFormatting>
  <conditionalFormatting sqref="O451">
    <cfRule type="cellIs" dxfId="491" priority="117" operator="lessThan">
      <formula>800</formula>
    </cfRule>
    <cfRule type="cellIs" dxfId="490" priority="118" operator="lessThan">
      <formula>1000</formula>
    </cfRule>
    <cfRule type="cellIs" dxfId="489" priority="119" operator="lessThan">
      <formula>800</formula>
    </cfRule>
    <cfRule type="cellIs" dxfId="488" priority="120" operator="lessThan">
      <formula>1000</formula>
    </cfRule>
    <cfRule type="cellIs" dxfId="487" priority="121" operator="lessThan">
      <formula>800</formula>
    </cfRule>
    <cfRule type="cellIs" dxfId="486" priority="122" operator="lessThan">
      <formula>1000</formula>
    </cfRule>
  </conditionalFormatting>
  <conditionalFormatting sqref="O451:O454">
    <cfRule type="cellIs" dxfId="485" priority="103" operator="lessThan">
      <formula>800</formula>
    </cfRule>
    <cfRule type="cellIs" dxfId="484" priority="104" operator="lessThan">
      <formula>1000</formula>
    </cfRule>
  </conditionalFormatting>
  <conditionalFormatting sqref="O452:O454">
    <cfRule type="cellIs" dxfId="483" priority="95" operator="lessThan">
      <formula>800</formula>
    </cfRule>
    <cfRule type="cellIs" dxfId="482" priority="96" operator="lessThan">
      <formula>1000</formula>
    </cfRule>
    <cfRule type="cellIs" dxfId="481" priority="97" operator="lessThan">
      <formula>800</formula>
    </cfRule>
    <cfRule type="cellIs" dxfId="480" priority="98" operator="lessThan">
      <formula>1000</formula>
    </cfRule>
    <cfRule type="cellIs" dxfId="479" priority="99" operator="lessThan">
      <formula>800</formula>
    </cfRule>
    <cfRule type="cellIs" dxfId="478" priority="100" operator="lessThan">
      <formula>1000</formula>
    </cfRule>
    <cfRule type="cellIs" dxfId="477" priority="101" operator="lessThan">
      <formula>800</formula>
    </cfRule>
    <cfRule type="cellIs" dxfId="476" priority="102" operator="lessThan">
      <formula>1000</formula>
    </cfRule>
  </conditionalFormatting>
  <conditionalFormatting sqref="O457:O459">
    <cfRule type="cellIs" dxfId="475" priority="67" operator="lessThan">
      <formula>800</formula>
    </cfRule>
    <cfRule type="cellIs" dxfId="474" priority="68" operator="lessThan">
      <formula>1000</formula>
    </cfRule>
    <cfRule type="cellIs" dxfId="473" priority="69" operator="lessThan">
      <formula>800</formula>
    </cfRule>
    <cfRule type="cellIs" dxfId="472" priority="70" operator="lessThan">
      <formula>1000</formula>
    </cfRule>
    <cfRule type="cellIs" dxfId="471" priority="71" operator="lessThan">
      <formula>800</formula>
    </cfRule>
    <cfRule type="cellIs" dxfId="470" priority="72" operator="lessThan">
      <formula>1000</formula>
    </cfRule>
    <cfRule type="cellIs" dxfId="469" priority="73" operator="lessThan">
      <formula>800</formula>
    </cfRule>
    <cfRule type="cellIs" dxfId="468" priority="74" operator="lessThan">
      <formula>1000</formula>
    </cfRule>
    <cfRule type="cellIs" dxfId="467" priority="75" operator="lessThan">
      <formula>800</formula>
    </cfRule>
    <cfRule type="cellIs" dxfId="466" priority="76" operator="lessThan">
      <formula>1000</formula>
    </cfRule>
  </conditionalFormatting>
  <conditionalFormatting sqref="O461:O464">
    <cfRule type="cellIs" dxfId="465" priority="31" operator="lessThan">
      <formula>800</formula>
    </cfRule>
    <cfRule type="cellIs" dxfId="464" priority="32" operator="lessThan">
      <formula>1000</formula>
    </cfRule>
    <cfRule type="cellIs" dxfId="463" priority="33" operator="lessThan">
      <formula>800</formula>
    </cfRule>
    <cfRule type="cellIs" dxfId="462" priority="34" operator="lessThan">
      <formula>1000</formula>
    </cfRule>
    <cfRule type="cellIs" dxfId="461" priority="35" operator="lessThan">
      <formula>800</formula>
    </cfRule>
    <cfRule type="cellIs" dxfId="460" priority="36" operator="lessThan">
      <formula>1000</formula>
    </cfRule>
    <cfRule type="cellIs" dxfId="459" priority="37" operator="lessThan">
      <formula>800</formula>
    </cfRule>
    <cfRule type="cellIs" dxfId="458" priority="38" operator="lessThan">
      <formula>1000</formula>
    </cfRule>
  </conditionalFormatting>
  <conditionalFormatting sqref="O461:O467">
    <cfRule type="cellIs" dxfId="457" priority="29" operator="lessThan">
      <formula>800</formula>
    </cfRule>
    <cfRule type="cellIs" dxfId="456" priority="30" operator="lessThan">
      <formula>1000</formula>
    </cfRule>
  </conditionalFormatting>
  <conditionalFormatting sqref="O465:O467">
    <cfRule type="cellIs" dxfId="455" priority="21" operator="lessThan">
      <formula>800</formula>
    </cfRule>
    <cfRule type="cellIs" dxfId="454" priority="22" operator="lessThan">
      <formula>1000</formula>
    </cfRule>
    <cfRule type="cellIs" dxfId="453" priority="23" operator="lessThan">
      <formula>800</formula>
    </cfRule>
    <cfRule type="cellIs" dxfId="452" priority="24" operator="lessThan">
      <formula>1000</formula>
    </cfRule>
    <cfRule type="cellIs" dxfId="451" priority="25" operator="lessThan">
      <formula>800</formula>
    </cfRule>
    <cfRule type="cellIs" dxfId="450" priority="26" operator="lessThan">
      <formula>1000</formula>
    </cfRule>
    <cfRule type="cellIs" dxfId="449" priority="27" operator="lessThan">
      <formula>800</formula>
    </cfRule>
    <cfRule type="cellIs" dxfId="448" priority="28" operator="lessThan">
      <formula>1000</formula>
    </cfRule>
  </conditionalFormatting>
  <conditionalFormatting sqref="O485">
    <cfRule type="cellIs" dxfId="447" priority="1133" operator="lessThan">
      <formula>800</formula>
    </cfRule>
    <cfRule type="cellIs" dxfId="446" priority="1134" operator="lessThan">
      <formula>1000</formula>
    </cfRule>
  </conditionalFormatting>
  <conditionalFormatting sqref="O606">
    <cfRule type="cellIs" dxfId="445" priority="1153" operator="lessThan">
      <formula>800</formula>
    </cfRule>
    <cfRule type="cellIs" dxfId="444" priority="1154" operator="lessThan">
      <formula>1000</formula>
    </cfRule>
  </conditionalFormatting>
  <conditionalFormatting sqref="O621:O639">
    <cfRule type="cellIs" dxfId="443" priority="1147" operator="lessThan">
      <formula>800</formula>
    </cfRule>
    <cfRule type="cellIs" dxfId="442" priority="1148" operator="lessThan">
      <formula>1000</formula>
    </cfRule>
  </conditionalFormatting>
  <conditionalFormatting sqref="O623:O627">
    <cfRule type="cellIs" dxfId="441" priority="1151" operator="lessThan">
      <formula>800</formula>
    </cfRule>
    <cfRule type="cellIs" dxfId="440" priority="1152" operator="lessThan">
      <formula>1000</formula>
    </cfRule>
  </conditionalFormatting>
  <conditionalFormatting sqref="O633:O634">
    <cfRule type="cellIs" dxfId="439" priority="1145" operator="lessThan">
      <formula>800</formula>
    </cfRule>
    <cfRule type="cellIs" dxfId="438" priority="1146" operator="lessThan">
      <formula>1000</formula>
    </cfRule>
  </conditionalFormatting>
  <conditionalFormatting sqref="O683:O750">
    <cfRule type="cellIs" dxfId="437" priority="1167" operator="lessThan">
      <formula>800</formula>
    </cfRule>
    <cfRule type="cellIs" dxfId="436" priority="1168" operator="lessThan">
      <formula>1000</formula>
    </cfRule>
  </conditionalFormatting>
  <conditionalFormatting sqref="O689:O691">
    <cfRule type="cellIs" dxfId="435" priority="1143" operator="lessThan">
      <formula>800</formula>
    </cfRule>
    <cfRule type="cellIs" dxfId="434" priority="1144" operator="lessThan">
      <formula>1000</formula>
    </cfRule>
  </conditionalFormatting>
  <conditionalFormatting sqref="O696:O713">
    <cfRule type="cellIs" dxfId="433" priority="1141" operator="lessThan">
      <formula>800</formula>
    </cfRule>
    <cfRule type="cellIs" dxfId="432" priority="1142" operator="lessThan">
      <formula>1000</formula>
    </cfRule>
  </conditionalFormatting>
  <conditionalFormatting sqref="O719:O722">
    <cfRule type="cellIs" dxfId="431" priority="1139" operator="lessThan">
      <formula>800</formula>
    </cfRule>
    <cfRule type="cellIs" dxfId="430" priority="1140" operator="lessThan">
      <formula>1000</formula>
    </cfRule>
  </conditionalFormatting>
  <conditionalFormatting sqref="O724:O726">
    <cfRule type="cellIs" dxfId="429" priority="1137" operator="lessThan">
      <formula>800</formula>
    </cfRule>
    <cfRule type="cellIs" dxfId="428" priority="1138" operator="lessThan">
      <formula>1000</formula>
    </cfRule>
  </conditionalFormatting>
  <conditionalFormatting sqref="O728:O750">
    <cfRule type="cellIs" dxfId="427" priority="1127" operator="lessThan">
      <formula>800</formula>
    </cfRule>
    <cfRule type="cellIs" dxfId="426" priority="1128" operator="lessThan">
      <formula>1000</formula>
    </cfRule>
  </conditionalFormatting>
  <conditionalFormatting sqref="O754:O763">
    <cfRule type="cellIs" dxfId="425" priority="1111" operator="lessThan">
      <formula>800</formula>
    </cfRule>
    <cfRule type="cellIs" dxfId="424" priority="1112" operator="lessThan">
      <formula>1000</formula>
    </cfRule>
  </conditionalFormatting>
  <conditionalFormatting sqref="O784:O794">
    <cfRule type="cellIs" dxfId="423" priority="1101" operator="lessThan">
      <formula>800</formula>
    </cfRule>
    <cfRule type="cellIs" dxfId="422" priority="1102" operator="lessThan">
      <formula>1000</formula>
    </cfRule>
  </conditionalFormatting>
  <conditionalFormatting sqref="O793:O794">
    <cfRule type="cellIs" dxfId="421" priority="1099" operator="lessThan">
      <formula>800</formula>
    </cfRule>
    <cfRule type="cellIs" dxfId="420" priority="1100" operator="lessThan">
      <formula>1000</formula>
    </cfRule>
  </conditionalFormatting>
  <conditionalFormatting sqref="O793:O801">
    <cfRule type="cellIs" dxfId="419" priority="1081" operator="lessThan">
      <formula>800</formula>
    </cfRule>
    <cfRule type="cellIs" dxfId="418" priority="1082" operator="lessThan">
      <formula>1000</formula>
    </cfRule>
  </conditionalFormatting>
  <conditionalFormatting sqref="O794">
    <cfRule type="cellIs" dxfId="417" priority="1097" operator="lessThan">
      <formula>800</formula>
    </cfRule>
    <cfRule type="cellIs" dxfId="416" priority="1098" operator="lessThan">
      <formula>1000</formula>
    </cfRule>
  </conditionalFormatting>
  <conditionalFormatting sqref="O795:O801">
    <cfRule type="cellIs" dxfId="415" priority="1079" operator="lessThan">
      <formula>800</formula>
    </cfRule>
    <cfRule type="cellIs" dxfId="414" priority="1080" operator="lessThan">
      <formula>1000</formula>
    </cfRule>
  </conditionalFormatting>
  <conditionalFormatting sqref="O808:O809">
    <cfRule type="cellIs" dxfId="413" priority="995" operator="lessThan">
      <formula>800</formula>
    </cfRule>
    <cfRule type="cellIs" dxfId="412" priority="996" operator="lessThan">
      <formula>1000</formula>
    </cfRule>
    <cfRule type="cellIs" dxfId="411" priority="999" operator="lessThan">
      <formula>800</formula>
    </cfRule>
    <cfRule type="cellIs" dxfId="410" priority="1000" operator="lessThan">
      <formula>1000</formula>
    </cfRule>
    <cfRule type="cellIs" dxfId="409" priority="1001" operator="lessThan">
      <formula>800</formula>
    </cfRule>
    <cfRule type="cellIs" dxfId="408" priority="1002" operator="lessThan">
      <formula>1000</formula>
    </cfRule>
    <cfRule type="cellIs" dxfId="407" priority="1003" operator="lessThan">
      <formula>800</formula>
    </cfRule>
    <cfRule type="cellIs" dxfId="406" priority="1004" operator="lessThan">
      <formula>1000</formula>
    </cfRule>
    <cfRule type="cellIs" dxfId="405" priority="1005" operator="lessThan">
      <formula>800</formula>
    </cfRule>
    <cfRule type="cellIs" dxfId="404" priority="1006" operator="lessThan">
      <formula>1000</formula>
    </cfRule>
  </conditionalFormatting>
  <conditionalFormatting sqref="O808:O814">
    <cfRule type="cellIs" dxfId="403" priority="1069" operator="lessThan">
      <formula>800</formula>
    </cfRule>
    <cfRule type="cellIs" dxfId="402" priority="1070" operator="lessThan">
      <formula>1000</formula>
    </cfRule>
    <cfRule type="cellIs" dxfId="401" priority="1071" operator="lessThan">
      <formula>800</formula>
    </cfRule>
    <cfRule type="cellIs" dxfId="400" priority="1072" operator="lessThan">
      <formula>1000</formula>
    </cfRule>
  </conditionalFormatting>
  <conditionalFormatting sqref="O808:O825">
    <cfRule type="cellIs" dxfId="399" priority="1027" operator="lessThan">
      <formula>800</formula>
    </cfRule>
    <cfRule type="cellIs" dxfId="398" priority="1028" operator="lessThan">
      <formula>1000</formula>
    </cfRule>
  </conditionalFormatting>
  <conditionalFormatting sqref="O809">
    <cfRule type="cellIs" dxfId="397" priority="997" operator="lessThan">
      <formula>800</formula>
    </cfRule>
    <cfRule type="cellIs" dxfId="396" priority="998" operator="lessThan">
      <formula>1000</formula>
    </cfRule>
  </conditionalFormatting>
  <conditionalFormatting sqref="O809:O814">
    <cfRule type="cellIs" dxfId="395" priority="1067" operator="lessThan">
      <formula>800</formula>
    </cfRule>
    <cfRule type="cellIs" dxfId="394" priority="1068" operator="lessThan">
      <formula>1000</formula>
    </cfRule>
  </conditionalFormatting>
  <conditionalFormatting sqref="O815:O816">
    <cfRule type="cellIs" dxfId="393" priority="967" operator="lessThan">
      <formula>800</formula>
    </cfRule>
    <cfRule type="cellIs" dxfId="392" priority="968" operator="lessThan">
      <formula>1000</formula>
    </cfRule>
    <cfRule type="cellIs" dxfId="391" priority="971" operator="lessThan">
      <formula>800</formula>
    </cfRule>
    <cfRule type="cellIs" dxfId="390" priority="972" operator="lessThan">
      <formula>1000</formula>
    </cfRule>
    <cfRule type="cellIs" dxfId="389" priority="973" operator="lessThan">
      <formula>800</formula>
    </cfRule>
    <cfRule type="cellIs" dxfId="388" priority="974" operator="lessThan">
      <formula>1000</formula>
    </cfRule>
    <cfRule type="cellIs" dxfId="387" priority="975" operator="lessThan">
      <formula>800</formula>
    </cfRule>
    <cfRule type="cellIs" dxfId="386" priority="976" operator="lessThan">
      <formula>1000</formula>
    </cfRule>
    <cfRule type="cellIs" dxfId="385" priority="979" operator="lessThan">
      <formula>800</formula>
    </cfRule>
    <cfRule type="cellIs" dxfId="384" priority="980" operator="lessThan">
      <formula>1000</formula>
    </cfRule>
    <cfRule type="cellIs" dxfId="383" priority="981" operator="lessThan">
      <formula>800</formula>
    </cfRule>
    <cfRule type="cellIs" dxfId="382" priority="982" operator="lessThan">
      <formula>1000</formula>
    </cfRule>
    <cfRule type="cellIs" dxfId="381" priority="1007" operator="lessThan">
      <formula>800</formula>
    </cfRule>
    <cfRule type="cellIs" dxfId="380" priority="1008" operator="lessThan">
      <formula>1000</formula>
    </cfRule>
    <cfRule type="cellIs" dxfId="379" priority="1011" operator="lessThan">
      <formula>800</formula>
    </cfRule>
    <cfRule type="cellIs" dxfId="378" priority="1012" operator="lessThan">
      <formula>1000</formula>
    </cfRule>
  </conditionalFormatting>
  <conditionalFormatting sqref="O815:O821">
    <cfRule type="cellIs" dxfId="377" priority="1013" operator="lessThan">
      <formula>800</formula>
    </cfRule>
    <cfRule type="cellIs" dxfId="376" priority="1014" operator="lessThan">
      <formula>1000</formula>
    </cfRule>
    <cfRule type="cellIs" dxfId="375" priority="1021" operator="lessThan">
      <formula>800</formula>
    </cfRule>
    <cfRule type="cellIs" dxfId="374" priority="1022" operator="lessThan">
      <formula>1000</formula>
    </cfRule>
    <cfRule type="cellIs" dxfId="373" priority="1025" operator="lessThan">
      <formula>800</formula>
    </cfRule>
    <cfRule type="cellIs" dxfId="372" priority="1026" operator="lessThan">
      <formula>1000</formula>
    </cfRule>
  </conditionalFormatting>
  <conditionalFormatting sqref="O816">
    <cfRule type="cellIs" dxfId="371" priority="969" operator="lessThan">
      <formula>800</formula>
    </cfRule>
    <cfRule type="cellIs" dxfId="370" priority="970" operator="lessThan">
      <formula>1000</formula>
    </cfRule>
    <cfRule type="cellIs" dxfId="369" priority="977" operator="lessThan">
      <formula>800</formula>
    </cfRule>
    <cfRule type="cellIs" dxfId="368" priority="978" operator="lessThan">
      <formula>1000</formula>
    </cfRule>
    <cfRule type="cellIs" dxfId="367" priority="1009" operator="lessThan">
      <formula>800</formula>
    </cfRule>
    <cfRule type="cellIs" dxfId="366" priority="1010" operator="lessThan">
      <formula>1000</formula>
    </cfRule>
  </conditionalFormatting>
  <conditionalFormatting sqref="O816:O821">
    <cfRule type="cellIs" dxfId="365" priority="1023" operator="lessThan">
      <formula>800</formula>
    </cfRule>
    <cfRule type="cellIs" dxfId="364" priority="1024" operator="lessThan">
      <formula>1000</formula>
    </cfRule>
  </conditionalFormatting>
  <conditionalFormatting sqref="O817:O821">
    <cfRule type="cellIs" dxfId="363" priority="1015" operator="lessThan">
      <formula>800</formula>
    </cfRule>
    <cfRule type="cellIs" dxfId="362" priority="1016" operator="lessThan">
      <formula>1000</formula>
    </cfRule>
    <cfRule type="cellIs" dxfId="361" priority="1017" operator="lessThan">
      <formula>800</formula>
    </cfRule>
    <cfRule type="cellIs" dxfId="360" priority="1018" operator="lessThan">
      <formula>1000</formula>
    </cfRule>
    <cfRule type="cellIs" dxfId="359" priority="1019" operator="lessThan">
      <formula>800</formula>
    </cfRule>
    <cfRule type="cellIs" dxfId="358" priority="1020" operator="lessThan">
      <formula>1000</formula>
    </cfRule>
  </conditionalFormatting>
  <conditionalFormatting sqref="O822:O824">
    <cfRule type="cellIs" dxfId="357" priority="991" operator="lessThan">
      <formula>800</formula>
    </cfRule>
    <cfRule type="cellIs" dxfId="356" priority="992" operator="lessThan">
      <formula>1000</formula>
    </cfRule>
  </conditionalFormatting>
  <conditionalFormatting sqref="O822:O825">
    <cfRule type="cellIs" dxfId="355" priority="993" operator="lessThan">
      <formula>800</formula>
    </cfRule>
    <cfRule type="cellIs" dxfId="354" priority="994" operator="lessThan">
      <formula>1000</formula>
    </cfRule>
  </conditionalFormatting>
  <conditionalFormatting sqref="O826:O827">
    <cfRule type="cellIs" dxfId="353" priority="957" operator="lessThan">
      <formula>800</formula>
    </cfRule>
    <cfRule type="cellIs" dxfId="352" priority="958" operator="lessThan">
      <formula>1000</formula>
    </cfRule>
  </conditionalFormatting>
  <conditionalFormatting sqref="O826:O828">
    <cfRule type="cellIs" dxfId="351" priority="959" operator="lessThan">
      <formula>800</formula>
    </cfRule>
    <cfRule type="cellIs" dxfId="350" priority="960" operator="lessThan">
      <formula>1000</formula>
    </cfRule>
    <cfRule type="cellIs" dxfId="349" priority="961" operator="lessThan">
      <formula>800</formula>
    </cfRule>
    <cfRule type="cellIs" dxfId="348" priority="962" operator="lessThan">
      <formula>1000</formula>
    </cfRule>
    <cfRule type="cellIs" dxfId="347" priority="963" operator="lessThan">
      <formula>800</formula>
    </cfRule>
    <cfRule type="cellIs" dxfId="346" priority="964" operator="lessThan">
      <formula>1000</formula>
    </cfRule>
  </conditionalFormatting>
  <conditionalFormatting sqref="O829:O835">
    <cfRule type="cellIs" dxfId="345" priority="941" operator="lessThan">
      <formula>800</formula>
    </cfRule>
    <cfRule type="cellIs" dxfId="344" priority="942" operator="lessThan">
      <formula>1000</formula>
    </cfRule>
    <cfRule type="cellIs" dxfId="343" priority="943" operator="lessThan">
      <formula>800</formula>
    </cfRule>
    <cfRule type="cellIs" dxfId="342" priority="944" operator="lessThan">
      <formula>1000</formula>
    </cfRule>
    <cfRule type="cellIs" dxfId="341" priority="945" operator="lessThan">
      <formula>800</formula>
    </cfRule>
    <cfRule type="cellIs" dxfId="340" priority="946" operator="lessThan">
      <formula>1000</formula>
    </cfRule>
    <cfRule type="cellIs" dxfId="339" priority="947" operator="lessThan">
      <formula>800</formula>
    </cfRule>
    <cfRule type="cellIs" dxfId="338" priority="948" operator="lessThan">
      <formula>1000</formula>
    </cfRule>
  </conditionalFormatting>
  <conditionalFormatting sqref="O838:O841">
    <cfRule type="cellIs" dxfId="337" priority="937" operator="lessThan">
      <formula>800</formula>
    </cfRule>
    <cfRule type="cellIs" dxfId="336" priority="938" operator="lessThan">
      <formula>1000</formula>
    </cfRule>
  </conditionalFormatting>
  <conditionalFormatting sqref="O838:O845">
    <cfRule type="cellIs" dxfId="335" priority="939" operator="lessThan">
      <formula>800</formula>
    </cfRule>
    <cfRule type="cellIs" dxfId="334" priority="940" operator="lessThan">
      <formula>1000</formula>
    </cfRule>
  </conditionalFormatting>
  <conditionalFormatting sqref="O846:O847">
    <cfRule type="cellIs" dxfId="333" priority="855" operator="lessThan">
      <formula>800</formula>
    </cfRule>
    <cfRule type="cellIs" dxfId="332" priority="856" operator="lessThan">
      <formula>1000</formula>
    </cfRule>
    <cfRule type="cellIs" dxfId="331" priority="857" operator="lessThan">
      <formula>800</formula>
    </cfRule>
    <cfRule type="cellIs" dxfId="330" priority="858" operator="lessThan">
      <formula>1000</formula>
    </cfRule>
    <cfRule type="cellIs" dxfId="329" priority="859" operator="lessThan">
      <formula>800</formula>
    </cfRule>
    <cfRule type="cellIs" dxfId="328" priority="860" operator="lessThan">
      <formula>1000</formula>
    </cfRule>
    <cfRule type="cellIs" dxfId="327" priority="861" operator="lessThan">
      <formula>800</formula>
    </cfRule>
    <cfRule type="cellIs" dxfId="326" priority="862" operator="lessThan">
      <formula>1000</formula>
    </cfRule>
    <cfRule type="cellIs" dxfId="325" priority="863" operator="lessThan">
      <formula>800</formula>
    </cfRule>
    <cfRule type="cellIs" dxfId="324" priority="864" operator="lessThan">
      <formula>1000</formula>
    </cfRule>
    <cfRule type="cellIs" dxfId="323" priority="865" operator="lessThan">
      <formula>800</formula>
    </cfRule>
    <cfRule type="cellIs" dxfId="322" priority="866" operator="lessThan">
      <formula>1000</formula>
    </cfRule>
    <cfRule type="cellIs" dxfId="321" priority="867" operator="lessThan">
      <formula>800</formula>
    </cfRule>
    <cfRule type="cellIs" dxfId="320" priority="868" operator="lessThan">
      <formula>1000</formula>
    </cfRule>
    <cfRule type="cellIs" dxfId="319" priority="869" operator="lessThan">
      <formula>800</formula>
    </cfRule>
    <cfRule type="cellIs" dxfId="318" priority="870" operator="lessThan">
      <formula>1000</formula>
    </cfRule>
    <cfRule type="cellIs" dxfId="317" priority="871" operator="lessThan">
      <formula>800</formula>
    </cfRule>
    <cfRule type="cellIs" dxfId="316" priority="872" operator="lessThan">
      <formula>1000</formula>
    </cfRule>
    <cfRule type="cellIs" dxfId="315" priority="873" operator="lessThan">
      <formula>800</formula>
    </cfRule>
    <cfRule type="cellIs" dxfId="314" priority="874" operator="lessThan">
      <formula>1000</formula>
    </cfRule>
    <cfRule type="cellIs" dxfId="313" priority="875" operator="lessThan">
      <formula>800</formula>
    </cfRule>
    <cfRule type="cellIs" dxfId="312" priority="876" operator="lessThan">
      <formula>1000</formula>
    </cfRule>
    <cfRule type="cellIs" dxfId="311" priority="889" operator="lessThan">
      <formula>800</formula>
    </cfRule>
    <cfRule type="cellIs" dxfId="310" priority="890" operator="lessThan">
      <formula>1000</formula>
    </cfRule>
    <cfRule type="cellIs" dxfId="309" priority="891" operator="lessThan">
      <formula>800</formula>
    </cfRule>
    <cfRule type="cellIs" dxfId="308" priority="892" operator="lessThan">
      <formula>1000</formula>
    </cfRule>
    <cfRule type="cellIs" dxfId="307" priority="893" operator="lessThan">
      <formula>800</formula>
    </cfRule>
    <cfRule type="cellIs" dxfId="306" priority="894" operator="lessThan">
      <formula>1000</formula>
    </cfRule>
    <cfRule type="cellIs" dxfId="305" priority="895" operator="lessThan">
      <formula>800</formula>
    </cfRule>
    <cfRule type="cellIs" dxfId="304" priority="896" operator="lessThan">
      <formula>1000</formula>
    </cfRule>
    <cfRule type="cellIs" dxfId="303" priority="897" operator="lessThan">
      <formula>800</formula>
    </cfRule>
    <cfRule type="cellIs" dxfId="302" priority="898" operator="lessThan">
      <formula>1000</formula>
    </cfRule>
    <cfRule type="cellIs" dxfId="301" priority="899" operator="lessThan">
      <formula>800</formula>
    </cfRule>
    <cfRule type="cellIs" dxfId="300" priority="900" operator="lessThan">
      <formula>1000</formula>
    </cfRule>
  </conditionalFormatting>
  <conditionalFormatting sqref="O846:O850">
    <cfRule type="cellIs" dxfId="299" priority="877" operator="lessThan">
      <formula>800</formula>
    </cfRule>
    <cfRule type="cellIs" dxfId="298" priority="878" operator="lessThan">
      <formula>1000</formula>
    </cfRule>
    <cfRule type="cellIs" dxfId="297" priority="885" operator="lessThan">
      <formula>800</formula>
    </cfRule>
    <cfRule type="cellIs" dxfId="296" priority="886" operator="lessThan">
      <formula>1000</formula>
    </cfRule>
  </conditionalFormatting>
  <conditionalFormatting sqref="O848:O850">
    <cfRule type="cellIs" dxfId="295" priority="881" operator="lessThan">
      <formula>800</formula>
    </cfRule>
    <cfRule type="cellIs" dxfId="294" priority="882" operator="lessThan">
      <formula>1000</formula>
    </cfRule>
    <cfRule type="cellIs" dxfId="293" priority="883" operator="lessThan">
      <formula>800</formula>
    </cfRule>
    <cfRule type="cellIs" dxfId="292" priority="884" operator="lessThan">
      <formula>1000</formula>
    </cfRule>
  </conditionalFormatting>
  <conditionalFormatting sqref="O853">
    <cfRule type="cellIs" dxfId="291" priority="823" operator="lessThan">
      <formula>800</formula>
    </cfRule>
    <cfRule type="cellIs" dxfId="290" priority="824" operator="lessThan">
      <formula>1000</formula>
    </cfRule>
    <cfRule type="cellIs" dxfId="289" priority="825" operator="lessThan">
      <formula>800</formula>
    </cfRule>
    <cfRule type="cellIs" dxfId="288" priority="826" operator="lessThan">
      <formula>1000</formula>
    </cfRule>
    <cfRule type="cellIs" dxfId="287" priority="827" operator="lessThan">
      <formula>800</formula>
    </cfRule>
    <cfRule type="cellIs" dxfId="286" priority="828" operator="lessThan">
      <formula>1000</formula>
    </cfRule>
  </conditionalFormatting>
  <conditionalFormatting sqref="O853:O856">
    <cfRule type="cellIs" dxfId="285" priority="819" operator="lessThan">
      <formula>800</formula>
    </cfRule>
    <cfRule type="cellIs" dxfId="284" priority="820" operator="lessThan">
      <formula>1000</formula>
    </cfRule>
  </conditionalFormatting>
  <conditionalFormatting sqref="O854:O856">
    <cfRule type="cellIs" dxfId="283" priority="811" operator="lessThan">
      <formula>800</formula>
    </cfRule>
    <cfRule type="cellIs" dxfId="282" priority="812" operator="lessThan">
      <formula>1000</formula>
    </cfRule>
    <cfRule type="cellIs" dxfId="281" priority="813" operator="lessThan">
      <formula>800</formula>
    </cfRule>
    <cfRule type="cellIs" dxfId="280" priority="814" operator="lessThan">
      <formula>1000</formula>
    </cfRule>
    <cfRule type="cellIs" dxfId="279" priority="815" operator="lessThan">
      <formula>800</formula>
    </cfRule>
    <cfRule type="cellIs" dxfId="278" priority="816" operator="lessThan">
      <formula>1000</formula>
    </cfRule>
    <cfRule type="cellIs" dxfId="277" priority="817" operator="lessThan">
      <formula>800</formula>
    </cfRule>
    <cfRule type="cellIs" dxfId="276" priority="818" operator="lessThan">
      <formula>1000</formula>
    </cfRule>
  </conditionalFormatting>
  <conditionalFormatting sqref="O859">
    <cfRule type="cellIs" dxfId="275" priority="677" operator="lessThan">
      <formula>800</formula>
    </cfRule>
    <cfRule type="cellIs" dxfId="274" priority="678" operator="lessThan">
      <formula>1000</formula>
    </cfRule>
    <cfRule type="cellIs" dxfId="273" priority="679" operator="lessThan">
      <formula>800</formula>
    </cfRule>
    <cfRule type="cellIs" dxfId="272" priority="680" operator="lessThan">
      <formula>1000</formula>
    </cfRule>
    <cfRule type="cellIs" dxfId="271" priority="681" operator="lessThan">
      <formula>800</formula>
    </cfRule>
    <cfRule type="cellIs" dxfId="270" priority="682" operator="lessThan">
      <formula>1000</formula>
    </cfRule>
    <cfRule type="cellIs" dxfId="269" priority="683" operator="lessThan">
      <formula>800</formula>
    </cfRule>
    <cfRule type="cellIs" dxfId="268" priority="684" operator="lessThan">
      <formula>1000</formula>
    </cfRule>
    <cfRule type="cellIs" dxfId="267" priority="685" operator="lessThan">
      <formula>800</formula>
    </cfRule>
    <cfRule type="cellIs" dxfId="266" priority="686" operator="lessThan">
      <formula>1000</formula>
    </cfRule>
    <cfRule type="cellIs" dxfId="265" priority="687" operator="lessThan">
      <formula>800</formula>
    </cfRule>
    <cfRule type="cellIs" dxfId="264" priority="688" operator="lessThan">
      <formula>1000</formula>
    </cfRule>
    <cfRule type="cellIs" dxfId="263" priority="689" operator="lessThan">
      <formula>800</formula>
    </cfRule>
    <cfRule type="cellIs" dxfId="262" priority="690" operator="lessThan">
      <formula>1000</formula>
    </cfRule>
    <cfRule type="cellIs" dxfId="261" priority="691" operator="lessThan">
      <formula>800</formula>
    </cfRule>
    <cfRule type="cellIs" dxfId="260" priority="692" operator="lessThan">
      <formula>1000</formula>
    </cfRule>
    <cfRule type="cellIs" dxfId="259" priority="693" operator="lessThan">
      <formula>800</formula>
    </cfRule>
    <cfRule type="cellIs" dxfId="258" priority="694" operator="lessThan">
      <formula>1000</formula>
    </cfRule>
    <cfRule type="cellIs" dxfId="257" priority="695" operator="lessThan">
      <formula>800</formula>
    </cfRule>
    <cfRule type="cellIs" dxfId="256" priority="696" operator="lessThan">
      <formula>1000</formula>
    </cfRule>
    <cfRule type="cellIs" dxfId="255" priority="697" operator="lessThan">
      <formula>800</formula>
    </cfRule>
    <cfRule type="cellIs" dxfId="254" priority="698" operator="lessThan">
      <formula>1000</formula>
    </cfRule>
  </conditionalFormatting>
  <conditionalFormatting sqref="O859:O863">
    <cfRule type="cellIs" dxfId="253" priority="673" operator="lessThan">
      <formula>800</formula>
    </cfRule>
    <cfRule type="cellIs" dxfId="252" priority="674" operator="lessThan">
      <formula>1000</formula>
    </cfRule>
  </conditionalFormatting>
  <conditionalFormatting sqref="O860">
    <cfRule type="cellIs" dxfId="251" priority="657" operator="lessThan">
      <formula>800</formula>
    </cfRule>
    <cfRule type="cellIs" dxfId="250" priority="658" operator="lessThan">
      <formula>1000</formula>
    </cfRule>
    <cfRule type="cellIs" dxfId="249" priority="659" operator="lessThan">
      <formula>800</formula>
    </cfRule>
    <cfRule type="cellIs" dxfId="248" priority="660" operator="lessThan">
      <formula>1000</formula>
    </cfRule>
    <cfRule type="cellIs" dxfId="247" priority="661" operator="lessThan">
      <formula>800</formula>
    </cfRule>
    <cfRule type="cellIs" dxfId="246" priority="662" operator="lessThan">
      <formula>1000</formula>
    </cfRule>
    <cfRule type="cellIs" dxfId="245" priority="663" operator="lessThan">
      <formula>800</formula>
    </cfRule>
    <cfRule type="cellIs" dxfId="244" priority="664" operator="lessThan">
      <formula>1000</formula>
    </cfRule>
    <cfRule type="cellIs" dxfId="243" priority="665" operator="lessThan">
      <formula>800</formula>
    </cfRule>
    <cfRule type="cellIs" dxfId="242" priority="666" operator="lessThan">
      <formula>1000</formula>
    </cfRule>
    <cfRule type="cellIs" dxfId="241" priority="667" operator="lessThan">
      <formula>800</formula>
    </cfRule>
    <cfRule type="cellIs" dxfId="240" priority="668" operator="lessThan">
      <formula>1000</formula>
    </cfRule>
    <cfRule type="cellIs" dxfId="239" priority="669" operator="lessThan">
      <formula>800</formula>
    </cfRule>
    <cfRule type="cellIs" dxfId="238" priority="670" operator="lessThan">
      <formula>1000</formula>
    </cfRule>
    <cfRule type="cellIs" dxfId="237" priority="671" operator="lessThan">
      <formula>800</formula>
    </cfRule>
    <cfRule type="cellIs" dxfId="236" priority="672" operator="lessThan">
      <formula>1000</formula>
    </cfRule>
  </conditionalFormatting>
  <conditionalFormatting sqref="O861:O863">
    <cfRule type="cellIs" dxfId="235" priority="711" operator="lessThan">
      <formula>800</formula>
    </cfRule>
    <cfRule type="cellIs" dxfId="234" priority="712" operator="lessThan">
      <formula>1000</formula>
    </cfRule>
    <cfRule type="cellIs" dxfId="233" priority="713" operator="lessThan">
      <formula>800</formula>
    </cfRule>
    <cfRule type="cellIs" dxfId="232" priority="714" operator="lessThan">
      <formula>1000</formula>
    </cfRule>
    <cfRule type="cellIs" dxfId="231" priority="715" operator="lessThan">
      <formula>800</formula>
    </cfRule>
    <cfRule type="cellIs" dxfId="230" priority="716" operator="lessThan">
      <formula>1000</formula>
    </cfRule>
    <cfRule type="cellIs" dxfId="229" priority="717" operator="lessThan">
      <formula>800</formula>
    </cfRule>
    <cfRule type="cellIs" dxfId="228" priority="718" operator="lessThan">
      <formula>1000</formula>
    </cfRule>
  </conditionalFormatting>
  <conditionalFormatting sqref="O865:O868">
    <cfRule type="cellIs" dxfId="227" priority="701" operator="lessThan">
      <formula>800</formula>
    </cfRule>
    <cfRule type="cellIs" dxfId="226" priority="702" operator="lessThan">
      <formula>1000</formula>
    </cfRule>
    <cfRule type="cellIs" dxfId="225" priority="703" operator="lessThan">
      <formula>800</formula>
    </cfRule>
    <cfRule type="cellIs" dxfId="224" priority="704" operator="lessThan">
      <formula>1000</formula>
    </cfRule>
    <cfRule type="cellIs" dxfId="223" priority="705" operator="lessThan">
      <formula>800</formula>
    </cfRule>
    <cfRule type="cellIs" dxfId="222" priority="706" operator="lessThan">
      <formula>1000</formula>
    </cfRule>
    <cfRule type="cellIs" dxfId="221" priority="707" operator="lessThan">
      <formula>800</formula>
    </cfRule>
    <cfRule type="cellIs" dxfId="220" priority="708" operator="lessThan">
      <formula>1000</formula>
    </cfRule>
  </conditionalFormatting>
  <conditionalFormatting sqref="O865:O871">
    <cfRule type="cellIs" dxfId="219" priority="655" operator="lessThan">
      <formula>800</formula>
    </cfRule>
    <cfRule type="cellIs" dxfId="218" priority="656" operator="lessThan">
      <formula>1000</formula>
    </cfRule>
  </conditionalFormatting>
  <conditionalFormatting sqref="O869:O871">
    <cfRule type="cellIs" dxfId="217" priority="647" operator="lessThan">
      <formula>800</formula>
    </cfRule>
    <cfRule type="cellIs" dxfId="216" priority="648" operator="lessThan">
      <formula>1000</formula>
    </cfRule>
    <cfRule type="cellIs" dxfId="215" priority="649" operator="lessThan">
      <formula>800</formula>
    </cfRule>
    <cfRule type="cellIs" dxfId="214" priority="650" operator="lessThan">
      <formula>1000</formula>
    </cfRule>
    <cfRule type="cellIs" dxfId="213" priority="651" operator="lessThan">
      <formula>800</formula>
    </cfRule>
    <cfRule type="cellIs" dxfId="212" priority="652" operator="lessThan">
      <formula>1000</formula>
    </cfRule>
    <cfRule type="cellIs" dxfId="211" priority="653" operator="lessThan">
      <formula>800</formula>
    </cfRule>
    <cfRule type="cellIs" dxfId="210" priority="654" operator="lessThan">
      <formula>1000</formula>
    </cfRule>
  </conditionalFormatting>
  <conditionalFormatting sqref="O874">
    <cfRule type="cellIs" dxfId="209" priority="343" operator="lessThan">
      <formula>800</formula>
    </cfRule>
    <cfRule type="cellIs" dxfId="208" priority="344" operator="lessThan">
      <formula>1000</formula>
    </cfRule>
    <cfRule type="cellIs" dxfId="207" priority="345" operator="lessThan">
      <formula>800</formula>
    </cfRule>
    <cfRule type="cellIs" dxfId="206" priority="346" operator="lessThan">
      <formula>1000</formula>
    </cfRule>
    <cfRule type="cellIs" dxfId="205" priority="347" operator="lessThan">
      <formula>800</formula>
    </cfRule>
    <cfRule type="cellIs" dxfId="204" priority="348" operator="lessThan">
      <formula>1000</formula>
    </cfRule>
    <cfRule type="cellIs" dxfId="203" priority="349" operator="lessThan">
      <formula>800</formula>
    </cfRule>
    <cfRule type="cellIs" dxfId="202" priority="350" operator="lessThan">
      <formula>1000</formula>
    </cfRule>
    <cfRule type="cellIs" dxfId="201" priority="351" operator="lessThan">
      <formula>800</formula>
    </cfRule>
    <cfRule type="cellIs" dxfId="200" priority="352" operator="lessThan">
      <formula>1000</formula>
    </cfRule>
    <cfRule type="cellIs" dxfId="199" priority="353" operator="lessThan">
      <formula>800</formula>
    </cfRule>
    <cfRule type="cellIs" dxfId="198" priority="354" operator="lessThan">
      <formula>1000</formula>
    </cfRule>
    <cfRule type="cellIs" dxfId="197" priority="355" operator="lessThan">
      <formula>800</formula>
    </cfRule>
    <cfRule type="cellIs" dxfId="196" priority="356" operator="lessThan">
      <formula>1000</formula>
    </cfRule>
    <cfRule type="cellIs" dxfId="195" priority="357" operator="lessThan">
      <formula>800</formula>
    </cfRule>
    <cfRule type="cellIs" dxfId="194" priority="358" operator="lessThan">
      <formula>1000</formula>
    </cfRule>
    <cfRule type="cellIs" dxfId="193" priority="359" operator="lessThan">
      <formula>800</formula>
    </cfRule>
    <cfRule type="cellIs" dxfId="192" priority="360" operator="lessThan">
      <formula>1000</formula>
    </cfRule>
    <cfRule type="cellIs" dxfId="191" priority="361" operator="lessThan">
      <formula>800</formula>
    </cfRule>
    <cfRule type="cellIs" dxfId="190" priority="362" operator="lessThan">
      <formula>1000</formula>
    </cfRule>
    <cfRule type="cellIs" dxfId="189" priority="363" operator="lessThan">
      <formula>800</formula>
    </cfRule>
    <cfRule type="cellIs" dxfId="188" priority="364" operator="lessThan">
      <formula>1000</formula>
    </cfRule>
  </conditionalFormatting>
  <conditionalFormatting sqref="O874:O878">
    <cfRule type="cellIs" dxfId="187" priority="339" operator="lessThan">
      <formula>800</formula>
    </cfRule>
    <cfRule type="cellIs" dxfId="186" priority="340" operator="lessThan">
      <formula>1000</formula>
    </cfRule>
  </conditionalFormatting>
  <conditionalFormatting sqref="O875">
    <cfRule type="cellIs" dxfId="185" priority="323" operator="lessThan">
      <formula>800</formula>
    </cfRule>
    <cfRule type="cellIs" dxfId="184" priority="324" operator="lessThan">
      <formula>1000</formula>
    </cfRule>
    <cfRule type="cellIs" dxfId="183" priority="325" operator="lessThan">
      <formula>800</formula>
    </cfRule>
    <cfRule type="cellIs" dxfId="182" priority="326" operator="lessThan">
      <formula>1000</formula>
    </cfRule>
    <cfRule type="cellIs" dxfId="181" priority="327" operator="lessThan">
      <formula>800</formula>
    </cfRule>
    <cfRule type="cellIs" dxfId="180" priority="328" operator="lessThan">
      <formula>1000</formula>
    </cfRule>
    <cfRule type="cellIs" dxfId="179" priority="329" operator="lessThan">
      <formula>800</formula>
    </cfRule>
    <cfRule type="cellIs" dxfId="178" priority="330" operator="lessThan">
      <formula>1000</formula>
    </cfRule>
    <cfRule type="cellIs" dxfId="177" priority="331" operator="lessThan">
      <formula>800</formula>
    </cfRule>
    <cfRule type="cellIs" dxfId="176" priority="332" operator="lessThan">
      <formula>1000</formula>
    </cfRule>
    <cfRule type="cellIs" dxfId="175" priority="333" operator="lessThan">
      <formula>800</formula>
    </cfRule>
    <cfRule type="cellIs" dxfId="174" priority="334" operator="lessThan">
      <formula>1000</formula>
    </cfRule>
    <cfRule type="cellIs" dxfId="173" priority="335" operator="lessThan">
      <formula>800</formula>
    </cfRule>
    <cfRule type="cellIs" dxfId="172" priority="336" operator="lessThan">
      <formula>1000</formula>
    </cfRule>
    <cfRule type="cellIs" dxfId="171" priority="337" operator="lessThan">
      <formula>800</formula>
    </cfRule>
    <cfRule type="cellIs" dxfId="170" priority="338" operator="lessThan">
      <formula>1000</formula>
    </cfRule>
  </conditionalFormatting>
  <conditionalFormatting sqref="O876:O878">
    <cfRule type="cellIs" dxfId="169" priority="599" operator="lessThan">
      <formula>800</formula>
    </cfRule>
    <cfRule type="cellIs" dxfId="168" priority="600" operator="lessThan">
      <formula>1000</formula>
    </cfRule>
    <cfRule type="cellIs" dxfId="167" priority="601" operator="lessThan">
      <formula>800</formula>
    </cfRule>
    <cfRule type="cellIs" dxfId="166" priority="602" operator="lessThan">
      <formula>1000</formula>
    </cfRule>
    <cfRule type="cellIs" dxfId="165" priority="603" operator="lessThan">
      <formula>800</formula>
    </cfRule>
    <cfRule type="cellIs" dxfId="164" priority="604" operator="lessThan">
      <formula>1000</formula>
    </cfRule>
    <cfRule type="cellIs" dxfId="163" priority="605" operator="lessThan">
      <formula>800</formula>
    </cfRule>
    <cfRule type="cellIs" dxfId="162" priority="606" operator="lessThan">
      <formula>1000</formula>
    </cfRule>
  </conditionalFormatting>
  <conditionalFormatting sqref="O880:O881">
    <cfRule type="cellIs" dxfId="161" priority="275" operator="lessThan">
      <formula>800</formula>
    </cfRule>
    <cfRule type="cellIs" dxfId="160" priority="276" operator="lessThan">
      <formula>1000</formula>
    </cfRule>
    <cfRule type="cellIs" dxfId="159" priority="277" operator="lessThan">
      <formula>800</formula>
    </cfRule>
    <cfRule type="cellIs" dxfId="158" priority="278" operator="lessThan">
      <formula>1000</formula>
    </cfRule>
    <cfRule type="cellIs" dxfId="157" priority="279" operator="lessThan">
      <formula>800</formula>
    </cfRule>
    <cfRule type="cellIs" dxfId="156" priority="280" operator="lessThan">
      <formula>1000</formula>
    </cfRule>
    <cfRule type="cellIs" dxfId="155" priority="281" operator="lessThan">
      <formula>800</formula>
    </cfRule>
    <cfRule type="cellIs" dxfId="154" priority="282" operator="lessThan">
      <formula>1000</formula>
    </cfRule>
    <cfRule type="cellIs" dxfId="153" priority="283" operator="lessThan">
      <formula>800</formula>
    </cfRule>
    <cfRule type="cellIs" dxfId="152" priority="284" operator="lessThan">
      <formula>1000</formula>
    </cfRule>
    <cfRule type="cellIs" dxfId="151" priority="285" operator="lessThan">
      <formula>800</formula>
    </cfRule>
    <cfRule type="cellIs" dxfId="150" priority="286" operator="lessThan">
      <formula>1000</formula>
    </cfRule>
    <cfRule type="cellIs" dxfId="149" priority="287" operator="lessThan">
      <formula>800</formula>
    </cfRule>
    <cfRule type="cellIs" dxfId="148" priority="288" operator="lessThan">
      <formula>1000</formula>
    </cfRule>
    <cfRule type="cellIs" dxfId="147" priority="289" operator="lessThan">
      <formula>800</formula>
    </cfRule>
    <cfRule type="cellIs" dxfId="146" priority="290" operator="lessThan">
      <formula>1000</formula>
    </cfRule>
    <cfRule type="cellIs" dxfId="145" priority="291" operator="lessThan">
      <formula>800</formula>
    </cfRule>
    <cfRule type="cellIs" dxfId="144" priority="292" operator="lessThan">
      <formula>1000</formula>
    </cfRule>
    <cfRule type="cellIs" dxfId="143" priority="293" operator="lessThan">
      <formula>800</formula>
    </cfRule>
    <cfRule type="cellIs" dxfId="142" priority="294" operator="lessThan">
      <formula>1000</formula>
    </cfRule>
    <cfRule type="cellIs" dxfId="141" priority="295" operator="lessThan">
      <formula>800</formula>
    </cfRule>
    <cfRule type="cellIs" dxfId="140" priority="296" operator="lessThan">
      <formula>1000</formula>
    </cfRule>
  </conditionalFormatting>
  <conditionalFormatting sqref="O880:O884">
    <cfRule type="cellIs" dxfId="139" priority="297" operator="lessThan">
      <formula>800</formula>
    </cfRule>
    <cfRule type="cellIs" dxfId="138" priority="298" operator="lessThan">
      <formula>1000</formula>
    </cfRule>
  </conditionalFormatting>
  <conditionalFormatting sqref="O882:O884 O886:O889 O891:O894 O896">
    <cfRule type="cellIs" dxfId="137" priority="447" operator="lessThan">
      <formula>800</formula>
    </cfRule>
    <cfRule type="cellIs" dxfId="136" priority="448" operator="lessThan">
      <formula>1000</formula>
    </cfRule>
    <cfRule type="cellIs" dxfId="135" priority="449" operator="lessThan">
      <formula>800</formula>
    </cfRule>
    <cfRule type="cellIs" dxfId="134" priority="450" operator="lessThan">
      <formula>1000</formula>
    </cfRule>
    <cfRule type="cellIs" dxfId="133" priority="451" operator="lessThan">
      <formula>800</formula>
    </cfRule>
    <cfRule type="cellIs" dxfId="132" priority="452" operator="lessThan">
      <formula>1000</formula>
    </cfRule>
    <cfRule type="cellIs" dxfId="131" priority="453" operator="lessThan">
      <formula>800</formula>
    </cfRule>
    <cfRule type="cellIs" dxfId="130" priority="454" operator="lessThan">
      <formula>1000</formula>
    </cfRule>
  </conditionalFormatting>
  <conditionalFormatting sqref="O886:O889">
    <cfRule type="cellIs" dxfId="129" priority="273" operator="lessThan">
      <formula>800</formula>
    </cfRule>
    <cfRule type="cellIs" dxfId="128" priority="274" operator="lessThan">
      <formula>1000</formula>
    </cfRule>
  </conditionalFormatting>
  <conditionalFormatting sqref="O891:O894">
    <cfRule type="cellIs" dxfId="127" priority="259" operator="lessThan">
      <formula>800</formula>
    </cfRule>
    <cfRule type="cellIs" dxfId="126" priority="260" operator="lessThan">
      <formula>1000</formula>
    </cfRule>
  </conditionalFormatting>
  <conditionalFormatting sqref="O896:O900">
    <cfRule type="cellIs" dxfId="125" priority="245" operator="lessThan">
      <formula>800</formula>
    </cfRule>
    <cfRule type="cellIs" dxfId="124" priority="246" operator="lessThan">
      <formula>1000</formula>
    </cfRule>
  </conditionalFormatting>
  <conditionalFormatting sqref="O897:O900">
    <cfRule type="cellIs" dxfId="123" priority="239" operator="lessThan">
      <formula>800</formula>
    </cfRule>
    <cfRule type="cellIs" dxfId="122" priority="240" operator="lessThan">
      <formula>1000</formula>
    </cfRule>
    <cfRule type="cellIs" dxfId="121" priority="241" operator="lessThan">
      <formula>800</formula>
    </cfRule>
    <cfRule type="cellIs" dxfId="120" priority="242" operator="lessThan">
      <formula>1000</formula>
    </cfRule>
    <cfRule type="cellIs" dxfId="119" priority="243" operator="lessThan">
      <formula>800</formula>
    </cfRule>
    <cfRule type="cellIs" dxfId="118" priority="244" operator="lessThan">
      <formula>1000</formula>
    </cfRule>
  </conditionalFormatting>
  <conditionalFormatting sqref="O897:O903">
    <cfRule type="cellIs" dxfId="117" priority="237" operator="lessThan">
      <formula>800</formula>
    </cfRule>
    <cfRule type="cellIs" dxfId="116" priority="238" operator="lessThan">
      <formula>1000</formula>
    </cfRule>
  </conditionalFormatting>
  <conditionalFormatting sqref="O901:O903">
    <cfRule type="cellIs" dxfId="115" priority="229" operator="lessThan">
      <formula>800</formula>
    </cfRule>
    <cfRule type="cellIs" dxfId="114" priority="230" operator="lessThan">
      <formula>1000</formula>
    </cfRule>
    <cfRule type="cellIs" dxfId="113" priority="231" operator="lessThan">
      <formula>800</formula>
    </cfRule>
    <cfRule type="cellIs" dxfId="112" priority="232" operator="lessThan">
      <formula>1000</formula>
    </cfRule>
    <cfRule type="cellIs" dxfId="111" priority="233" operator="lessThan">
      <formula>800</formula>
    </cfRule>
    <cfRule type="cellIs" dxfId="110" priority="234" operator="lessThan">
      <formula>1000</formula>
    </cfRule>
    <cfRule type="cellIs" dxfId="109" priority="235" operator="lessThan">
      <formula>800</formula>
    </cfRule>
    <cfRule type="cellIs" dxfId="108" priority="236" operator="lessThan">
      <formula>1000</formula>
    </cfRule>
  </conditionalFormatting>
  <conditionalFormatting sqref="O906:O909">
    <cfRule type="cellIs" dxfId="107" priority="197" operator="lessThan">
      <formula>800</formula>
    </cfRule>
    <cfRule type="cellIs" dxfId="106" priority="198" operator="lessThan">
      <formula>1000</formula>
    </cfRule>
    <cfRule type="cellIs" dxfId="105" priority="199" operator="lessThan">
      <formula>800</formula>
    </cfRule>
    <cfRule type="cellIs" dxfId="104" priority="200" operator="lessThan">
      <formula>1000</formula>
    </cfRule>
    <cfRule type="cellIs" dxfId="103" priority="201" operator="lessThan">
      <formula>800</formula>
    </cfRule>
    <cfRule type="cellIs" dxfId="102" priority="202" operator="lessThan">
      <formula>1000</formula>
    </cfRule>
  </conditionalFormatting>
  <conditionalFormatting sqref="O906:O910 O912:O915 O944">
    <cfRule type="cellIs" dxfId="101" priority="193" operator="lessThan">
      <formula>800</formula>
    </cfRule>
    <cfRule type="cellIs" dxfId="100" priority="194" operator="lessThan">
      <formula>1000</formula>
    </cfRule>
  </conditionalFormatting>
  <conditionalFormatting sqref="O910 O912:O915">
    <cfRule type="cellIs" dxfId="99" priority="190" operator="lessThan">
      <formula>1000</formula>
    </cfRule>
    <cfRule type="cellIs" dxfId="98" priority="191" operator="lessThan">
      <formula>800</formula>
    </cfRule>
    <cfRule type="cellIs" dxfId="97" priority="192" operator="lessThan">
      <formula>1000</formula>
    </cfRule>
  </conditionalFormatting>
  <conditionalFormatting sqref="O910:O911">
    <cfRule type="cellIs" dxfId="96" priority="165" operator="lessThan">
      <formula>800</formula>
    </cfRule>
    <cfRule type="cellIs" dxfId="95" priority="166" operator="lessThan">
      <formula>1000</formula>
    </cfRule>
  </conditionalFormatting>
  <conditionalFormatting sqref="O911">
    <cfRule type="cellIs" dxfId="94" priority="149" operator="lessThan">
      <formula>800</formula>
    </cfRule>
    <cfRule type="cellIs" dxfId="93" priority="150" operator="lessThan">
      <formula>1000</formula>
    </cfRule>
    <cfRule type="cellIs" dxfId="92" priority="151" operator="lessThan">
      <formula>800</formula>
    </cfRule>
    <cfRule type="cellIs" dxfId="91" priority="152" operator="lessThan">
      <formula>1000</formula>
    </cfRule>
    <cfRule type="cellIs" dxfId="90" priority="153" operator="lessThan">
      <formula>800</formula>
    </cfRule>
    <cfRule type="cellIs" dxfId="89" priority="154" operator="lessThan">
      <formula>1000</formula>
    </cfRule>
    <cfRule type="cellIs" dxfId="88" priority="155" operator="lessThan">
      <formula>800</formula>
    </cfRule>
    <cfRule type="cellIs" dxfId="87" priority="156" operator="lessThan">
      <formula>1000</formula>
    </cfRule>
    <cfRule type="cellIs" dxfId="86" priority="157" operator="lessThan">
      <formula>800</formula>
    </cfRule>
    <cfRule type="cellIs" dxfId="85" priority="158" operator="lessThan">
      <formula>1000</formula>
    </cfRule>
    <cfRule type="cellIs" dxfId="84" priority="159" operator="lessThan">
      <formula>800</formula>
    </cfRule>
    <cfRule type="cellIs" dxfId="83" priority="160" operator="lessThan">
      <formula>1000</formula>
    </cfRule>
    <cfRule type="cellIs" dxfId="82" priority="161" operator="lessThan">
      <formula>800</formula>
    </cfRule>
    <cfRule type="cellIs" dxfId="81" priority="162" operator="lessThan">
      <formula>1000</formula>
    </cfRule>
    <cfRule type="cellIs" dxfId="80" priority="163" operator="lessThan">
      <formula>800</formula>
    </cfRule>
    <cfRule type="cellIs" dxfId="79" priority="164" operator="lessThan">
      <formula>1000</formula>
    </cfRule>
  </conditionalFormatting>
  <conditionalFormatting sqref="O912:O915 O910">
    <cfRule type="cellIs" dxfId="78" priority="189" operator="lessThan">
      <formula>800</formula>
    </cfRule>
  </conditionalFormatting>
  <conditionalFormatting sqref="O912:O918">
    <cfRule type="cellIs" dxfId="77" priority="175" operator="lessThan">
      <formula>800</formula>
    </cfRule>
    <cfRule type="cellIs" dxfId="76" priority="176" operator="lessThan">
      <formula>1000</formula>
    </cfRule>
  </conditionalFormatting>
  <conditionalFormatting sqref="O916:O918">
    <cfRule type="cellIs" dxfId="75" priority="167" operator="lessThan">
      <formula>800</formula>
    </cfRule>
    <cfRule type="cellIs" dxfId="74" priority="168" operator="lessThan">
      <formula>1000</formula>
    </cfRule>
    <cfRule type="cellIs" dxfId="73" priority="169" operator="lessThan">
      <formula>800</formula>
    </cfRule>
    <cfRule type="cellIs" dxfId="72" priority="170" operator="lessThan">
      <formula>1000</formula>
    </cfRule>
    <cfRule type="cellIs" dxfId="71" priority="171" operator="lessThan">
      <formula>800</formula>
    </cfRule>
    <cfRule type="cellIs" dxfId="70" priority="172" operator="lessThan">
      <formula>1000</formula>
    </cfRule>
    <cfRule type="cellIs" dxfId="69" priority="173" operator="lessThan">
      <formula>800</formula>
    </cfRule>
    <cfRule type="cellIs" dxfId="68" priority="174" operator="lessThan">
      <formula>1000</formula>
    </cfRule>
  </conditionalFormatting>
  <conditionalFormatting sqref="O921">
    <cfRule type="cellIs" dxfId="67" priority="89" operator="lessThan">
      <formula>800</formula>
    </cfRule>
    <cfRule type="cellIs" dxfId="66" priority="90" operator="lessThan">
      <formula>1000</formula>
    </cfRule>
    <cfRule type="cellIs" dxfId="65" priority="91" operator="lessThan">
      <formula>800</formula>
    </cfRule>
    <cfRule type="cellIs" dxfId="64" priority="92" operator="lessThan">
      <formula>1000</formula>
    </cfRule>
    <cfRule type="cellIs" dxfId="63" priority="93" operator="lessThan">
      <formula>800</formula>
    </cfRule>
    <cfRule type="cellIs" dxfId="62" priority="94" operator="lessThan">
      <formula>1000</formula>
    </cfRule>
  </conditionalFormatting>
  <conditionalFormatting sqref="O921:O924">
    <cfRule type="cellIs" dxfId="61" priority="85" operator="lessThan">
      <formula>800</formula>
    </cfRule>
    <cfRule type="cellIs" dxfId="60" priority="86" operator="lessThan">
      <formula>1000</formula>
    </cfRule>
  </conditionalFormatting>
  <conditionalFormatting sqref="O922:O924">
    <cfRule type="cellIs" dxfId="59" priority="77" operator="lessThan">
      <formula>800</formula>
    </cfRule>
    <cfRule type="cellIs" dxfId="58" priority="78" operator="lessThan">
      <formula>1000</formula>
    </cfRule>
    <cfRule type="cellIs" dxfId="57" priority="79" operator="lessThan">
      <formula>800</formula>
    </cfRule>
    <cfRule type="cellIs" dxfId="56" priority="80" operator="lessThan">
      <formula>1000</formula>
    </cfRule>
    <cfRule type="cellIs" dxfId="55" priority="81" operator="lessThan">
      <formula>800</formula>
    </cfRule>
    <cfRule type="cellIs" dxfId="54" priority="82" operator="lessThan">
      <formula>1000</formula>
    </cfRule>
    <cfRule type="cellIs" dxfId="53" priority="83" operator="lessThan">
      <formula>800</formula>
    </cfRule>
    <cfRule type="cellIs" dxfId="52" priority="84" operator="lessThan">
      <formula>1000</formula>
    </cfRule>
  </conditionalFormatting>
  <conditionalFormatting sqref="O927:O929">
    <cfRule type="cellIs" dxfId="51" priority="57" operator="lessThan">
      <formula>800</formula>
    </cfRule>
    <cfRule type="cellIs" dxfId="50" priority="58" operator="lessThan">
      <formula>1000</formula>
    </cfRule>
    <cfRule type="cellIs" dxfId="49" priority="59" operator="lessThan">
      <formula>800</formula>
    </cfRule>
    <cfRule type="cellIs" dxfId="48" priority="60" operator="lessThan">
      <formula>1000</formula>
    </cfRule>
    <cfRule type="cellIs" dxfId="47" priority="61" operator="lessThan">
      <formula>800</formula>
    </cfRule>
    <cfRule type="cellIs" dxfId="46" priority="62" operator="lessThan">
      <formula>1000</formula>
    </cfRule>
    <cfRule type="cellIs" dxfId="45" priority="63" operator="lessThan">
      <formula>800</formula>
    </cfRule>
    <cfRule type="cellIs" dxfId="44" priority="64" operator="lessThan">
      <formula>1000</formula>
    </cfRule>
    <cfRule type="cellIs" dxfId="43" priority="65" operator="lessThan">
      <formula>800</formula>
    </cfRule>
    <cfRule type="cellIs" dxfId="42" priority="66" operator="lessThan">
      <formula>1000</formula>
    </cfRule>
  </conditionalFormatting>
  <conditionalFormatting sqref="O931:O934">
    <cfRule type="cellIs" dxfId="41" priority="49" operator="lessThan">
      <formula>800</formula>
    </cfRule>
    <cfRule type="cellIs" dxfId="40" priority="50" operator="lessThan">
      <formula>1000</formula>
    </cfRule>
    <cfRule type="cellIs" dxfId="39" priority="51" operator="lessThan">
      <formula>800</formula>
    </cfRule>
    <cfRule type="cellIs" dxfId="38" priority="52" operator="lessThan">
      <formula>1000</formula>
    </cfRule>
    <cfRule type="cellIs" dxfId="37" priority="53" operator="lessThan">
      <formula>800</formula>
    </cfRule>
    <cfRule type="cellIs" dxfId="36" priority="54" operator="lessThan">
      <formula>1000</formula>
    </cfRule>
    <cfRule type="cellIs" dxfId="35" priority="55" operator="lessThan">
      <formula>800</formula>
    </cfRule>
    <cfRule type="cellIs" dxfId="34" priority="56" operator="lessThan">
      <formula>1000</formula>
    </cfRule>
  </conditionalFormatting>
  <conditionalFormatting sqref="O931:O937">
    <cfRule type="cellIs" dxfId="33" priority="47" operator="lessThan">
      <formula>800</formula>
    </cfRule>
    <cfRule type="cellIs" dxfId="32" priority="48" operator="lessThan">
      <formula>1000</formula>
    </cfRule>
  </conditionalFormatting>
  <conditionalFormatting sqref="O935:O937">
    <cfRule type="cellIs" dxfId="31" priority="39" operator="lessThan">
      <formula>800</formula>
    </cfRule>
    <cfRule type="cellIs" dxfId="30" priority="40" operator="lessThan">
      <formula>1000</formula>
    </cfRule>
    <cfRule type="cellIs" dxfId="29" priority="41" operator="lessThan">
      <formula>800</formula>
    </cfRule>
    <cfRule type="cellIs" dxfId="28" priority="42" operator="lessThan">
      <formula>1000</formula>
    </cfRule>
    <cfRule type="cellIs" dxfId="27" priority="43" operator="lessThan">
      <formula>800</formula>
    </cfRule>
    <cfRule type="cellIs" dxfId="26" priority="44" operator="lessThan">
      <formula>1000</formula>
    </cfRule>
    <cfRule type="cellIs" dxfId="25" priority="45" operator="lessThan">
      <formula>800</formula>
    </cfRule>
    <cfRule type="cellIs" dxfId="24" priority="46" operator="lessThan">
      <formula>1000</formula>
    </cfRule>
  </conditionalFormatting>
  <conditionalFormatting sqref="O146:P147">
    <cfRule type="cellIs" dxfId="23" priority="1315" operator="lessThan">
      <formula>800</formula>
    </cfRule>
    <cfRule type="cellIs" dxfId="22" priority="1316" operator="lessThan">
      <formula>1000</formula>
    </cfRule>
  </conditionalFormatting>
  <conditionalFormatting sqref="O616:P617">
    <cfRule type="cellIs" dxfId="21" priority="1149" operator="lessThan">
      <formula>800</formula>
    </cfRule>
    <cfRule type="cellIs" dxfId="20" priority="1150" operator="lessThan">
      <formula>1000</formula>
    </cfRule>
  </conditionalFormatting>
  <conditionalFormatting sqref="O470:O472">
    <cfRule type="cellIs" dxfId="19" priority="19" operator="lessThan">
      <formula>800</formula>
    </cfRule>
    <cfRule type="cellIs" dxfId="18" priority="20" operator="lessThan">
      <formula>1000</formula>
    </cfRule>
  </conditionalFormatting>
  <conditionalFormatting sqref="O470:O472">
    <cfRule type="cellIs" dxfId="17" priority="11" operator="lessThan">
      <formula>800</formula>
    </cfRule>
    <cfRule type="cellIs" dxfId="16" priority="12" operator="lessThan">
      <formula>1000</formula>
    </cfRule>
    <cfRule type="cellIs" dxfId="15" priority="13" operator="lessThan">
      <formula>800</formula>
    </cfRule>
    <cfRule type="cellIs" dxfId="14" priority="14" operator="lessThan">
      <formula>1000</formula>
    </cfRule>
    <cfRule type="cellIs" dxfId="13" priority="15" operator="lessThan">
      <formula>800</formula>
    </cfRule>
    <cfRule type="cellIs" dxfId="12" priority="16" operator="lessThan">
      <formula>1000</formula>
    </cfRule>
    <cfRule type="cellIs" dxfId="11" priority="17" operator="lessThan">
      <formula>800</formula>
    </cfRule>
    <cfRule type="cellIs" dxfId="10" priority="18" operator="lessThan">
      <formula>1000</formula>
    </cfRule>
  </conditionalFormatting>
  <conditionalFormatting sqref="O940:O942">
    <cfRule type="cellIs" dxfId="9" priority="9" operator="lessThan">
      <formula>800</formula>
    </cfRule>
    <cfRule type="cellIs" dxfId="8" priority="10" operator="lessThan">
      <formula>1000</formula>
    </cfRule>
  </conditionalFormatting>
  <conditionalFormatting sqref="O940:O942">
    <cfRule type="cellIs" dxfId="7" priority="1" operator="lessThan">
      <formula>800</formula>
    </cfRule>
    <cfRule type="cellIs" dxfId="6" priority="2" operator="lessThan">
      <formula>1000</formula>
    </cfRule>
    <cfRule type="cellIs" dxfId="5" priority="3" operator="lessThan">
      <formula>800</formula>
    </cfRule>
    <cfRule type="cellIs" dxfId="4" priority="4" operator="lessThan">
      <formula>1000</formula>
    </cfRule>
    <cfRule type="cellIs" dxfId="3" priority="5" operator="lessThan">
      <formula>800</formula>
    </cfRule>
    <cfRule type="cellIs" dxfId="2" priority="6" operator="lessThan">
      <formula>1000</formula>
    </cfRule>
    <cfRule type="cellIs" dxfId="1" priority="7" operator="lessThan">
      <formula>800</formula>
    </cfRule>
    <cfRule type="cellIs" dxfId="0" priority="8" operator="lessThan">
      <formula>1000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39997558519241921"/>
  </sheetPr>
  <dimension ref="A1:S2060"/>
  <sheetViews>
    <sheetView zoomScaleNormal="100" workbookViewId="0">
      <pane ySplit="2" topLeftCell="A637" activePane="bottomLeft" state="frozen"/>
      <selection pane="bottomLeft" activeCell="D667" sqref="D667:F667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596</v>
      </c>
      <c r="D1" t="s">
        <v>618</v>
      </c>
      <c r="E1" t="s">
        <v>619</v>
      </c>
      <c r="F1" t="s">
        <v>597</v>
      </c>
    </row>
    <row r="2" spans="1:9">
      <c r="A2" t="s">
        <v>49</v>
      </c>
      <c r="C2" t="s">
        <v>598</v>
      </c>
      <c r="D2" t="s">
        <v>620</v>
      </c>
      <c r="E2" t="s">
        <v>621</v>
      </c>
      <c r="F2" t="s">
        <v>622</v>
      </c>
    </row>
    <row r="3" spans="1:9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</row>
    <row r="4" spans="1:9">
      <c r="A4" t="s">
        <v>67</v>
      </c>
      <c r="B4" t="s">
        <v>68</v>
      </c>
      <c r="C4" t="s">
        <v>68</v>
      </c>
      <c r="D4" t="s">
        <v>68</v>
      </c>
      <c r="E4" t="s">
        <v>68</v>
      </c>
      <c r="F4" t="s">
        <v>68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623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624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625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626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627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628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629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630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631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1962</v>
      </c>
      <c r="J77" s="236">
        <v>305007</v>
      </c>
      <c r="K77" t="s">
        <v>737</v>
      </c>
      <c r="L77"/>
      <c r="M77"/>
      <c r="N77"/>
      <c r="O77"/>
      <c r="P77" s="236">
        <v>305007</v>
      </c>
      <c r="Q77" s="236" t="s">
        <v>1213</v>
      </c>
      <c r="R77" s="236">
        <v>1</v>
      </c>
      <c r="S77" s="245" t="s">
        <v>1828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737</v>
      </c>
      <c r="L78"/>
      <c r="M78"/>
      <c r="N78"/>
      <c r="O78"/>
      <c r="P78" s="236">
        <v>305008</v>
      </c>
      <c r="Q78" s="236" t="s">
        <v>1217</v>
      </c>
      <c r="R78" s="236">
        <v>1</v>
      </c>
      <c r="S78" s="245" t="s">
        <v>1828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737</v>
      </c>
      <c r="L79"/>
      <c r="M79"/>
      <c r="N79"/>
      <c r="O79"/>
      <c r="P79" s="236">
        <v>305009</v>
      </c>
      <c r="Q79" s="236" t="s">
        <v>1220</v>
      </c>
      <c r="R79" s="236">
        <v>1</v>
      </c>
      <c r="S79" s="245" t="s">
        <v>1828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737</v>
      </c>
      <c r="L80"/>
      <c r="M80"/>
      <c r="N80"/>
      <c r="O80"/>
      <c r="P80" s="236">
        <v>305023</v>
      </c>
      <c r="Q80" s="236" t="s">
        <v>1277</v>
      </c>
      <c r="R80" s="236">
        <v>1</v>
      </c>
      <c r="S80" s="245" t="s">
        <v>1828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737</v>
      </c>
      <c r="L81"/>
      <c r="M81"/>
      <c r="N81"/>
      <c r="O81"/>
      <c r="P81" s="236">
        <v>305034</v>
      </c>
      <c r="Q81" s="236" t="s">
        <v>222</v>
      </c>
      <c r="R81" s="236">
        <v>1</v>
      </c>
      <c r="S81" s="245" t="s">
        <v>1828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737</v>
      </c>
      <c r="L82"/>
      <c r="M82"/>
      <c r="N82"/>
      <c r="O82"/>
      <c r="P82" s="236">
        <v>305035</v>
      </c>
      <c r="Q82" s="236" t="s">
        <v>227</v>
      </c>
      <c r="R82" s="236">
        <v>1</v>
      </c>
      <c r="S82" s="245" t="s">
        <v>1828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737</v>
      </c>
      <c r="L83"/>
      <c r="M83"/>
      <c r="N83"/>
      <c r="O83"/>
      <c r="P83" s="236">
        <v>305036</v>
      </c>
      <c r="Q83" s="236" t="s">
        <v>232</v>
      </c>
      <c r="R83" s="236">
        <v>1</v>
      </c>
      <c r="S83" s="245" t="s">
        <v>1828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737</v>
      </c>
      <c r="L84"/>
      <c r="M84"/>
      <c r="N84"/>
      <c r="O84"/>
      <c r="P84" s="236">
        <v>305039</v>
      </c>
      <c r="Q84" s="236" t="s">
        <v>1829</v>
      </c>
      <c r="R84" s="236">
        <v>1</v>
      </c>
      <c r="S84" s="245" t="s">
        <v>1828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737</v>
      </c>
      <c r="L85"/>
      <c r="M85"/>
      <c r="N85"/>
      <c r="O85"/>
      <c r="P85" s="236">
        <v>305040</v>
      </c>
      <c r="Q85" s="236" t="s">
        <v>277</v>
      </c>
      <c r="R85" s="236">
        <v>1</v>
      </c>
      <c r="S85" s="245" t="s">
        <v>1828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737</v>
      </c>
      <c r="L86"/>
      <c r="M86"/>
      <c r="N86"/>
      <c r="O86"/>
      <c r="P86" s="236">
        <v>305200</v>
      </c>
      <c r="Q86" s="236" t="s">
        <v>313</v>
      </c>
      <c r="R86" s="236">
        <v>1</v>
      </c>
      <c r="S86" s="245" t="s">
        <v>1828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737</v>
      </c>
      <c r="L87"/>
      <c r="M87"/>
      <c r="N87"/>
      <c r="O87"/>
      <c r="P87" s="254">
        <v>305224</v>
      </c>
      <c r="Q87" t="s">
        <v>1890</v>
      </c>
      <c r="R87" s="236">
        <v>1</v>
      </c>
      <c r="S87" s="245" t="s">
        <v>1828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737</v>
      </c>
      <c r="L88"/>
      <c r="M88"/>
      <c r="N88"/>
      <c r="O88"/>
      <c r="P88" s="254">
        <v>305225</v>
      </c>
      <c r="Q88" t="s">
        <v>1888</v>
      </c>
      <c r="R88" s="236">
        <v>1</v>
      </c>
      <c r="S88" s="245" t="s">
        <v>1828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737</v>
      </c>
      <c r="L89"/>
      <c r="M89"/>
      <c r="N89"/>
      <c r="O89"/>
      <c r="P89" s="254">
        <v>305226</v>
      </c>
      <c r="Q89" t="s">
        <v>1891</v>
      </c>
      <c r="R89" s="236">
        <v>1</v>
      </c>
      <c r="S89" s="245" t="s">
        <v>1828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737</v>
      </c>
      <c r="L90"/>
      <c r="M90"/>
      <c r="N90"/>
      <c r="O90"/>
      <c r="P90" s="246">
        <v>305010</v>
      </c>
      <c r="Q90" s="246" t="s">
        <v>1223</v>
      </c>
      <c r="R90" s="246">
        <v>2</v>
      </c>
      <c r="S90" s="247" t="s">
        <v>1830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737</v>
      </c>
      <c r="L91"/>
      <c r="M91"/>
      <c r="N91"/>
      <c r="O91"/>
      <c r="P91" s="246">
        <v>305021</v>
      </c>
      <c r="Q91" s="246" t="s">
        <v>1270</v>
      </c>
      <c r="R91" s="246">
        <v>2</v>
      </c>
      <c r="S91" s="247" t="s">
        <v>1830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737</v>
      </c>
      <c r="L92"/>
      <c r="M92"/>
      <c r="N92"/>
      <c r="O92"/>
      <c r="P92" s="246">
        <v>305022</v>
      </c>
      <c r="Q92" s="246" t="s">
        <v>1273</v>
      </c>
      <c r="R92" s="246">
        <v>2</v>
      </c>
      <c r="S92" s="247" t="s">
        <v>1830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737</v>
      </c>
      <c r="L93"/>
      <c r="M93"/>
      <c r="N93"/>
      <c r="O93"/>
      <c r="P93" s="246">
        <v>305032</v>
      </c>
      <c r="Q93" s="246" t="s">
        <v>213</v>
      </c>
      <c r="R93" s="246">
        <v>2</v>
      </c>
      <c r="S93" s="247" t="s">
        <v>1830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737</v>
      </c>
      <c r="L94"/>
      <c r="M94"/>
      <c r="N94"/>
      <c r="O94"/>
      <c r="P94" s="246">
        <v>305033</v>
      </c>
      <c r="Q94" s="246" t="s">
        <v>217</v>
      </c>
      <c r="R94" s="246">
        <v>2</v>
      </c>
      <c r="S94" s="247" t="s">
        <v>1830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737</v>
      </c>
      <c r="L95"/>
      <c r="M95"/>
      <c r="N95"/>
      <c r="O95"/>
      <c r="P95" s="246">
        <v>305037</v>
      </c>
      <c r="Q95" s="246" t="s">
        <v>264</v>
      </c>
      <c r="R95" s="246">
        <v>2</v>
      </c>
      <c r="S95" s="247" t="s">
        <v>1830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737</v>
      </c>
      <c r="L96"/>
      <c r="M96"/>
      <c r="N96"/>
      <c r="O96"/>
      <c r="P96" s="246">
        <v>305038</v>
      </c>
      <c r="Q96" s="246" t="s">
        <v>268</v>
      </c>
      <c r="R96" s="246">
        <v>2</v>
      </c>
      <c r="S96" s="247" t="s">
        <v>1830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737</v>
      </c>
      <c r="L97"/>
      <c r="M97"/>
      <c r="N97"/>
      <c r="O97"/>
      <c r="P97" s="246">
        <v>305300</v>
      </c>
      <c r="Q97" s="246" t="s">
        <v>318</v>
      </c>
      <c r="R97" s="246">
        <v>2</v>
      </c>
      <c r="S97" s="247" t="s">
        <v>1830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737</v>
      </c>
      <c r="L98"/>
      <c r="M98"/>
      <c r="N98"/>
      <c r="O98"/>
      <c r="P98" s="254">
        <v>305324</v>
      </c>
      <c r="Q98" t="s">
        <v>1887</v>
      </c>
      <c r="R98" s="246">
        <v>2</v>
      </c>
      <c r="S98" s="247" t="s">
        <v>1830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737</v>
      </c>
      <c r="L99"/>
      <c r="M99"/>
      <c r="N99"/>
      <c r="O99"/>
      <c r="P99" s="254">
        <v>305325</v>
      </c>
      <c r="Q99" t="s">
        <v>1888</v>
      </c>
      <c r="R99" s="246">
        <v>2</v>
      </c>
      <c r="S99" s="247" t="s">
        <v>1830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737</v>
      </c>
      <c r="L100"/>
      <c r="M100"/>
      <c r="N100"/>
      <c r="O100"/>
      <c r="P100" s="254">
        <v>305326</v>
      </c>
      <c r="Q100" t="s">
        <v>1889</v>
      </c>
      <c r="R100" s="246">
        <v>2</v>
      </c>
      <c r="S100" s="247" t="s">
        <v>1830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737</v>
      </c>
      <c r="L101"/>
      <c r="M101"/>
      <c r="N101"/>
      <c r="O101"/>
      <c r="P101" s="213">
        <v>305001</v>
      </c>
      <c r="Q101" s="213" t="s">
        <v>176</v>
      </c>
      <c r="R101" s="213">
        <v>0</v>
      </c>
      <c r="S101" s="244" t="s">
        <v>1827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737</v>
      </c>
      <c r="L102"/>
      <c r="M102"/>
      <c r="N102"/>
      <c r="O102"/>
      <c r="P102" s="213">
        <v>305002</v>
      </c>
      <c r="Q102" s="213" t="s">
        <v>181</v>
      </c>
      <c r="R102" s="213">
        <v>0</v>
      </c>
      <c r="S102" s="244" t="s">
        <v>1827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737</v>
      </c>
      <c r="L103"/>
      <c r="M103"/>
      <c r="N103"/>
      <c r="O103"/>
      <c r="P103" s="213">
        <v>305003</v>
      </c>
      <c r="Q103" s="213" t="s">
        <v>186</v>
      </c>
      <c r="R103" s="213">
        <v>0</v>
      </c>
      <c r="S103" s="244" t="s">
        <v>1827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737</v>
      </c>
      <c r="L104"/>
      <c r="M104"/>
      <c r="N104"/>
      <c r="O104"/>
      <c r="P104" s="213">
        <v>305018</v>
      </c>
      <c r="Q104" s="213" t="s">
        <v>191</v>
      </c>
      <c r="R104" s="213">
        <v>0</v>
      </c>
      <c r="S104" s="244" t="s">
        <v>1827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737</v>
      </c>
      <c r="L105"/>
      <c r="M105"/>
      <c r="N105"/>
      <c r="O105"/>
      <c r="P105" s="213">
        <v>305019</v>
      </c>
      <c r="Q105" s="213" t="s">
        <v>196</v>
      </c>
      <c r="R105" s="213">
        <v>0</v>
      </c>
      <c r="S105" s="244" t="s">
        <v>1827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737</v>
      </c>
      <c r="L106"/>
      <c r="M106"/>
      <c r="N106"/>
      <c r="O106"/>
      <c r="P106" s="213">
        <v>305041</v>
      </c>
      <c r="Q106" s="213" t="s">
        <v>282</v>
      </c>
      <c r="R106" s="213">
        <v>0</v>
      </c>
      <c r="S106" s="244" t="s">
        <v>1827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737</v>
      </c>
      <c r="L107"/>
      <c r="M107"/>
      <c r="N107"/>
      <c r="O107"/>
      <c r="P107" s="213">
        <v>305042</v>
      </c>
      <c r="Q107" s="213" t="s">
        <v>287</v>
      </c>
      <c r="R107" s="213">
        <v>0</v>
      </c>
      <c r="S107" s="244" t="s">
        <v>1827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737</v>
      </c>
      <c r="L108"/>
      <c r="M108"/>
      <c r="N108"/>
      <c r="O108"/>
      <c r="P108" s="213">
        <v>305600</v>
      </c>
      <c r="Q108" s="213" t="s">
        <v>323</v>
      </c>
      <c r="R108" s="213">
        <v>0</v>
      </c>
      <c r="S108" s="244" t="s">
        <v>1827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737</v>
      </c>
      <c r="L109"/>
      <c r="M109"/>
      <c r="N109"/>
      <c r="O109"/>
      <c r="P109" s="254">
        <v>305623</v>
      </c>
      <c r="Q109" t="s">
        <v>1864</v>
      </c>
      <c r="R109" s="213">
        <v>0</v>
      </c>
      <c r="S109" s="244" t="s">
        <v>1827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737</v>
      </c>
      <c r="L110"/>
      <c r="M110"/>
      <c r="N110"/>
      <c r="O110"/>
      <c r="P110" s="254">
        <v>305624</v>
      </c>
      <c r="Q110" t="s">
        <v>1865</v>
      </c>
      <c r="R110" s="213">
        <v>0</v>
      </c>
      <c r="S110" s="244" t="s">
        <v>1827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737</v>
      </c>
      <c r="L111"/>
      <c r="M111"/>
      <c r="N111"/>
      <c r="O111"/>
      <c r="P111" s="254">
        <v>305625</v>
      </c>
      <c r="Q111" t="s">
        <v>1866</v>
      </c>
      <c r="R111" s="213">
        <v>0</v>
      </c>
      <c r="S111" s="244" t="s">
        <v>1827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737</v>
      </c>
      <c r="L112"/>
      <c r="M112"/>
      <c r="N112"/>
      <c r="O112"/>
      <c r="P112" s="254">
        <v>305626</v>
      </c>
      <c r="Q112" t="s">
        <v>1867</v>
      </c>
      <c r="R112" s="213">
        <v>0</v>
      </c>
      <c r="S112" s="244" t="s">
        <v>1827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737</v>
      </c>
      <c r="L113"/>
      <c r="M113"/>
      <c r="N113"/>
      <c r="O113"/>
      <c r="P113" s="124">
        <v>305012</v>
      </c>
      <c r="Q113" s="124" t="s">
        <v>1230</v>
      </c>
      <c r="R113" s="124">
        <v>6</v>
      </c>
      <c r="S113" s="250" t="s">
        <v>1833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737</v>
      </c>
      <c r="L114"/>
      <c r="M114"/>
      <c r="N114"/>
      <c r="O114"/>
      <c r="P114" s="124">
        <v>305013</v>
      </c>
      <c r="Q114" s="124" t="s">
        <v>1237</v>
      </c>
      <c r="R114" s="124">
        <v>6</v>
      </c>
      <c r="S114" s="250" t="s">
        <v>1833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737</v>
      </c>
      <c r="L115"/>
      <c r="M115"/>
      <c r="N115"/>
      <c r="O115"/>
      <c r="P115" s="124">
        <v>305014</v>
      </c>
      <c r="Q115" s="124" t="s">
        <v>1241</v>
      </c>
      <c r="R115" s="124">
        <v>6</v>
      </c>
      <c r="S115" s="250" t="s">
        <v>1833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737</v>
      </c>
      <c r="L116" s="34"/>
      <c r="M116" s="34"/>
      <c r="N116"/>
      <c r="O116"/>
      <c r="P116" s="124">
        <v>305046</v>
      </c>
      <c r="Q116" s="124" t="s">
        <v>309</v>
      </c>
      <c r="R116" s="124">
        <v>6</v>
      </c>
      <c r="S116" s="250" t="s">
        <v>1833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737</v>
      </c>
      <c r="L117"/>
      <c r="M117"/>
      <c r="N117"/>
      <c r="O117"/>
      <c r="P117" s="254">
        <v>305815</v>
      </c>
      <c r="Q117" t="s">
        <v>1868</v>
      </c>
      <c r="R117" s="124">
        <v>6</v>
      </c>
      <c r="S117" s="250" t="s">
        <v>1833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737</v>
      </c>
      <c r="L118"/>
      <c r="M118"/>
      <c r="N118"/>
      <c r="O118"/>
      <c r="P118" s="254">
        <v>305816</v>
      </c>
      <c r="Q118" t="s">
        <v>1869</v>
      </c>
      <c r="R118" s="124">
        <v>6</v>
      </c>
      <c r="S118" s="250" t="s">
        <v>1833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737</v>
      </c>
      <c r="L119"/>
      <c r="M119"/>
      <c r="N119"/>
      <c r="O119"/>
      <c r="P119" s="254">
        <v>305817</v>
      </c>
      <c r="Q119" t="s">
        <v>1870</v>
      </c>
      <c r="R119" s="124">
        <v>6</v>
      </c>
      <c r="S119" s="250" t="s">
        <v>1833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737</v>
      </c>
      <c r="L120" s="34"/>
      <c r="M120" s="34"/>
      <c r="N120"/>
      <c r="O120"/>
      <c r="P120" s="254">
        <v>305818</v>
      </c>
      <c r="Q120" t="s">
        <v>1871</v>
      </c>
      <c r="R120" s="124">
        <v>6</v>
      </c>
      <c r="S120" s="250" t="s">
        <v>1833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737</v>
      </c>
      <c r="L121"/>
      <c r="M121"/>
      <c r="N121"/>
      <c r="O121"/>
      <c r="P121" s="254">
        <v>305819</v>
      </c>
      <c r="Q121" t="s">
        <v>1872</v>
      </c>
      <c r="R121" s="124">
        <v>6</v>
      </c>
      <c r="S121" s="250" t="s">
        <v>1833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737</v>
      </c>
      <c r="L122" s="34"/>
      <c r="M122" s="34"/>
      <c r="N122"/>
      <c r="O122"/>
      <c r="P122" s="254">
        <v>305820</v>
      </c>
      <c r="Q122" t="s">
        <v>1873</v>
      </c>
      <c r="R122" s="124">
        <v>6</v>
      </c>
      <c r="S122" s="250" t="s">
        <v>1833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737</v>
      </c>
      <c r="L123"/>
      <c r="M123"/>
      <c r="N123"/>
      <c r="O123"/>
      <c r="P123" s="134">
        <v>305015</v>
      </c>
      <c r="Q123" s="134" t="s">
        <v>1245</v>
      </c>
      <c r="R123" s="134">
        <v>7</v>
      </c>
      <c r="S123" s="251" t="s">
        <v>538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737</v>
      </c>
      <c r="L124"/>
      <c r="M124"/>
      <c r="N124"/>
      <c r="O124"/>
      <c r="P124" s="134">
        <v>305016</v>
      </c>
      <c r="Q124" s="134" t="s">
        <v>1251</v>
      </c>
      <c r="R124" s="134">
        <v>7</v>
      </c>
      <c r="S124" s="251" t="s">
        <v>538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737</v>
      </c>
      <c r="L125"/>
      <c r="M125"/>
      <c r="N125"/>
      <c r="O125"/>
      <c r="P125" s="134">
        <v>305017</v>
      </c>
      <c r="Q125" s="134" t="s">
        <v>1255</v>
      </c>
      <c r="R125" s="134">
        <v>7</v>
      </c>
      <c r="S125" s="251" t="s">
        <v>538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737</v>
      </c>
      <c r="L126"/>
      <c r="M126"/>
      <c r="N126"/>
      <c r="O126"/>
      <c r="P126" s="134">
        <v>305700</v>
      </c>
      <c r="Q126" s="134" t="s">
        <v>328</v>
      </c>
      <c r="R126" s="134">
        <v>7</v>
      </c>
      <c r="S126" s="251" t="s">
        <v>538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737</v>
      </c>
      <c r="L127"/>
      <c r="M127"/>
      <c r="N127"/>
      <c r="O127"/>
      <c r="P127" s="254">
        <v>305719</v>
      </c>
      <c r="Q127" t="s">
        <v>1874</v>
      </c>
      <c r="R127" s="134">
        <v>7</v>
      </c>
      <c r="S127" s="251" t="s">
        <v>538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737</v>
      </c>
      <c r="L128"/>
      <c r="M128"/>
      <c r="N128"/>
      <c r="O128"/>
      <c r="P128" s="254">
        <v>305720</v>
      </c>
      <c r="Q128" t="s">
        <v>1875</v>
      </c>
      <c r="R128" s="134">
        <v>7</v>
      </c>
      <c r="S128" s="251" t="s">
        <v>538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737</v>
      </c>
      <c r="L129"/>
      <c r="M129"/>
      <c r="N129"/>
      <c r="O129"/>
      <c r="P129" s="254">
        <v>305721</v>
      </c>
      <c r="Q129" t="s">
        <v>1876</v>
      </c>
      <c r="R129" s="134">
        <v>7</v>
      </c>
      <c r="S129" s="251" t="s">
        <v>538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737</v>
      </c>
      <c r="L130"/>
      <c r="M130"/>
      <c r="N130"/>
      <c r="O130"/>
      <c r="P130" s="254">
        <v>305722</v>
      </c>
      <c r="Q130" t="s">
        <v>1877</v>
      </c>
      <c r="R130" s="134">
        <v>7</v>
      </c>
      <c r="S130" s="251" t="s">
        <v>538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737</v>
      </c>
      <c r="L131"/>
      <c r="M131"/>
      <c r="N131"/>
      <c r="O131"/>
      <c r="P131" s="254">
        <v>305723</v>
      </c>
      <c r="Q131" t="s">
        <v>1878</v>
      </c>
      <c r="R131" s="134">
        <v>7</v>
      </c>
      <c r="S131" s="251" t="s">
        <v>538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737</v>
      </c>
      <c r="L132"/>
      <c r="M132"/>
      <c r="N132"/>
      <c r="O132"/>
      <c r="P132" s="254">
        <v>305724</v>
      </c>
      <c r="Q132" t="s">
        <v>1879</v>
      </c>
      <c r="R132" s="134">
        <v>7</v>
      </c>
      <c r="S132" s="251" t="s">
        <v>538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737</v>
      </c>
      <c r="L133"/>
      <c r="M133"/>
      <c r="N133"/>
      <c r="O133"/>
      <c r="P133" s="243">
        <v>305011</v>
      </c>
      <c r="Q133" s="243" t="s">
        <v>161</v>
      </c>
      <c r="R133" s="243">
        <v>3</v>
      </c>
      <c r="S133" s="248" t="s">
        <v>1831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737</v>
      </c>
      <c r="L134"/>
      <c r="M134"/>
      <c r="N134"/>
      <c r="O134"/>
      <c r="P134" s="216">
        <v>305025</v>
      </c>
      <c r="Q134" s="216" t="s">
        <v>200</v>
      </c>
      <c r="R134" s="216">
        <v>4</v>
      </c>
      <c r="S134" s="249" t="s">
        <v>1832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737</v>
      </c>
      <c r="L135"/>
      <c r="M135"/>
      <c r="N135"/>
      <c r="O135"/>
      <c r="P135" s="216">
        <v>305026</v>
      </c>
      <c r="Q135" s="216" t="s">
        <v>204</v>
      </c>
      <c r="R135" s="216">
        <v>4</v>
      </c>
      <c r="S135" s="249" t="s">
        <v>1832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737</v>
      </c>
      <c r="L136"/>
      <c r="M136"/>
      <c r="N136"/>
      <c r="O136"/>
      <c r="P136" s="216">
        <v>305050</v>
      </c>
      <c r="Q136" s="216" t="s">
        <v>300</v>
      </c>
      <c r="R136" s="216">
        <v>4</v>
      </c>
      <c r="S136" s="249" t="s">
        <v>1832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737</v>
      </c>
      <c r="L137"/>
      <c r="M137"/>
      <c r="N137"/>
      <c r="O137"/>
      <c r="P137" s="216">
        <v>305051</v>
      </c>
      <c r="Q137" s="216" t="s">
        <v>340</v>
      </c>
      <c r="R137" s="216">
        <v>4</v>
      </c>
      <c r="S137" s="249" t="s">
        <v>1832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737</v>
      </c>
      <c r="L138"/>
      <c r="M138"/>
      <c r="N138"/>
      <c r="O138"/>
      <c r="P138" s="254">
        <v>305055</v>
      </c>
      <c r="Q138" t="s">
        <v>1880</v>
      </c>
      <c r="R138" s="216">
        <v>4</v>
      </c>
      <c r="S138" s="249" t="s">
        <v>1832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737</v>
      </c>
      <c r="L139"/>
      <c r="M139"/>
      <c r="N139"/>
      <c r="O139"/>
      <c r="P139" s="254">
        <v>305056</v>
      </c>
      <c r="Q139" t="s">
        <v>1881</v>
      </c>
      <c r="R139" s="216">
        <v>4</v>
      </c>
      <c r="S139" s="249" t="s">
        <v>1832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737</v>
      </c>
      <c r="L140"/>
      <c r="M140"/>
      <c r="N140"/>
      <c r="O140"/>
      <c r="P140" s="254">
        <v>306104</v>
      </c>
      <c r="Q140" t="s">
        <v>1882</v>
      </c>
      <c r="R140" s="216">
        <v>4</v>
      </c>
      <c r="S140" s="249" t="s">
        <v>1886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737</v>
      </c>
      <c r="L141"/>
      <c r="M141"/>
      <c r="N141"/>
      <c r="O141"/>
      <c r="P141" s="254">
        <v>306105</v>
      </c>
      <c r="Q141" t="s">
        <v>1883</v>
      </c>
      <c r="R141" s="216">
        <v>4</v>
      </c>
      <c r="S141" s="249" t="s">
        <v>1886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737</v>
      </c>
      <c r="L142"/>
      <c r="M142"/>
      <c r="N142"/>
      <c r="O142"/>
      <c r="P142" s="254">
        <v>306106</v>
      </c>
      <c r="Q142" t="s">
        <v>1884</v>
      </c>
      <c r="R142" s="216">
        <v>4</v>
      </c>
      <c r="S142" s="249" t="s">
        <v>1886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737</v>
      </c>
      <c r="L143"/>
      <c r="M143"/>
      <c r="N143"/>
      <c r="O143"/>
      <c r="P143" s="254">
        <v>306107</v>
      </c>
      <c r="Q143" t="s">
        <v>1885</v>
      </c>
      <c r="R143" s="216">
        <v>4</v>
      </c>
      <c r="S143" s="249" t="s">
        <v>1886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1963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1926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1775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1776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2107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210" customFormat="1">
      <c r="B456" s="210">
        <v>100102</v>
      </c>
      <c r="C456" s="209">
        <v>200003</v>
      </c>
      <c r="D456" s="210">
        <v>1</v>
      </c>
      <c r="E456" s="210">
        <v>410</v>
      </c>
      <c r="F456" s="210">
        <v>1</v>
      </c>
      <c r="I456" s="132" t="s">
        <v>2106</v>
      </c>
    </row>
    <row r="457" spans="1:9" s="210" customFormat="1">
      <c r="B457" s="210">
        <v>100102</v>
      </c>
      <c r="C457" s="209">
        <v>200004</v>
      </c>
      <c r="D457" s="210">
        <v>1</v>
      </c>
      <c r="E457" s="210">
        <v>410</v>
      </c>
      <c r="F457" s="210">
        <v>1</v>
      </c>
      <c r="I457" s="209"/>
    </row>
    <row r="458" spans="1:9" s="210" customFormat="1">
      <c r="B458" s="210">
        <v>100102</v>
      </c>
      <c r="C458" s="210">
        <v>200005</v>
      </c>
      <c r="D458" s="210">
        <v>1</v>
      </c>
      <c r="E458" s="210">
        <v>410</v>
      </c>
      <c r="F458" s="210">
        <v>1</v>
      </c>
    </row>
    <row r="459" spans="1:9" s="210" customFormat="1">
      <c r="B459" s="210">
        <v>100102</v>
      </c>
      <c r="C459" s="210">
        <v>200006</v>
      </c>
      <c r="D459" s="210">
        <v>1</v>
      </c>
      <c r="E459" s="210">
        <v>410</v>
      </c>
      <c r="F459" s="210">
        <v>1</v>
      </c>
    </row>
    <row r="460" spans="1:9" s="210" customFormat="1">
      <c r="B460" s="210">
        <v>100102</v>
      </c>
      <c r="C460" s="210">
        <v>200007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200008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37">
        <v>200009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37">
        <v>200010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200016</v>
      </c>
      <c r="D464" s="210">
        <v>1</v>
      </c>
      <c r="E464" s="210">
        <v>410</v>
      </c>
      <c r="F464" s="210">
        <v>1</v>
      </c>
    </row>
    <row r="465" spans="1:9" s="210" customFormat="1">
      <c r="B465" s="210">
        <v>100102</v>
      </c>
      <c r="C465" s="237">
        <v>200017</v>
      </c>
      <c r="D465" s="210">
        <v>1</v>
      </c>
      <c r="E465" s="210">
        <v>410</v>
      </c>
      <c r="F465" s="210">
        <v>1</v>
      </c>
    </row>
    <row r="466" spans="1:9" s="210" customFormat="1">
      <c r="B466" s="210">
        <v>100102</v>
      </c>
      <c r="C466" s="237">
        <v>200018</v>
      </c>
      <c r="D466" s="210">
        <v>1</v>
      </c>
      <c r="E466" s="210">
        <v>410</v>
      </c>
      <c r="F466" s="210">
        <v>1</v>
      </c>
    </row>
    <row r="467" spans="1:9" s="210" customFormat="1">
      <c r="B467" s="210">
        <v>100102</v>
      </c>
      <c r="C467" s="237">
        <v>200019</v>
      </c>
      <c r="D467" s="210">
        <v>1</v>
      </c>
      <c r="E467" s="210">
        <v>410</v>
      </c>
      <c r="F467" s="210">
        <v>1</v>
      </c>
    </row>
    <row r="468" spans="1:9" s="210" customFormat="1">
      <c r="B468" s="210">
        <v>100102</v>
      </c>
      <c r="C468" s="237">
        <v>200020</v>
      </c>
      <c r="D468" s="210">
        <v>1</v>
      </c>
      <c r="E468" s="210">
        <v>410</v>
      </c>
      <c r="F468" s="210">
        <v>1</v>
      </c>
    </row>
    <row r="469" spans="1:9" s="210" customFormat="1">
      <c r="B469" s="210">
        <v>100102</v>
      </c>
      <c r="C469" s="237">
        <v>200021</v>
      </c>
      <c r="D469" s="210">
        <v>1</v>
      </c>
      <c r="E469" s="210">
        <v>410</v>
      </c>
      <c r="F469" s="210">
        <v>1</v>
      </c>
    </row>
    <row r="470" spans="1:9" s="210" customFormat="1">
      <c r="B470" s="210">
        <v>100102</v>
      </c>
      <c r="C470" s="237">
        <v>200024</v>
      </c>
      <c r="D470" s="210">
        <v>1</v>
      </c>
      <c r="E470" s="210">
        <v>410</v>
      </c>
      <c r="F470" s="210">
        <v>1</v>
      </c>
    </row>
    <row r="471" spans="1:9" s="210" customFormat="1">
      <c r="B471" s="210">
        <v>100102</v>
      </c>
      <c r="C471" s="237">
        <v>200026</v>
      </c>
      <c r="D471" s="210">
        <v>1</v>
      </c>
      <c r="E471" s="210">
        <v>410</v>
      </c>
      <c r="F471" s="210">
        <v>1</v>
      </c>
    </row>
    <row r="472" spans="1:9" s="210" customFormat="1">
      <c r="B472" s="210">
        <v>100102</v>
      </c>
      <c r="C472" s="237">
        <v>200029</v>
      </c>
      <c r="D472" s="210">
        <v>1</v>
      </c>
      <c r="E472" s="210">
        <v>410</v>
      </c>
      <c r="F472" s="210">
        <v>1</v>
      </c>
    </row>
    <row r="473" spans="1:9" s="210" customFormat="1">
      <c r="B473" s="210">
        <v>100102</v>
      </c>
      <c r="C473" s="237">
        <v>200028</v>
      </c>
      <c r="D473" s="210">
        <v>1</v>
      </c>
      <c r="E473" s="210">
        <v>410</v>
      </c>
      <c r="F473" s="210">
        <v>1</v>
      </c>
    </row>
    <row r="474" spans="1:9" s="210" customFormat="1">
      <c r="A474" s="255"/>
      <c r="B474" s="210">
        <v>100102</v>
      </c>
      <c r="C474" s="256">
        <v>200032</v>
      </c>
      <c r="D474" s="255">
        <v>1</v>
      </c>
      <c r="E474" s="210">
        <v>410</v>
      </c>
      <c r="F474" s="255">
        <v>1</v>
      </c>
      <c r="G474" s="255"/>
      <c r="H474" s="255"/>
    </row>
    <row r="475" spans="1:9" s="210" customFormat="1">
      <c r="A475" s="255"/>
      <c r="B475" s="210">
        <v>100102</v>
      </c>
      <c r="C475" s="256">
        <v>200033</v>
      </c>
      <c r="D475" s="255">
        <v>1</v>
      </c>
      <c r="E475" s="210">
        <v>410</v>
      </c>
      <c r="F475" s="255">
        <v>1</v>
      </c>
      <c r="G475" s="255"/>
      <c r="H475" s="255"/>
    </row>
    <row r="476" spans="1:9" s="210" customFormat="1">
      <c r="A476" s="255"/>
      <c r="B476" s="210">
        <v>100102</v>
      </c>
      <c r="C476" s="256">
        <v>200038</v>
      </c>
      <c r="D476" s="255">
        <v>1</v>
      </c>
      <c r="E476" s="210">
        <v>410</v>
      </c>
      <c r="F476" s="255">
        <v>1</v>
      </c>
      <c r="G476" s="255"/>
      <c r="H476" s="255"/>
    </row>
    <row r="477" spans="1:9" s="210" customFormat="1">
      <c r="A477" s="255"/>
      <c r="B477" s="210">
        <v>100102</v>
      </c>
      <c r="C477" s="256">
        <v>200044</v>
      </c>
      <c r="D477" s="255">
        <v>1</v>
      </c>
      <c r="E477" s="210">
        <v>410</v>
      </c>
      <c r="F477" s="255">
        <v>1</v>
      </c>
      <c r="G477" s="255"/>
      <c r="H477" s="255"/>
    </row>
    <row r="478" spans="1:9" s="210" customFormat="1">
      <c r="A478" s="255"/>
      <c r="B478" s="210">
        <v>100102</v>
      </c>
      <c r="C478" s="256">
        <v>200046</v>
      </c>
      <c r="D478" s="255">
        <v>1</v>
      </c>
      <c r="E478" s="210">
        <v>410</v>
      </c>
      <c r="F478" s="255">
        <v>1</v>
      </c>
      <c r="G478" s="255"/>
      <c r="H478" s="255"/>
    </row>
    <row r="479" spans="1:9" s="210" customFormat="1">
      <c r="A479" s="255"/>
      <c r="B479" s="210">
        <v>100102</v>
      </c>
      <c r="C479" s="256">
        <v>200048</v>
      </c>
      <c r="D479" s="255">
        <v>1</v>
      </c>
      <c r="E479" s="210">
        <v>410</v>
      </c>
      <c r="F479" s="255">
        <v>1</v>
      </c>
      <c r="G479" s="255"/>
      <c r="H479" s="255"/>
    </row>
    <row r="480" spans="1:9" s="210" customFormat="1">
      <c r="A480" s="255"/>
      <c r="B480" s="210">
        <v>100102</v>
      </c>
      <c r="C480" s="256">
        <v>200053</v>
      </c>
      <c r="D480" s="255">
        <v>1</v>
      </c>
      <c r="E480" s="210">
        <v>410</v>
      </c>
      <c r="F480" s="255">
        <v>1</v>
      </c>
      <c r="G480" s="255"/>
      <c r="H480" s="255"/>
      <c r="I480" s="209"/>
    </row>
    <row r="481" spans="1:9" s="210" customFormat="1">
      <c r="A481" s="255"/>
      <c r="B481" s="210">
        <v>100102</v>
      </c>
      <c r="C481" s="256">
        <v>200059</v>
      </c>
      <c r="D481" s="255">
        <v>1</v>
      </c>
      <c r="E481" s="210">
        <v>410</v>
      </c>
      <c r="F481" s="255">
        <v>1</v>
      </c>
      <c r="G481" s="255"/>
      <c r="H481" s="255"/>
      <c r="I481" s="209"/>
    </row>
    <row r="482" spans="1:9" s="210" customFormat="1">
      <c r="A482" s="255"/>
      <c r="B482" s="210">
        <v>100102</v>
      </c>
      <c r="C482" s="256">
        <v>200066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200067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200068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200069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200074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200077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200083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200084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200093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200094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200091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20000107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200099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200098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20000106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2:9" s="131" customFormat="1">
      <c r="B497" s="131">
        <v>100151</v>
      </c>
      <c r="C497" s="132">
        <v>200003</v>
      </c>
      <c r="D497" s="131">
        <v>1</v>
      </c>
      <c r="E497" s="146">
        <v>410</v>
      </c>
      <c r="F497" s="131">
        <v>1</v>
      </c>
      <c r="I497" s="132" t="s">
        <v>2105</v>
      </c>
    </row>
    <row r="498" spans="2:9" s="131" customFormat="1">
      <c r="B498" s="131">
        <v>100151</v>
      </c>
      <c r="C498" s="132">
        <v>200004</v>
      </c>
      <c r="D498" s="131">
        <v>1</v>
      </c>
      <c r="E498" s="146">
        <v>410</v>
      </c>
      <c r="F498" s="131">
        <v>1</v>
      </c>
    </row>
    <row r="499" spans="2:9" s="131" customFormat="1">
      <c r="B499" s="131">
        <v>100151</v>
      </c>
      <c r="C499" s="131">
        <v>200005</v>
      </c>
      <c r="D499" s="131">
        <v>1</v>
      </c>
      <c r="E499" s="146">
        <v>410</v>
      </c>
      <c r="F499" s="131">
        <v>1</v>
      </c>
    </row>
    <row r="500" spans="2:9" s="131" customFormat="1">
      <c r="B500" s="131">
        <v>100151</v>
      </c>
      <c r="C500" s="131">
        <v>200006</v>
      </c>
      <c r="D500" s="131">
        <v>1</v>
      </c>
      <c r="E500" s="146">
        <v>410</v>
      </c>
      <c r="F500" s="131">
        <v>1</v>
      </c>
    </row>
    <row r="501" spans="2:9" s="131" customFormat="1">
      <c r="B501" s="131">
        <v>100151</v>
      </c>
      <c r="C501" s="131">
        <v>200007</v>
      </c>
      <c r="D501" s="131">
        <v>1</v>
      </c>
      <c r="E501" s="146">
        <v>410</v>
      </c>
      <c r="F501" s="131">
        <v>1</v>
      </c>
    </row>
    <row r="502" spans="2:9" s="131" customFormat="1">
      <c r="B502" s="131">
        <v>100151</v>
      </c>
      <c r="C502" s="131">
        <v>200008</v>
      </c>
      <c r="D502" s="131">
        <v>1</v>
      </c>
      <c r="E502" s="146">
        <v>410</v>
      </c>
      <c r="F502" s="131">
        <v>1</v>
      </c>
    </row>
    <row r="503" spans="2:9" s="131" customFormat="1">
      <c r="B503" s="131">
        <v>100151</v>
      </c>
      <c r="C503" s="133">
        <v>200009</v>
      </c>
      <c r="D503" s="131">
        <v>1</v>
      </c>
      <c r="E503" s="146">
        <v>410</v>
      </c>
      <c r="F503" s="131">
        <v>1</v>
      </c>
    </row>
    <row r="504" spans="2:9" s="131" customFormat="1">
      <c r="B504" s="131">
        <v>100151</v>
      </c>
      <c r="C504" s="133">
        <v>200010</v>
      </c>
      <c r="D504" s="131">
        <v>1</v>
      </c>
      <c r="E504" s="146">
        <v>410</v>
      </c>
      <c r="F504" s="131">
        <v>1</v>
      </c>
    </row>
    <row r="505" spans="2:9" s="131" customFormat="1">
      <c r="B505" s="131">
        <v>100151</v>
      </c>
      <c r="C505" s="133">
        <v>200016</v>
      </c>
      <c r="D505" s="131">
        <v>1</v>
      </c>
      <c r="E505" s="146">
        <v>410</v>
      </c>
      <c r="F505" s="131">
        <v>1</v>
      </c>
    </row>
    <row r="506" spans="2:9" s="131" customFormat="1">
      <c r="B506" s="131">
        <v>100151</v>
      </c>
      <c r="C506" s="133">
        <v>200017</v>
      </c>
      <c r="D506" s="131">
        <v>1</v>
      </c>
      <c r="E506" s="146">
        <v>410</v>
      </c>
      <c r="F506" s="131">
        <v>1</v>
      </c>
    </row>
    <row r="507" spans="2:9" s="131" customFormat="1">
      <c r="B507" s="131">
        <v>100151</v>
      </c>
      <c r="C507" s="133">
        <v>200018</v>
      </c>
      <c r="D507" s="131">
        <v>1</v>
      </c>
      <c r="E507" s="146">
        <v>410</v>
      </c>
      <c r="F507" s="131">
        <v>1</v>
      </c>
    </row>
    <row r="508" spans="2:9" s="131" customFormat="1">
      <c r="B508" s="131">
        <v>100151</v>
      </c>
      <c r="C508" s="133">
        <v>200019</v>
      </c>
      <c r="D508" s="131">
        <v>1</v>
      </c>
      <c r="E508" s="146">
        <v>410</v>
      </c>
      <c r="F508" s="131">
        <v>1</v>
      </c>
    </row>
    <row r="509" spans="2:9" s="131" customFormat="1">
      <c r="B509" s="131">
        <v>100151</v>
      </c>
      <c r="C509" s="133">
        <v>200020</v>
      </c>
      <c r="D509" s="131">
        <v>1</v>
      </c>
      <c r="E509" s="146">
        <v>410</v>
      </c>
      <c r="F509" s="131">
        <v>1</v>
      </c>
    </row>
    <row r="510" spans="2:9" s="131" customFormat="1">
      <c r="B510" s="131">
        <v>100151</v>
      </c>
      <c r="C510" s="133">
        <v>200021</v>
      </c>
      <c r="D510" s="131">
        <v>1</v>
      </c>
      <c r="E510" s="146">
        <v>410</v>
      </c>
      <c r="F510" s="131">
        <v>1</v>
      </c>
    </row>
    <row r="511" spans="2:9" s="131" customFormat="1">
      <c r="B511" s="131">
        <v>100151</v>
      </c>
      <c r="C511" s="133">
        <v>200024</v>
      </c>
      <c r="D511" s="131">
        <v>1</v>
      </c>
      <c r="E511" s="146">
        <v>410</v>
      </c>
      <c r="F511" s="131">
        <v>1</v>
      </c>
    </row>
    <row r="512" spans="2:9" s="131" customFormat="1">
      <c r="B512" s="131">
        <v>100151</v>
      </c>
      <c r="C512" s="133">
        <v>200026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200029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200028</v>
      </c>
      <c r="D514" s="131">
        <v>1</v>
      </c>
      <c r="E514" s="146">
        <v>410</v>
      </c>
      <c r="F514" s="131">
        <v>1</v>
      </c>
    </row>
    <row r="515" spans="1:9" s="131" customFormat="1">
      <c r="A515" s="146"/>
      <c r="B515" s="131">
        <v>100151</v>
      </c>
      <c r="C515" s="147">
        <v>200032</v>
      </c>
      <c r="D515" s="146">
        <v>1</v>
      </c>
      <c r="E515" s="146">
        <v>410</v>
      </c>
      <c r="F515" s="146">
        <v>1</v>
      </c>
      <c r="G515" s="146"/>
      <c r="H515" s="146"/>
    </row>
    <row r="516" spans="1:9" s="131" customFormat="1">
      <c r="A516" s="146"/>
      <c r="B516" s="131">
        <v>100151</v>
      </c>
      <c r="C516" s="147">
        <v>200033</v>
      </c>
      <c r="D516" s="146">
        <v>1</v>
      </c>
      <c r="E516" s="146">
        <v>410</v>
      </c>
      <c r="F516" s="146">
        <v>1</v>
      </c>
      <c r="G516" s="146"/>
      <c r="H516" s="146"/>
    </row>
    <row r="517" spans="1:9" s="131" customFormat="1">
      <c r="A517" s="146"/>
      <c r="B517" s="131">
        <v>100151</v>
      </c>
      <c r="C517" s="147">
        <v>200038</v>
      </c>
      <c r="D517" s="146">
        <v>1</v>
      </c>
      <c r="E517" s="146">
        <v>410</v>
      </c>
      <c r="F517" s="146">
        <v>1</v>
      </c>
      <c r="G517" s="146"/>
      <c r="H517" s="146"/>
      <c r="I517" s="132"/>
    </row>
    <row r="518" spans="1:9" s="131" customFormat="1">
      <c r="A518" s="146"/>
      <c r="B518" s="131">
        <v>100151</v>
      </c>
      <c r="C518" s="147">
        <v>200044</v>
      </c>
      <c r="D518" s="146">
        <v>1</v>
      </c>
      <c r="E518" s="146">
        <v>410</v>
      </c>
      <c r="F518" s="146">
        <v>1</v>
      </c>
      <c r="G518" s="146"/>
      <c r="H518" s="146"/>
      <c r="I518" s="132"/>
    </row>
    <row r="519" spans="1:9" s="131" customFormat="1">
      <c r="A519" s="146"/>
      <c r="B519" s="131">
        <v>100151</v>
      </c>
      <c r="C519" s="147">
        <v>200046</v>
      </c>
      <c r="D519" s="146">
        <v>1</v>
      </c>
      <c r="E519" s="146">
        <v>410</v>
      </c>
      <c r="F519" s="146">
        <v>1</v>
      </c>
      <c r="G519" s="146"/>
      <c r="H519" s="146"/>
      <c r="I519" s="132"/>
    </row>
    <row r="520" spans="1:9" s="131" customFormat="1">
      <c r="A520" s="146"/>
      <c r="B520" s="131">
        <v>100151</v>
      </c>
      <c r="C520" s="147">
        <v>200048</v>
      </c>
      <c r="D520" s="146">
        <v>1</v>
      </c>
      <c r="E520" s="146">
        <v>410</v>
      </c>
      <c r="F520" s="146">
        <v>1</v>
      </c>
      <c r="G520" s="146"/>
      <c r="H520" s="146"/>
      <c r="I520" s="132"/>
    </row>
    <row r="521" spans="1:9" s="131" customFormat="1">
      <c r="A521" s="146"/>
      <c r="B521" s="131">
        <v>100151</v>
      </c>
      <c r="C521" s="147">
        <v>200053</v>
      </c>
      <c r="D521" s="146">
        <v>1</v>
      </c>
      <c r="E521" s="146">
        <v>410</v>
      </c>
      <c r="F521" s="146">
        <v>1</v>
      </c>
      <c r="G521" s="146"/>
      <c r="H521" s="146"/>
      <c r="I521" s="132"/>
    </row>
    <row r="522" spans="1:9" s="131" customFormat="1">
      <c r="A522" s="146"/>
      <c r="B522" s="131">
        <v>100151</v>
      </c>
      <c r="C522" s="147">
        <v>200059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200066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200067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200068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200069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200074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200077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200083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200084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200093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200094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200091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20000107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200099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200098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210" customFormat="1">
      <c r="B537" s="210">
        <v>100152</v>
      </c>
      <c r="C537" s="209">
        <v>200003</v>
      </c>
      <c r="D537" s="210">
        <v>1</v>
      </c>
      <c r="E537" s="210">
        <v>410</v>
      </c>
      <c r="F537" s="210">
        <v>1</v>
      </c>
      <c r="I537" s="132" t="s">
        <v>2104</v>
      </c>
    </row>
    <row r="538" spans="1:9" s="210" customFormat="1">
      <c r="B538" s="210">
        <v>100152</v>
      </c>
      <c r="C538" s="209">
        <v>200004</v>
      </c>
      <c r="D538" s="210">
        <v>1</v>
      </c>
      <c r="E538" s="210">
        <v>410</v>
      </c>
      <c r="F538" s="210">
        <v>1</v>
      </c>
      <c r="I538" s="209"/>
    </row>
    <row r="539" spans="1:9" s="210" customFormat="1">
      <c r="B539" s="210">
        <v>100152</v>
      </c>
      <c r="C539" s="210">
        <v>200005</v>
      </c>
      <c r="D539" s="210">
        <v>1</v>
      </c>
      <c r="E539" s="210">
        <v>410</v>
      </c>
      <c r="F539" s="210">
        <v>1</v>
      </c>
    </row>
    <row r="540" spans="1:9" s="210" customFormat="1">
      <c r="B540" s="210">
        <v>100152</v>
      </c>
      <c r="C540" s="210">
        <v>200006</v>
      </c>
      <c r="D540" s="210">
        <v>1</v>
      </c>
      <c r="E540" s="210">
        <v>410</v>
      </c>
      <c r="F540" s="210">
        <v>1</v>
      </c>
    </row>
    <row r="541" spans="1:9" s="210" customFormat="1">
      <c r="B541" s="210">
        <v>100152</v>
      </c>
      <c r="C541" s="210">
        <v>200007</v>
      </c>
      <c r="D541" s="210">
        <v>1</v>
      </c>
      <c r="E541" s="210">
        <v>410</v>
      </c>
      <c r="F541" s="210">
        <v>1</v>
      </c>
    </row>
    <row r="542" spans="1:9" s="210" customFormat="1">
      <c r="B542" s="210">
        <v>100152</v>
      </c>
      <c r="C542" s="210">
        <v>200008</v>
      </c>
      <c r="D542" s="210">
        <v>1</v>
      </c>
      <c r="E542" s="210">
        <v>410</v>
      </c>
      <c r="F542" s="210">
        <v>1</v>
      </c>
    </row>
    <row r="543" spans="1:9" s="210" customFormat="1">
      <c r="B543" s="210">
        <v>100152</v>
      </c>
      <c r="C543" s="237">
        <v>200009</v>
      </c>
      <c r="D543" s="210">
        <v>1</v>
      </c>
      <c r="E543" s="210">
        <v>410</v>
      </c>
      <c r="F543" s="210">
        <v>1</v>
      </c>
    </row>
    <row r="544" spans="1:9" s="210" customFormat="1">
      <c r="B544" s="210">
        <v>100152</v>
      </c>
      <c r="C544" s="237">
        <v>200010</v>
      </c>
      <c r="D544" s="210">
        <v>1</v>
      </c>
      <c r="E544" s="210">
        <v>410</v>
      </c>
      <c r="F544" s="210">
        <v>1</v>
      </c>
    </row>
    <row r="545" spans="1:8" s="210" customFormat="1">
      <c r="B545" s="210">
        <v>100152</v>
      </c>
      <c r="C545" s="237">
        <v>200016</v>
      </c>
      <c r="D545" s="210">
        <v>1</v>
      </c>
      <c r="E545" s="210">
        <v>410</v>
      </c>
      <c r="F545" s="210">
        <v>1</v>
      </c>
    </row>
    <row r="546" spans="1:8" s="210" customFormat="1">
      <c r="B546" s="210">
        <v>100152</v>
      </c>
      <c r="C546" s="237">
        <v>200017</v>
      </c>
      <c r="D546" s="210">
        <v>1</v>
      </c>
      <c r="E546" s="210">
        <v>410</v>
      </c>
      <c r="F546" s="210">
        <v>1</v>
      </c>
    </row>
    <row r="547" spans="1:8" s="210" customFormat="1">
      <c r="B547" s="210">
        <v>100152</v>
      </c>
      <c r="C547" s="237">
        <v>200018</v>
      </c>
      <c r="D547" s="210">
        <v>1</v>
      </c>
      <c r="E547" s="210">
        <v>410</v>
      </c>
      <c r="F547" s="210">
        <v>1</v>
      </c>
    </row>
    <row r="548" spans="1:8" s="210" customFormat="1">
      <c r="B548" s="210">
        <v>100152</v>
      </c>
      <c r="C548" s="237">
        <v>200019</v>
      </c>
      <c r="D548" s="210">
        <v>1</v>
      </c>
      <c r="E548" s="210">
        <v>410</v>
      </c>
      <c r="F548" s="210">
        <v>1</v>
      </c>
    </row>
    <row r="549" spans="1:8" s="210" customFormat="1">
      <c r="B549" s="210">
        <v>100152</v>
      </c>
      <c r="C549" s="237">
        <v>200020</v>
      </c>
      <c r="D549" s="210">
        <v>1</v>
      </c>
      <c r="E549" s="210">
        <v>410</v>
      </c>
      <c r="F549" s="210">
        <v>1</v>
      </c>
    </row>
    <row r="550" spans="1:8" s="210" customFormat="1">
      <c r="B550" s="210">
        <v>100152</v>
      </c>
      <c r="C550" s="237">
        <v>200021</v>
      </c>
      <c r="D550" s="210">
        <v>1</v>
      </c>
      <c r="E550" s="210">
        <v>410</v>
      </c>
      <c r="F550" s="210">
        <v>1</v>
      </c>
    </row>
    <row r="551" spans="1:8" s="210" customFormat="1">
      <c r="B551" s="210">
        <v>100152</v>
      </c>
      <c r="C551" s="237">
        <v>200024</v>
      </c>
      <c r="D551" s="210">
        <v>1</v>
      </c>
      <c r="E551" s="210">
        <v>410</v>
      </c>
      <c r="F551" s="210">
        <v>1</v>
      </c>
    </row>
    <row r="552" spans="1:8" s="210" customFormat="1">
      <c r="B552" s="210">
        <v>100152</v>
      </c>
      <c r="C552" s="237">
        <v>200026</v>
      </c>
      <c r="D552" s="210">
        <v>1</v>
      </c>
      <c r="E552" s="210">
        <v>410</v>
      </c>
      <c r="F552" s="210">
        <v>1</v>
      </c>
    </row>
    <row r="553" spans="1:8" s="210" customFormat="1">
      <c r="B553" s="210">
        <v>100152</v>
      </c>
      <c r="C553" s="237">
        <v>200029</v>
      </c>
      <c r="D553" s="210">
        <v>1</v>
      </c>
      <c r="E553" s="210">
        <v>410</v>
      </c>
      <c r="F553" s="210">
        <v>1</v>
      </c>
    </row>
    <row r="554" spans="1:8" s="210" customFormat="1">
      <c r="B554" s="210">
        <v>100152</v>
      </c>
      <c r="C554" s="237">
        <v>200028</v>
      </c>
      <c r="D554" s="210">
        <v>1</v>
      </c>
      <c r="E554" s="210">
        <v>410</v>
      </c>
      <c r="F554" s="210">
        <v>1</v>
      </c>
    </row>
    <row r="555" spans="1:8" s="210" customFormat="1">
      <c r="A555" s="255"/>
      <c r="B555" s="210">
        <v>100152</v>
      </c>
      <c r="C555" s="256">
        <v>200032</v>
      </c>
      <c r="D555" s="255">
        <v>1</v>
      </c>
      <c r="E555" s="210">
        <v>410</v>
      </c>
      <c r="F555" s="255">
        <v>1</v>
      </c>
      <c r="G555" s="255"/>
      <c r="H555" s="255"/>
    </row>
    <row r="556" spans="1:8" s="210" customFormat="1">
      <c r="A556" s="255"/>
      <c r="B556" s="210">
        <v>100152</v>
      </c>
      <c r="C556" s="256">
        <v>200033</v>
      </c>
      <c r="D556" s="255">
        <v>1</v>
      </c>
      <c r="E556" s="210">
        <v>410</v>
      </c>
      <c r="F556" s="255">
        <v>1</v>
      </c>
      <c r="G556" s="255"/>
      <c r="H556" s="255"/>
    </row>
    <row r="557" spans="1:8" s="210" customFormat="1">
      <c r="A557" s="255"/>
      <c r="B557" s="210">
        <v>100152</v>
      </c>
      <c r="C557" s="256">
        <v>200038</v>
      </c>
      <c r="D557" s="255">
        <v>1</v>
      </c>
      <c r="E557" s="210">
        <v>410</v>
      </c>
      <c r="F557" s="255">
        <v>1</v>
      </c>
      <c r="G557" s="255"/>
      <c r="H557" s="255"/>
    </row>
    <row r="558" spans="1:8" s="210" customFormat="1">
      <c r="A558" s="255"/>
      <c r="B558" s="210">
        <v>100152</v>
      </c>
      <c r="C558" s="256">
        <v>200044</v>
      </c>
      <c r="D558" s="255">
        <v>1</v>
      </c>
      <c r="E558" s="210">
        <v>410</v>
      </c>
      <c r="F558" s="255">
        <v>1</v>
      </c>
      <c r="G558" s="255"/>
      <c r="H558" s="255"/>
    </row>
    <row r="559" spans="1:8" s="210" customFormat="1">
      <c r="A559" s="255"/>
      <c r="B559" s="210">
        <v>100152</v>
      </c>
      <c r="C559" s="256">
        <v>200046</v>
      </c>
      <c r="D559" s="255">
        <v>1</v>
      </c>
      <c r="E559" s="210">
        <v>410</v>
      </c>
      <c r="F559" s="255">
        <v>1</v>
      </c>
      <c r="G559" s="255"/>
      <c r="H559" s="255"/>
    </row>
    <row r="560" spans="1:8" s="210" customFormat="1">
      <c r="A560" s="255"/>
      <c r="B560" s="210">
        <v>100152</v>
      </c>
      <c r="C560" s="256">
        <v>200048</v>
      </c>
      <c r="D560" s="255">
        <v>1</v>
      </c>
      <c r="E560" s="210">
        <v>410</v>
      </c>
      <c r="F560" s="255">
        <v>1</v>
      </c>
      <c r="G560" s="255"/>
      <c r="H560" s="255"/>
    </row>
    <row r="561" spans="1:9" s="210" customFormat="1">
      <c r="A561" s="255"/>
      <c r="B561" s="210">
        <v>100152</v>
      </c>
      <c r="C561" s="256">
        <v>200053</v>
      </c>
      <c r="D561" s="255">
        <v>1</v>
      </c>
      <c r="E561" s="210">
        <v>410</v>
      </c>
      <c r="F561" s="255">
        <v>1</v>
      </c>
      <c r="G561" s="255"/>
      <c r="H561" s="255"/>
      <c r="I561" s="209"/>
    </row>
    <row r="562" spans="1:9" s="210" customFormat="1">
      <c r="A562" s="255"/>
      <c r="B562" s="210">
        <v>100152</v>
      </c>
      <c r="C562" s="256">
        <v>200059</v>
      </c>
      <c r="D562" s="255">
        <v>1</v>
      </c>
      <c r="E562" s="210">
        <v>410</v>
      </c>
      <c r="F562" s="255">
        <v>1</v>
      </c>
      <c r="G562" s="255"/>
      <c r="H562" s="255"/>
      <c r="I562" s="209"/>
    </row>
    <row r="563" spans="1:9" s="210" customFormat="1">
      <c r="A563" s="255"/>
      <c r="B563" s="210">
        <v>100152</v>
      </c>
      <c r="C563" s="256">
        <v>200066</v>
      </c>
      <c r="D563" s="255">
        <v>1</v>
      </c>
      <c r="E563" s="210">
        <v>410</v>
      </c>
      <c r="F563" s="255">
        <v>1</v>
      </c>
      <c r="G563" s="255"/>
      <c r="H563" s="255"/>
      <c r="I563" s="209"/>
    </row>
    <row r="564" spans="1:9" s="210" customFormat="1">
      <c r="A564" s="255"/>
      <c r="B564" s="210">
        <v>100152</v>
      </c>
      <c r="C564" s="256">
        <v>200067</v>
      </c>
      <c r="D564" s="255">
        <v>1</v>
      </c>
      <c r="E564" s="210">
        <v>410</v>
      </c>
      <c r="F564" s="255">
        <v>1</v>
      </c>
      <c r="G564" s="255"/>
      <c r="H564" s="255"/>
      <c r="I564" s="209"/>
    </row>
    <row r="565" spans="1:9" s="210" customFormat="1">
      <c r="A565" s="255"/>
      <c r="B565" s="210">
        <v>100152</v>
      </c>
      <c r="C565" s="256">
        <v>200068</v>
      </c>
      <c r="D565" s="255">
        <v>1</v>
      </c>
      <c r="E565" s="210">
        <v>410</v>
      </c>
      <c r="F565" s="255">
        <v>1</v>
      </c>
      <c r="G565" s="255"/>
      <c r="H565" s="255"/>
      <c r="I565" s="209"/>
    </row>
    <row r="566" spans="1:9" s="210" customFormat="1">
      <c r="A566" s="255"/>
      <c r="B566" s="210">
        <v>100152</v>
      </c>
      <c r="C566" s="256">
        <v>200069</v>
      </c>
      <c r="D566" s="255">
        <v>1</v>
      </c>
      <c r="E566" s="210">
        <v>410</v>
      </c>
      <c r="F566" s="255">
        <v>1</v>
      </c>
      <c r="G566" s="255"/>
      <c r="H566" s="255"/>
      <c r="I566" s="209"/>
    </row>
    <row r="567" spans="1:9" s="210" customFormat="1">
      <c r="A567" s="255"/>
      <c r="B567" s="210">
        <v>100152</v>
      </c>
      <c r="C567" s="256">
        <v>200074</v>
      </c>
      <c r="D567" s="255">
        <v>1</v>
      </c>
      <c r="E567" s="210">
        <v>410</v>
      </c>
      <c r="F567" s="255">
        <v>1</v>
      </c>
      <c r="G567" s="255"/>
      <c r="H567" s="255"/>
      <c r="I567" s="209"/>
    </row>
    <row r="568" spans="1:9" s="210" customFormat="1">
      <c r="A568" s="255"/>
      <c r="B568" s="210">
        <v>100152</v>
      </c>
      <c r="C568" s="256">
        <v>200077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200083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200084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200093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200094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200091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20000107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200099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200098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20000106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145" customFormat="1">
      <c r="B578" s="145">
        <v>100201</v>
      </c>
      <c r="C578" s="145">
        <v>200011</v>
      </c>
      <c r="D578" s="145">
        <v>1</v>
      </c>
      <c r="E578" s="145">
        <v>410</v>
      </c>
      <c r="F578" s="145">
        <v>1</v>
      </c>
      <c r="I578" s="132" t="s">
        <v>2102</v>
      </c>
    </row>
    <row r="579" spans="1:9" s="145" customFormat="1">
      <c r="B579" s="145">
        <v>100201</v>
      </c>
      <c r="C579" s="145">
        <v>200012</v>
      </c>
      <c r="D579" s="145">
        <v>1</v>
      </c>
      <c r="E579" s="145">
        <v>410</v>
      </c>
      <c r="F579" s="145">
        <v>1</v>
      </c>
    </row>
    <row r="580" spans="1:9" s="145" customFormat="1">
      <c r="B580" s="145">
        <v>100201</v>
      </c>
      <c r="C580" s="145">
        <v>200013</v>
      </c>
      <c r="D580" s="145">
        <v>1</v>
      </c>
      <c r="E580" s="145">
        <v>410</v>
      </c>
      <c r="F580" s="145">
        <v>1</v>
      </c>
    </row>
    <row r="581" spans="1:9" s="145" customFormat="1">
      <c r="B581" s="145">
        <v>100201</v>
      </c>
      <c r="C581" s="145">
        <v>200014</v>
      </c>
      <c r="D581" s="145">
        <v>1</v>
      </c>
      <c r="E581" s="145">
        <v>410</v>
      </c>
      <c r="F581" s="145">
        <v>1</v>
      </c>
    </row>
    <row r="582" spans="1:9" s="145" customFormat="1">
      <c r="B582" s="145">
        <v>100201</v>
      </c>
      <c r="C582" s="148">
        <v>200022</v>
      </c>
      <c r="D582" s="145">
        <v>1</v>
      </c>
      <c r="E582" s="145">
        <v>410</v>
      </c>
      <c r="F582" s="145">
        <v>1</v>
      </c>
    </row>
    <row r="583" spans="1:9" s="145" customFormat="1">
      <c r="B583" s="145">
        <v>100201</v>
      </c>
      <c r="C583" s="148">
        <v>200023</v>
      </c>
      <c r="D583" s="145">
        <v>1</v>
      </c>
      <c r="E583" s="145">
        <v>410</v>
      </c>
      <c r="F583" s="145">
        <v>1</v>
      </c>
    </row>
    <row r="584" spans="1:9" s="145" customFormat="1">
      <c r="B584" s="145">
        <v>100201</v>
      </c>
      <c r="C584" s="148">
        <v>200025</v>
      </c>
      <c r="D584" s="145">
        <v>1</v>
      </c>
      <c r="E584" s="145">
        <v>410</v>
      </c>
      <c r="F584" s="145">
        <v>1</v>
      </c>
    </row>
    <row r="585" spans="1:9" s="145" customFormat="1">
      <c r="A585" s="149"/>
      <c r="B585" s="149">
        <v>100201</v>
      </c>
      <c r="C585" s="150">
        <v>200027</v>
      </c>
      <c r="D585" s="149">
        <v>1</v>
      </c>
      <c r="E585" s="145">
        <v>410</v>
      </c>
      <c r="F585" s="149">
        <v>1</v>
      </c>
      <c r="G585" s="149"/>
      <c r="H585" s="149"/>
    </row>
    <row r="586" spans="1:9" s="145" customFormat="1">
      <c r="A586" s="149"/>
      <c r="B586" s="149">
        <v>100201</v>
      </c>
      <c r="C586" s="150">
        <v>200030</v>
      </c>
      <c r="D586" s="149">
        <v>1</v>
      </c>
      <c r="E586" s="145">
        <v>410</v>
      </c>
      <c r="F586" s="149">
        <v>1</v>
      </c>
      <c r="G586" s="149"/>
      <c r="H586" s="149"/>
    </row>
    <row r="587" spans="1:9" s="145" customFormat="1">
      <c r="A587" s="149"/>
      <c r="B587" s="149">
        <v>100201</v>
      </c>
      <c r="C587" s="150">
        <v>200031</v>
      </c>
      <c r="D587" s="149">
        <v>1</v>
      </c>
      <c r="E587" s="145">
        <v>410</v>
      </c>
      <c r="F587" s="149">
        <v>1</v>
      </c>
      <c r="G587" s="149"/>
      <c r="H587" s="149"/>
    </row>
    <row r="588" spans="1:9" s="145" customFormat="1">
      <c r="A588" s="149"/>
      <c r="B588" s="149">
        <v>100201</v>
      </c>
      <c r="C588" s="150">
        <v>200039</v>
      </c>
      <c r="D588" s="149">
        <v>1</v>
      </c>
      <c r="E588" s="145">
        <v>410</v>
      </c>
      <c r="F588" s="149">
        <v>1</v>
      </c>
      <c r="G588" s="149"/>
      <c r="H588" s="149"/>
      <c r="I588" s="151"/>
    </row>
    <row r="589" spans="1:9" s="145" customFormat="1">
      <c r="A589" s="149"/>
      <c r="B589" s="149">
        <v>100201</v>
      </c>
      <c r="C589" s="150">
        <v>200045</v>
      </c>
      <c r="D589" s="149">
        <v>1</v>
      </c>
      <c r="E589" s="145">
        <v>410</v>
      </c>
      <c r="F589" s="149">
        <v>1</v>
      </c>
      <c r="G589" s="149"/>
      <c r="H589" s="149"/>
      <c r="I589" s="151"/>
    </row>
    <row r="590" spans="1:9" s="145" customFormat="1">
      <c r="A590" s="149"/>
      <c r="B590" s="149">
        <v>100201</v>
      </c>
      <c r="C590" s="150">
        <v>200047</v>
      </c>
      <c r="D590" s="149">
        <v>1</v>
      </c>
      <c r="E590" s="145">
        <v>410</v>
      </c>
      <c r="F590" s="149">
        <v>1</v>
      </c>
      <c r="G590" s="149"/>
      <c r="H590" s="149"/>
      <c r="I590" s="151"/>
    </row>
    <row r="591" spans="1:9" s="145" customFormat="1">
      <c r="A591" s="149"/>
      <c r="B591" s="149">
        <v>100201</v>
      </c>
      <c r="C591" s="150">
        <v>200049</v>
      </c>
      <c r="D591" s="149">
        <v>1</v>
      </c>
      <c r="E591" s="145">
        <v>410</v>
      </c>
      <c r="F591" s="149">
        <v>1</v>
      </c>
      <c r="G591" s="149"/>
      <c r="H591" s="149"/>
      <c r="I591" s="151"/>
    </row>
    <row r="592" spans="1:9" s="145" customFormat="1">
      <c r="A592" s="149"/>
      <c r="B592" s="149">
        <v>100201</v>
      </c>
      <c r="C592" s="150">
        <v>200054</v>
      </c>
      <c r="D592" s="149">
        <v>1</v>
      </c>
      <c r="E592" s="145">
        <v>410</v>
      </c>
      <c r="F592" s="149">
        <v>1</v>
      </c>
      <c r="G592" s="149"/>
      <c r="H592" s="149"/>
      <c r="I592" s="151"/>
    </row>
    <row r="593" spans="1:10" s="145" customFormat="1">
      <c r="A593" s="149"/>
      <c r="B593" s="149">
        <v>100201</v>
      </c>
      <c r="C593" s="150">
        <v>200060</v>
      </c>
      <c r="D593" s="149">
        <v>1</v>
      </c>
      <c r="E593" s="145">
        <v>410</v>
      </c>
      <c r="F593" s="149">
        <v>1</v>
      </c>
      <c r="G593" s="149"/>
      <c r="H593" s="149"/>
      <c r="I593" s="151"/>
    </row>
    <row r="594" spans="1:10" s="145" customFormat="1">
      <c r="A594" s="149"/>
      <c r="B594" s="149">
        <v>100201</v>
      </c>
      <c r="C594" s="150">
        <v>200075</v>
      </c>
      <c r="D594" s="149">
        <v>1</v>
      </c>
      <c r="E594" s="145">
        <v>410</v>
      </c>
      <c r="F594" s="149">
        <v>1</v>
      </c>
      <c r="G594" s="149"/>
      <c r="H594" s="149"/>
      <c r="I594" s="151"/>
    </row>
    <row r="595" spans="1:10" s="145" customFormat="1">
      <c r="A595" s="149"/>
      <c r="B595" s="149">
        <v>100201</v>
      </c>
      <c r="C595" s="150">
        <v>200078</v>
      </c>
      <c r="D595" s="149">
        <v>1</v>
      </c>
      <c r="E595" s="145">
        <v>410</v>
      </c>
      <c r="F595" s="149">
        <v>1</v>
      </c>
      <c r="G595" s="149"/>
      <c r="H595" s="149"/>
      <c r="I595" s="151"/>
    </row>
    <row r="596" spans="1:10" s="145" customFormat="1">
      <c r="A596" s="149"/>
      <c r="B596" s="149">
        <v>100201</v>
      </c>
      <c r="C596" s="150">
        <v>200090</v>
      </c>
      <c r="D596" s="149">
        <v>1</v>
      </c>
      <c r="E596" s="145">
        <v>410</v>
      </c>
      <c r="F596" s="149">
        <v>1</v>
      </c>
      <c r="G596" s="149"/>
      <c r="H596" s="149"/>
      <c r="I596" s="151"/>
    </row>
    <row r="597" spans="1:10" s="145" customFormat="1">
      <c r="A597" s="149"/>
      <c r="B597" s="149">
        <v>100201</v>
      </c>
      <c r="C597" s="150">
        <v>200085</v>
      </c>
      <c r="D597" s="149">
        <v>1</v>
      </c>
      <c r="E597" s="145">
        <v>410</v>
      </c>
      <c r="F597" s="149">
        <v>1</v>
      </c>
      <c r="G597" s="149"/>
      <c r="H597" s="149"/>
      <c r="I597" s="151"/>
    </row>
    <row r="598" spans="1:10" s="145" customFormat="1">
      <c r="A598" s="149"/>
      <c r="B598" s="149">
        <v>100201</v>
      </c>
      <c r="C598" s="150">
        <v>200092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10" s="145" customFormat="1">
      <c r="A599" s="149"/>
      <c r="B599" s="149">
        <v>100201</v>
      </c>
      <c r="C599" s="150">
        <v>200096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10" s="210" customFormat="1">
      <c r="B600" s="211">
        <v>100202</v>
      </c>
      <c r="C600" s="211">
        <v>200011</v>
      </c>
      <c r="D600" s="211">
        <v>1</v>
      </c>
      <c r="E600" s="211">
        <v>410</v>
      </c>
      <c r="F600" s="211">
        <v>1</v>
      </c>
      <c r="G600" s="211"/>
      <c r="H600" s="211"/>
      <c r="I600" s="132" t="s">
        <v>2103</v>
      </c>
      <c r="J600" s="209"/>
    </row>
    <row r="601" spans="1:10" s="210" customFormat="1">
      <c r="B601" s="211">
        <v>100202</v>
      </c>
      <c r="C601" s="211">
        <v>200012</v>
      </c>
      <c r="D601" s="211">
        <v>1</v>
      </c>
      <c r="E601" s="211">
        <v>410</v>
      </c>
      <c r="F601" s="211">
        <v>1</v>
      </c>
      <c r="G601" s="211"/>
      <c r="H601" s="211"/>
      <c r="I601" s="211"/>
    </row>
    <row r="602" spans="1:10" s="210" customFormat="1">
      <c r="B602" s="211">
        <v>100202</v>
      </c>
      <c r="C602" s="211">
        <v>200013</v>
      </c>
      <c r="D602" s="211">
        <v>1</v>
      </c>
      <c r="E602" s="211">
        <v>410</v>
      </c>
      <c r="F602" s="211">
        <v>1</v>
      </c>
      <c r="G602" s="211"/>
      <c r="H602" s="211"/>
      <c r="I602" s="211"/>
    </row>
    <row r="603" spans="1:10" s="210" customFormat="1">
      <c r="B603" s="211">
        <v>100202</v>
      </c>
      <c r="C603" s="211">
        <v>200014</v>
      </c>
      <c r="D603" s="211">
        <v>1</v>
      </c>
      <c r="E603" s="211">
        <v>410</v>
      </c>
      <c r="F603" s="211">
        <v>1</v>
      </c>
      <c r="G603" s="211"/>
      <c r="H603" s="211"/>
      <c r="I603" s="211"/>
    </row>
    <row r="604" spans="1:10" s="210" customFormat="1">
      <c r="B604" s="211">
        <v>100202</v>
      </c>
      <c r="C604" s="212">
        <v>200022</v>
      </c>
      <c r="D604" s="211">
        <v>1</v>
      </c>
      <c r="E604" s="211">
        <v>410</v>
      </c>
      <c r="F604" s="211">
        <v>1</v>
      </c>
      <c r="G604" s="211"/>
      <c r="H604" s="211"/>
      <c r="I604" s="211"/>
    </row>
    <row r="605" spans="1:10" s="210" customFormat="1">
      <c r="B605" s="211">
        <v>100202</v>
      </c>
      <c r="C605" s="212">
        <v>200023</v>
      </c>
      <c r="D605" s="211">
        <v>1</v>
      </c>
      <c r="E605" s="211">
        <v>410</v>
      </c>
      <c r="F605" s="211">
        <v>1</v>
      </c>
      <c r="G605" s="211"/>
      <c r="H605" s="211"/>
      <c r="I605" s="211"/>
    </row>
    <row r="606" spans="1:10" s="210" customFormat="1">
      <c r="B606" s="211">
        <v>100202</v>
      </c>
      <c r="C606" s="212">
        <v>200025</v>
      </c>
      <c r="D606" s="211">
        <v>1</v>
      </c>
      <c r="E606" s="211">
        <v>410</v>
      </c>
      <c r="F606" s="211">
        <v>1</v>
      </c>
      <c r="G606" s="211"/>
      <c r="H606" s="211"/>
      <c r="I606" s="211"/>
    </row>
    <row r="607" spans="1:10" s="210" customFormat="1">
      <c r="B607" s="211">
        <v>100202</v>
      </c>
      <c r="C607" s="212">
        <v>200027</v>
      </c>
      <c r="D607" s="211">
        <v>1</v>
      </c>
      <c r="E607" s="211">
        <v>410</v>
      </c>
      <c r="F607" s="211">
        <v>1</v>
      </c>
      <c r="G607" s="211"/>
      <c r="H607" s="211"/>
      <c r="I607" s="211"/>
    </row>
    <row r="608" spans="1:10" s="210" customFormat="1">
      <c r="B608" s="211">
        <v>100202</v>
      </c>
      <c r="C608" s="212">
        <v>200030</v>
      </c>
      <c r="D608" s="211">
        <v>1</v>
      </c>
      <c r="E608" s="211">
        <v>410</v>
      </c>
      <c r="F608" s="211">
        <v>1</v>
      </c>
      <c r="G608" s="211"/>
      <c r="H608" s="211"/>
      <c r="I608" s="211"/>
    </row>
    <row r="609" spans="2:9" s="210" customFormat="1">
      <c r="B609" s="211">
        <v>100202</v>
      </c>
      <c r="C609" s="212">
        <v>200031</v>
      </c>
      <c r="D609" s="211">
        <v>1</v>
      </c>
      <c r="E609" s="211">
        <v>410</v>
      </c>
      <c r="F609" s="211">
        <v>1</v>
      </c>
      <c r="G609" s="211"/>
      <c r="H609" s="211"/>
      <c r="I609" s="211"/>
    </row>
    <row r="610" spans="2:9" s="210" customFormat="1">
      <c r="B610" s="211">
        <v>100202</v>
      </c>
      <c r="C610" s="212">
        <v>200039</v>
      </c>
      <c r="D610" s="211">
        <v>1</v>
      </c>
      <c r="E610" s="211">
        <v>410</v>
      </c>
      <c r="F610" s="211">
        <v>1</v>
      </c>
      <c r="G610" s="211"/>
      <c r="H610" s="211"/>
      <c r="I610" s="211"/>
    </row>
    <row r="611" spans="2:9" s="210" customFormat="1">
      <c r="B611" s="211">
        <v>100202</v>
      </c>
      <c r="C611" s="212">
        <v>200045</v>
      </c>
      <c r="D611" s="211">
        <v>1</v>
      </c>
      <c r="E611" s="211">
        <v>410</v>
      </c>
      <c r="F611" s="211">
        <v>1</v>
      </c>
      <c r="G611" s="211"/>
      <c r="H611" s="211"/>
      <c r="I611" s="211"/>
    </row>
    <row r="612" spans="2:9" s="210" customFormat="1">
      <c r="B612" s="211">
        <v>100202</v>
      </c>
      <c r="C612" s="212">
        <v>200047</v>
      </c>
      <c r="D612" s="211">
        <v>1</v>
      </c>
      <c r="E612" s="211">
        <v>410</v>
      </c>
      <c r="F612" s="211">
        <v>1</v>
      </c>
      <c r="G612" s="211"/>
      <c r="H612" s="211"/>
      <c r="I612" s="211"/>
    </row>
    <row r="613" spans="2:9" s="210" customFormat="1">
      <c r="B613" s="211">
        <v>100202</v>
      </c>
      <c r="C613" s="212">
        <v>200049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2:9" s="210" customFormat="1">
      <c r="B614" s="211">
        <v>100202</v>
      </c>
      <c r="C614" s="212">
        <v>200054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2:9" s="211" customFormat="1">
      <c r="B615" s="211">
        <v>100202</v>
      </c>
      <c r="C615" s="212">
        <v>200060</v>
      </c>
      <c r="D615" s="211">
        <v>1</v>
      </c>
      <c r="E615" s="211">
        <v>410</v>
      </c>
      <c r="F615" s="211">
        <v>1</v>
      </c>
      <c r="I615" s="257"/>
    </row>
    <row r="616" spans="2:9" s="211" customFormat="1">
      <c r="B616" s="211">
        <v>100202</v>
      </c>
      <c r="C616" s="212">
        <v>200075</v>
      </c>
      <c r="D616" s="211">
        <v>1</v>
      </c>
      <c r="E616" s="211">
        <v>410</v>
      </c>
      <c r="F616" s="211">
        <v>1</v>
      </c>
      <c r="I616" s="257"/>
    </row>
    <row r="617" spans="2:9" s="211" customFormat="1">
      <c r="B617" s="211">
        <v>100202</v>
      </c>
      <c r="C617" s="212">
        <v>200078</v>
      </c>
      <c r="D617" s="211">
        <v>1</v>
      </c>
      <c r="E617" s="211">
        <v>410</v>
      </c>
      <c r="F617" s="211">
        <v>1</v>
      </c>
      <c r="I617" s="257"/>
    </row>
    <row r="618" spans="2:9" s="211" customFormat="1">
      <c r="B618" s="211">
        <v>100202</v>
      </c>
      <c r="C618" s="212">
        <v>200090</v>
      </c>
      <c r="D618" s="211">
        <v>1</v>
      </c>
      <c r="E618" s="211">
        <v>410</v>
      </c>
      <c r="F618" s="211">
        <v>1</v>
      </c>
      <c r="I618" s="257"/>
    </row>
    <row r="619" spans="2:9" s="211" customFormat="1">
      <c r="B619" s="211">
        <v>100202</v>
      </c>
      <c r="C619" s="212">
        <v>200085</v>
      </c>
      <c r="D619" s="211">
        <v>1</v>
      </c>
      <c r="E619" s="211">
        <v>410</v>
      </c>
      <c r="F619" s="211">
        <v>1</v>
      </c>
      <c r="I619" s="257"/>
    </row>
    <row r="620" spans="2:9" s="211" customFormat="1">
      <c r="B620" s="211">
        <v>100202</v>
      </c>
      <c r="C620" s="212">
        <v>200092</v>
      </c>
      <c r="D620" s="211">
        <v>1</v>
      </c>
      <c r="E620" s="211">
        <v>410</v>
      </c>
      <c r="F620" s="211">
        <v>1</v>
      </c>
      <c r="I620" s="257"/>
    </row>
    <row r="621" spans="2:9" s="211" customFormat="1">
      <c r="B621" s="211">
        <v>100202</v>
      </c>
      <c r="C621" s="212">
        <v>200096</v>
      </c>
      <c r="D621" s="211">
        <v>1</v>
      </c>
      <c r="E621" s="211">
        <v>410</v>
      </c>
      <c r="F621" s="211">
        <v>1</v>
      </c>
      <c r="I621" s="257"/>
    </row>
    <row r="622" spans="2:9" s="211" customFormat="1">
      <c r="B622" s="211">
        <v>100202</v>
      </c>
      <c r="C622" s="212">
        <v>200097</v>
      </c>
      <c r="D622" s="211">
        <v>1</v>
      </c>
      <c r="E622" s="211">
        <v>410</v>
      </c>
      <c r="F622" s="211">
        <v>1</v>
      </c>
      <c r="I622" s="257"/>
    </row>
    <row r="623" spans="2:9" s="145" customFormat="1">
      <c r="B623" s="145">
        <v>100251</v>
      </c>
      <c r="C623" s="145">
        <v>200011</v>
      </c>
      <c r="D623" s="145">
        <v>1</v>
      </c>
      <c r="E623" s="145">
        <v>410</v>
      </c>
      <c r="F623" s="145">
        <v>1</v>
      </c>
      <c r="I623" s="132" t="s">
        <v>2108</v>
      </c>
    </row>
    <row r="624" spans="2:9" s="145" customFormat="1">
      <c r="B624" s="145">
        <v>100251</v>
      </c>
      <c r="C624" s="145">
        <v>200012</v>
      </c>
      <c r="D624" s="145">
        <v>1</v>
      </c>
      <c r="E624" s="145">
        <v>410</v>
      </c>
      <c r="F624" s="145">
        <v>1</v>
      </c>
    </row>
    <row r="625" spans="1:9" s="145" customFormat="1">
      <c r="B625" s="145">
        <v>100251</v>
      </c>
      <c r="C625" s="145">
        <v>200013</v>
      </c>
      <c r="D625" s="145">
        <v>1</v>
      </c>
      <c r="E625" s="145">
        <v>410</v>
      </c>
      <c r="F625" s="145">
        <v>1</v>
      </c>
    </row>
    <row r="626" spans="1:9" s="145" customFormat="1">
      <c r="B626" s="145">
        <v>100251</v>
      </c>
      <c r="C626" s="145">
        <v>200014</v>
      </c>
      <c r="D626" s="145">
        <v>1</v>
      </c>
      <c r="E626" s="145">
        <v>410</v>
      </c>
      <c r="F626" s="145">
        <v>1</v>
      </c>
    </row>
    <row r="627" spans="1:9" s="145" customFormat="1">
      <c r="B627" s="145">
        <v>100251</v>
      </c>
      <c r="C627" s="148">
        <v>200022</v>
      </c>
      <c r="D627" s="145">
        <v>1</v>
      </c>
      <c r="E627" s="145">
        <v>410</v>
      </c>
      <c r="F627" s="145">
        <v>1</v>
      </c>
    </row>
    <row r="628" spans="1:9" s="145" customFormat="1">
      <c r="B628" s="145">
        <v>100251</v>
      </c>
      <c r="C628" s="148">
        <v>200023</v>
      </c>
      <c r="D628" s="145">
        <v>1</v>
      </c>
      <c r="E628" s="145">
        <v>410</v>
      </c>
      <c r="F628" s="145">
        <v>1</v>
      </c>
    </row>
    <row r="629" spans="1:9" s="145" customFormat="1">
      <c r="B629" s="145">
        <v>100251</v>
      </c>
      <c r="C629" s="148">
        <v>200025</v>
      </c>
      <c r="D629" s="145">
        <v>1</v>
      </c>
      <c r="E629" s="145">
        <v>410</v>
      </c>
      <c r="F629" s="145">
        <v>1</v>
      </c>
    </row>
    <row r="630" spans="1:9" s="145" customFormat="1">
      <c r="A630" s="149"/>
      <c r="B630" s="145">
        <v>100251</v>
      </c>
      <c r="C630" s="150">
        <v>200027</v>
      </c>
      <c r="D630" s="149">
        <v>1</v>
      </c>
      <c r="E630" s="145">
        <v>410</v>
      </c>
      <c r="F630" s="149">
        <v>1</v>
      </c>
      <c r="G630" s="149"/>
      <c r="H630" s="149"/>
    </row>
    <row r="631" spans="1:9" s="145" customFormat="1">
      <c r="A631" s="149"/>
      <c r="B631" s="145">
        <v>100251</v>
      </c>
      <c r="C631" s="150">
        <v>200030</v>
      </c>
      <c r="D631" s="149">
        <v>1</v>
      </c>
      <c r="E631" s="145">
        <v>410</v>
      </c>
      <c r="F631" s="149">
        <v>1</v>
      </c>
      <c r="G631" s="149"/>
      <c r="H631" s="149"/>
    </row>
    <row r="632" spans="1:9" s="145" customFormat="1">
      <c r="A632" s="149"/>
      <c r="B632" s="145">
        <v>100251</v>
      </c>
      <c r="C632" s="150">
        <v>200031</v>
      </c>
      <c r="D632" s="149">
        <v>1</v>
      </c>
      <c r="E632" s="145">
        <v>410</v>
      </c>
      <c r="F632" s="149">
        <v>1</v>
      </c>
      <c r="G632" s="149"/>
      <c r="H632" s="149"/>
    </row>
    <row r="633" spans="1:9" s="145" customFormat="1">
      <c r="A633" s="149"/>
      <c r="B633" s="145">
        <v>100251</v>
      </c>
      <c r="C633" s="150">
        <v>200039</v>
      </c>
      <c r="D633" s="149">
        <v>1</v>
      </c>
      <c r="E633" s="145">
        <v>410</v>
      </c>
      <c r="F633" s="149">
        <v>1</v>
      </c>
      <c r="G633" s="149"/>
      <c r="H633" s="149"/>
      <c r="I633" s="151"/>
    </row>
    <row r="634" spans="1:9" s="145" customFormat="1">
      <c r="A634" s="149"/>
      <c r="B634" s="145">
        <v>100251</v>
      </c>
      <c r="C634" s="150">
        <v>200045</v>
      </c>
      <c r="D634" s="149">
        <v>1</v>
      </c>
      <c r="E634" s="145">
        <v>410</v>
      </c>
      <c r="F634" s="149">
        <v>1</v>
      </c>
      <c r="G634" s="149"/>
      <c r="H634" s="149"/>
      <c r="I634" s="151"/>
    </row>
    <row r="635" spans="1:9" s="145" customFormat="1">
      <c r="A635" s="149"/>
      <c r="B635" s="145">
        <v>100251</v>
      </c>
      <c r="C635" s="150">
        <v>200047</v>
      </c>
      <c r="D635" s="149">
        <v>1</v>
      </c>
      <c r="E635" s="145">
        <v>410</v>
      </c>
      <c r="F635" s="149">
        <v>1</v>
      </c>
      <c r="G635" s="149"/>
      <c r="H635" s="149"/>
      <c r="I635" s="151"/>
    </row>
    <row r="636" spans="1:9" s="145" customFormat="1">
      <c r="A636" s="149"/>
      <c r="B636" s="145">
        <v>100251</v>
      </c>
      <c r="C636" s="150">
        <v>200049</v>
      </c>
      <c r="D636" s="149">
        <v>1</v>
      </c>
      <c r="E636" s="145">
        <v>410</v>
      </c>
      <c r="F636" s="149">
        <v>1</v>
      </c>
      <c r="G636" s="149"/>
      <c r="H636" s="149"/>
      <c r="I636" s="151"/>
    </row>
    <row r="637" spans="1:9" s="145" customFormat="1">
      <c r="A637" s="149"/>
      <c r="B637" s="145">
        <v>100251</v>
      </c>
      <c r="C637" s="150">
        <v>200054</v>
      </c>
      <c r="D637" s="149">
        <v>1</v>
      </c>
      <c r="E637" s="145">
        <v>410</v>
      </c>
      <c r="F637" s="149">
        <v>1</v>
      </c>
      <c r="G637" s="149"/>
      <c r="H637" s="149"/>
      <c r="I637" s="151"/>
    </row>
    <row r="638" spans="1:9" s="145" customFormat="1">
      <c r="A638" s="149"/>
      <c r="B638" s="145">
        <v>100251</v>
      </c>
      <c r="C638" s="150">
        <v>200060</v>
      </c>
      <c r="D638" s="149">
        <v>1</v>
      </c>
      <c r="E638" s="145">
        <v>410</v>
      </c>
      <c r="F638" s="149">
        <v>1</v>
      </c>
      <c r="G638" s="149"/>
      <c r="H638" s="149"/>
      <c r="I638" s="151"/>
    </row>
    <row r="639" spans="1:9" s="145" customFormat="1">
      <c r="A639" s="149"/>
      <c r="B639" s="145">
        <v>100251</v>
      </c>
      <c r="C639" s="150">
        <v>200075</v>
      </c>
      <c r="D639" s="149">
        <v>1</v>
      </c>
      <c r="E639" s="145">
        <v>410</v>
      </c>
      <c r="F639" s="149">
        <v>1</v>
      </c>
      <c r="G639" s="149"/>
      <c r="H639" s="149"/>
      <c r="I639" s="151"/>
    </row>
    <row r="640" spans="1:9" s="145" customFormat="1">
      <c r="A640" s="149"/>
      <c r="B640" s="145">
        <v>100251</v>
      </c>
      <c r="C640" s="150">
        <v>200078</v>
      </c>
      <c r="D640" s="149">
        <v>1</v>
      </c>
      <c r="E640" s="145">
        <v>410</v>
      </c>
      <c r="F640" s="149">
        <v>1</v>
      </c>
      <c r="G640" s="149"/>
      <c r="H640" s="149"/>
      <c r="I640" s="151"/>
    </row>
    <row r="641" spans="1:9" s="145" customFormat="1">
      <c r="A641" s="149"/>
      <c r="B641" s="145">
        <v>100251</v>
      </c>
      <c r="C641" s="150">
        <v>200090</v>
      </c>
      <c r="D641" s="149">
        <v>1</v>
      </c>
      <c r="E641" s="145">
        <v>410</v>
      </c>
      <c r="F641" s="149">
        <v>1</v>
      </c>
      <c r="G641" s="149"/>
      <c r="H641" s="149"/>
      <c r="I641" s="151"/>
    </row>
    <row r="642" spans="1:9" s="145" customFormat="1">
      <c r="A642" s="149"/>
      <c r="B642" s="145">
        <v>100251</v>
      </c>
      <c r="C642" s="150">
        <v>200085</v>
      </c>
      <c r="D642" s="149">
        <v>1</v>
      </c>
      <c r="E642" s="145">
        <v>410</v>
      </c>
      <c r="F642" s="149">
        <v>1</v>
      </c>
      <c r="G642" s="149"/>
      <c r="H642" s="149"/>
      <c r="I642" s="151"/>
    </row>
    <row r="643" spans="1:9" s="145" customFormat="1">
      <c r="A643" s="149"/>
      <c r="B643" s="145">
        <v>100251</v>
      </c>
      <c r="C643" s="150">
        <v>200092</v>
      </c>
      <c r="D643" s="149">
        <v>1</v>
      </c>
      <c r="E643" s="145">
        <v>410</v>
      </c>
      <c r="F643" s="149">
        <v>1</v>
      </c>
      <c r="G643" s="149"/>
      <c r="H643" s="149"/>
      <c r="I643" s="151"/>
    </row>
    <row r="644" spans="1:9" s="145" customFormat="1">
      <c r="A644" s="149"/>
      <c r="B644" s="145">
        <v>100251</v>
      </c>
      <c r="C644" s="150">
        <v>200096</v>
      </c>
      <c r="D644" s="149">
        <v>1</v>
      </c>
      <c r="E644" s="145">
        <v>410</v>
      </c>
      <c r="F644" s="149">
        <v>1</v>
      </c>
      <c r="G644" s="149"/>
      <c r="H644" s="149"/>
      <c r="I644" s="151"/>
    </row>
    <row r="645" spans="1:9" s="210" customFormat="1">
      <c r="B645" s="211">
        <v>100252</v>
      </c>
      <c r="C645" s="211">
        <v>200011</v>
      </c>
      <c r="D645" s="211">
        <v>1</v>
      </c>
      <c r="E645" s="211">
        <v>410</v>
      </c>
      <c r="F645" s="211">
        <v>1</v>
      </c>
      <c r="G645" s="211"/>
      <c r="H645" s="211"/>
      <c r="I645" s="132" t="s">
        <v>2109</v>
      </c>
    </row>
    <row r="646" spans="1:9" s="210" customFormat="1">
      <c r="B646" s="211">
        <v>100252</v>
      </c>
      <c r="C646" s="211">
        <v>200012</v>
      </c>
      <c r="D646" s="211">
        <v>1</v>
      </c>
      <c r="E646" s="211">
        <v>410</v>
      </c>
      <c r="F646" s="211">
        <v>1</v>
      </c>
      <c r="G646" s="211"/>
      <c r="H646" s="211"/>
      <c r="I646" s="211"/>
    </row>
    <row r="647" spans="1:9" s="210" customFormat="1">
      <c r="B647" s="211">
        <v>100252</v>
      </c>
      <c r="C647" s="211">
        <v>200013</v>
      </c>
      <c r="D647" s="211">
        <v>1</v>
      </c>
      <c r="E647" s="211">
        <v>410</v>
      </c>
      <c r="F647" s="211">
        <v>1</v>
      </c>
      <c r="G647" s="211"/>
      <c r="H647" s="211"/>
      <c r="I647" s="211"/>
    </row>
    <row r="648" spans="1:9" s="210" customFormat="1">
      <c r="B648" s="211">
        <v>100252</v>
      </c>
      <c r="C648" s="211">
        <v>200014</v>
      </c>
      <c r="D648" s="211">
        <v>1</v>
      </c>
      <c r="E648" s="211">
        <v>410</v>
      </c>
      <c r="F648" s="211">
        <v>1</v>
      </c>
      <c r="G648" s="211"/>
      <c r="H648" s="211"/>
      <c r="I648" s="211"/>
    </row>
    <row r="649" spans="1:9" s="210" customFormat="1">
      <c r="B649" s="211">
        <v>100252</v>
      </c>
      <c r="C649" s="212">
        <v>200022</v>
      </c>
      <c r="D649" s="211">
        <v>1</v>
      </c>
      <c r="E649" s="211">
        <v>410</v>
      </c>
      <c r="F649" s="211">
        <v>1</v>
      </c>
      <c r="G649" s="211"/>
      <c r="H649" s="211"/>
      <c r="I649" s="211"/>
    </row>
    <row r="650" spans="1:9" s="210" customFormat="1">
      <c r="B650" s="211">
        <v>100252</v>
      </c>
      <c r="C650" s="212">
        <v>200023</v>
      </c>
      <c r="D650" s="211">
        <v>1</v>
      </c>
      <c r="E650" s="211">
        <v>410</v>
      </c>
      <c r="F650" s="211">
        <v>1</v>
      </c>
      <c r="G650" s="211"/>
      <c r="H650" s="211"/>
      <c r="I650" s="211"/>
    </row>
    <row r="651" spans="1:9" s="210" customFormat="1">
      <c r="B651" s="211">
        <v>100252</v>
      </c>
      <c r="C651" s="212">
        <v>200025</v>
      </c>
      <c r="D651" s="211">
        <v>1</v>
      </c>
      <c r="E651" s="211">
        <v>410</v>
      </c>
      <c r="F651" s="211">
        <v>1</v>
      </c>
      <c r="G651" s="211"/>
      <c r="H651" s="211"/>
      <c r="I651" s="211"/>
    </row>
    <row r="652" spans="1:9" s="210" customFormat="1">
      <c r="B652" s="211">
        <v>100252</v>
      </c>
      <c r="C652" s="212">
        <v>200027</v>
      </c>
      <c r="D652" s="211">
        <v>1</v>
      </c>
      <c r="E652" s="211">
        <v>410</v>
      </c>
      <c r="F652" s="211">
        <v>1</v>
      </c>
      <c r="G652" s="211"/>
      <c r="H652" s="211"/>
      <c r="I652" s="211"/>
    </row>
    <row r="653" spans="1:9" s="210" customFormat="1">
      <c r="B653" s="211">
        <v>100252</v>
      </c>
      <c r="C653" s="212">
        <v>200030</v>
      </c>
      <c r="D653" s="211">
        <v>1</v>
      </c>
      <c r="E653" s="211">
        <v>410</v>
      </c>
      <c r="F653" s="211">
        <v>1</v>
      </c>
      <c r="G653" s="211"/>
      <c r="H653" s="211"/>
      <c r="I653" s="211"/>
    </row>
    <row r="654" spans="1:9" s="210" customFormat="1">
      <c r="B654" s="211">
        <v>100252</v>
      </c>
      <c r="C654" s="212">
        <v>200031</v>
      </c>
      <c r="D654" s="211">
        <v>1</v>
      </c>
      <c r="E654" s="211">
        <v>410</v>
      </c>
      <c r="F654" s="211">
        <v>1</v>
      </c>
      <c r="G654" s="211"/>
      <c r="H654" s="211"/>
      <c r="I654" s="211"/>
    </row>
    <row r="655" spans="1:9" s="210" customFormat="1">
      <c r="B655" s="211">
        <v>100252</v>
      </c>
      <c r="C655" s="212">
        <v>200039</v>
      </c>
      <c r="D655" s="211">
        <v>1</v>
      </c>
      <c r="E655" s="211">
        <v>410</v>
      </c>
      <c r="F655" s="211">
        <v>1</v>
      </c>
      <c r="G655" s="211"/>
      <c r="H655" s="211"/>
      <c r="I655" s="211"/>
    </row>
    <row r="656" spans="1:9" s="210" customFormat="1">
      <c r="B656" s="211">
        <v>100252</v>
      </c>
      <c r="C656" s="212">
        <v>200045</v>
      </c>
      <c r="D656" s="211">
        <v>1</v>
      </c>
      <c r="E656" s="211">
        <v>410</v>
      </c>
      <c r="F656" s="211">
        <v>1</v>
      </c>
      <c r="G656" s="211"/>
      <c r="H656" s="211"/>
      <c r="I656" s="211"/>
    </row>
    <row r="657" spans="2:9" s="210" customFormat="1">
      <c r="B657" s="211">
        <v>100252</v>
      </c>
      <c r="C657" s="212">
        <v>200047</v>
      </c>
      <c r="D657" s="211">
        <v>1</v>
      </c>
      <c r="E657" s="211">
        <v>410</v>
      </c>
      <c r="F657" s="211">
        <v>1</v>
      </c>
      <c r="G657" s="211"/>
      <c r="H657" s="211"/>
      <c r="I657" s="211"/>
    </row>
    <row r="658" spans="2:9" s="210" customFormat="1">
      <c r="B658" s="211">
        <v>100252</v>
      </c>
      <c r="C658" s="212">
        <v>200049</v>
      </c>
      <c r="D658" s="211">
        <v>1</v>
      </c>
      <c r="E658" s="211">
        <v>410</v>
      </c>
      <c r="F658" s="211">
        <v>1</v>
      </c>
      <c r="G658" s="211"/>
      <c r="H658" s="211"/>
      <c r="I658" s="211"/>
    </row>
    <row r="659" spans="2:9" s="210" customFormat="1">
      <c r="B659" s="211">
        <v>100252</v>
      </c>
      <c r="C659" s="212">
        <v>200054</v>
      </c>
      <c r="D659" s="211">
        <v>1</v>
      </c>
      <c r="E659" s="211">
        <v>410</v>
      </c>
      <c r="F659" s="211">
        <v>1</v>
      </c>
      <c r="G659" s="211"/>
      <c r="H659" s="211"/>
      <c r="I659" s="211"/>
    </row>
    <row r="660" spans="2:9" s="211" customFormat="1">
      <c r="B660" s="211">
        <v>100252</v>
      </c>
      <c r="C660" s="212">
        <v>200060</v>
      </c>
      <c r="D660" s="211">
        <v>1</v>
      </c>
      <c r="E660" s="211">
        <v>410</v>
      </c>
      <c r="F660" s="211">
        <v>1</v>
      </c>
      <c r="I660" s="257"/>
    </row>
    <row r="661" spans="2:9" s="211" customFormat="1">
      <c r="B661" s="211">
        <v>100252</v>
      </c>
      <c r="C661" s="212">
        <v>200075</v>
      </c>
      <c r="D661" s="211">
        <v>1</v>
      </c>
      <c r="E661" s="211">
        <v>410</v>
      </c>
      <c r="F661" s="211">
        <v>1</v>
      </c>
      <c r="I661" s="257"/>
    </row>
    <row r="662" spans="2:9" s="211" customFormat="1">
      <c r="B662" s="211">
        <v>100252</v>
      </c>
      <c r="C662" s="212">
        <v>200078</v>
      </c>
      <c r="D662" s="211">
        <v>1</v>
      </c>
      <c r="E662" s="211">
        <v>410</v>
      </c>
      <c r="F662" s="211">
        <v>1</v>
      </c>
      <c r="I662" s="257"/>
    </row>
    <row r="663" spans="2:9" s="211" customFormat="1">
      <c r="B663" s="211">
        <v>100252</v>
      </c>
      <c r="C663" s="212">
        <v>200090</v>
      </c>
      <c r="D663" s="211">
        <v>1</v>
      </c>
      <c r="E663" s="211">
        <v>410</v>
      </c>
      <c r="F663" s="211">
        <v>1</v>
      </c>
      <c r="I663" s="257"/>
    </row>
    <row r="664" spans="2:9" s="211" customFormat="1">
      <c r="B664" s="211">
        <v>100252</v>
      </c>
      <c r="C664" s="212">
        <v>200085</v>
      </c>
      <c r="D664" s="211">
        <v>1</v>
      </c>
      <c r="E664" s="211">
        <v>410</v>
      </c>
      <c r="F664" s="211">
        <v>1</v>
      </c>
      <c r="I664" s="257"/>
    </row>
    <row r="665" spans="2:9" s="211" customFormat="1">
      <c r="B665" s="211">
        <v>100252</v>
      </c>
      <c r="C665" s="212">
        <v>200092</v>
      </c>
      <c r="D665" s="211">
        <v>1</v>
      </c>
      <c r="E665" s="211">
        <v>410</v>
      </c>
      <c r="F665" s="211">
        <v>1</v>
      </c>
      <c r="I665" s="257"/>
    </row>
    <row r="666" spans="2:9" s="211" customFormat="1">
      <c r="B666" s="211">
        <v>100252</v>
      </c>
      <c r="C666" s="212">
        <v>200096</v>
      </c>
      <c r="D666" s="211">
        <v>1</v>
      </c>
      <c r="E666" s="211">
        <v>410</v>
      </c>
      <c r="F666" s="211">
        <v>1</v>
      </c>
      <c r="I666" s="257"/>
    </row>
    <row r="667" spans="2:9" s="211" customFormat="1">
      <c r="B667" s="211">
        <v>100252</v>
      </c>
      <c r="C667" s="212">
        <v>200097</v>
      </c>
      <c r="D667" s="211">
        <v>1</v>
      </c>
      <c r="E667" s="211">
        <v>410</v>
      </c>
      <c r="F667" s="211">
        <v>1</v>
      </c>
      <c r="I667" s="257"/>
    </row>
    <row r="668" spans="2:9">
      <c r="B668">
        <v>100501</v>
      </c>
      <c r="C668" s="9">
        <v>200003</v>
      </c>
      <c r="D668">
        <v>1</v>
      </c>
      <c r="E668">
        <v>100</v>
      </c>
      <c r="F668">
        <v>1</v>
      </c>
      <c r="I668" s="118" t="s">
        <v>1964</v>
      </c>
    </row>
    <row r="669" spans="2:9" hidden="1">
      <c r="B669">
        <v>100501</v>
      </c>
      <c r="C669" s="9">
        <v>200004</v>
      </c>
      <c r="D669">
        <v>1</v>
      </c>
      <c r="E669">
        <v>100</v>
      </c>
      <c r="F669">
        <v>1</v>
      </c>
    </row>
    <row r="670" spans="2:9" hidden="1">
      <c r="B670">
        <v>100501</v>
      </c>
      <c r="C670">
        <v>200005</v>
      </c>
      <c r="D670">
        <v>1</v>
      </c>
      <c r="E670">
        <v>100</v>
      </c>
      <c r="F670">
        <v>1</v>
      </c>
    </row>
    <row r="671" spans="2:9" hidden="1">
      <c r="B671">
        <v>100501</v>
      </c>
      <c r="C671">
        <v>200006</v>
      </c>
      <c r="D671">
        <v>1</v>
      </c>
      <c r="E671">
        <v>100</v>
      </c>
      <c r="F671">
        <v>1</v>
      </c>
    </row>
    <row r="672" spans="2:9" hidden="1">
      <c r="B672">
        <v>100501</v>
      </c>
      <c r="C672">
        <v>200007</v>
      </c>
      <c r="D672">
        <v>1</v>
      </c>
      <c r="E672">
        <v>100</v>
      </c>
      <c r="F672">
        <v>1</v>
      </c>
    </row>
    <row r="673" spans="1:8" hidden="1">
      <c r="B673">
        <v>100501</v>
      </c>
      <c r="C673">
        <v>200008</v>
      </c>
      <c r="D673">
        <v>1</v>
      </c>
      <c r="E673">
        <v>100</v>
      </c>
      <c r="F673">
        <v>1</v>
      </c>
    </row>
    <row r="674" spans="1:8" hidden="1">
      <c r="B674">
        <v>100501</v>
      </c>
      <c r="C674" s="8">
        <v>200009</v>
      </c>
      <c r="D674">
        <v>1</v>
      </c>
      <c r="E674">
        <v>100</v>
      </c>
      <c r="F674">
        <v>1</v>
      </c>
    </row>
    <row r="675" spans="1:8" hidden="1">
      <c r="B675">
        <v>100501</v>
      </c>
      <c r="C675" s="8">
        <v>200010</v>
      </c>
      <c r="D675">
        <v>1</v>
      </c>
      <c r="E675">
        <v>100</v>
      </c>
      <c r="F675">
        <v>1</v>
      </c>
    </row>
    <row r="676" spans="1:8" hidden="1">
      <c r="B676">
        <v>100501</v>
      </c>
      <c r="C676" s="8">
        <v>200016</v>
      </c>
      <c r="D676">
        <v>1</v>
      </c>
      <c r="E676">
        <v>100</v>
      </c>
      <c r="F676">
        <v>1</v>
      </c>
    </row>
    <row r="677" spans="1:8" hidden="1">
      <c r="B677">
        <v>100501</v>
      </c>
      <c r="C677" s="8">
        <v>200017</v>
      </c>
      <c r="D677">
        <v>1</v>
      </c>
      <c r="E677">
        <v>100</v>
      </c>
      <c r="F677">
        <v>1</v>
      </c>
    </row>
    <row r="678" spans="1:8" hidden="1">
      <c r="B678">
        <v>100501</v>
      </c>
      <c r="C678" s="8">
        <v>200018</v>
      </c>
      <c r="D678">
        <v>1</v>
      </c>
      <c r="E678">
        <v>100</v>
      </c>
      <c r="F678">
        <v>1</v>
      </c>
    </row>
    <row r="679" spans="1:8" hidden="1">
      <c r="B679">
        <v>100501</v>
      </c>
      <c r="C679" s="8">
        <v>200019</v>
      </c>
      <c r="D679">
        <v>1</v>
      </c>
      <c r="E679">
        <v>100</v>
      </c>
      <c r="F679">
        <v>1</v>
      </c>
    </row>
    <row r="680" spans="1:8" hidden="1">
      <c r="B680">
        <v>100501</v>
      </c>
      <c r="C680" s="8">
        <v>200020</v>
      </c>
      <c r="D680">
        <v>1</v>
      </c>
      <c r="E680">
        <v>100</v>
      </c>
      <c r="F680">
        <v>1</v>
      </c>
    </row>
    <row r="681" spans="1:8" hidden="1">
      <c r="B681">
        <v>100501</v>
      </c>
      <c r="C681" s="8">
        <v>200021</v>
      </c>
      <c r="D681">
        <v>1</v>
      </c>
      <c r="E681">
        <v>100</v>
      </c>
      <c r="F681">
        <v>1</v>
      </c>
    </row>
    <row r="682" spans="1:8" hidden="1">
      <c r="B682">
        <v>100501</v>
      </c>
      <c r="C682" s="8">
        <v>200024</v>
      </c>
      <c r="D682">
        <v>1</v>
      </c>
      <c r="E682">
        <v>100</v>
      </c>
      <c r="F682">
        <v>1</v>
      </c>
    </row>
    <row r="683" spans="1:8" hidden="1">
      <c r="B683">
        <v>100501</v>
      </c>
      <c r="C683" s="8">
        <v>200026</v>
      </c>
      <c r="D683">
        <v>1</v>
      </c>
      <c r="E683">
        <v>100</v>
      </c>
      <c r="F683">
        <v>1</v>
      </c>
    </row>
    <row r="684" spans="1:8" hidden="1">
      <c r="B684">
        <v>100501</v>
      </c>
      <c r="C684" s="8">
        <v>200029</v>
      </c>
      <c r="D684">
        <v>1</v>
      </c>
      <c r="E684">
        <v>100</v>
      </c>
      <c r="F684">
        <v>1</v>
      </c>
    </row>
    <row r="685" spans="1:8" hidden="1">
      <c r="B685">
        <v>100501</v>
      </c>
      <c r="C685" s="8">
        <v>200028</v>
      </c>
      <c r="D685">
        <v>1</v>
      </c>
      <c r="E685">
        <v>100</v>
      </c>
      <c r="F685">
        <v>1</v>
      </c>
    </row>
    <row r="686" spans="1:8" hidden="1">
      <c r="A686" s="152"/>
      <c r="B686">
        <v>100501</v>
      </c>
      <c r="C686" s="153">
        <v>200032</v>
      </c>
      <c r="D686" s="152">
        <v>1</v>
      </c>
      <c r="E686">
        <v>100</v>
      </c>
      <c r="F686" s="152">
        <v>1</v>
      </c>
      <c r="G686" s="152"/>
      <c r="H686" s="152"/>
    </row>
    <row r="687" spans="1:8" hidden="1">
      <c r="A687" s="152"/>
      <c r="B687">
        <v>100501</v>
      </c>
      <c r="C687" s="153">
        <v>200033</v>
      </c>
      <c r="D687" s="152">
        <v>1</v>
      </c>
      <c r="E687">
        <v>100</v>
      </c>
      <c r="F687" s="152">
        <v>1</v>
      </c>
      <c r="G687" s="152"/>
      <c r="H687" s="152"/>
    </row>
    <row r="688" spans="1:8" hidden="1">
      <c r="A688" s="152"/>
      <c r="B688">
        <v>100501</v>
      </c>
      <c r="C688" s="153">
        <v>200038</v>
      </c>
      <c r="D688" s="152">
        <v>1</v>
      </c>
      <c r="E688">
        <v>100</v>
      </c>
      <c r="F688" s="152">
        <v>1</v>
      </c>
      <c r="G688" s="152"/>
      <c r="H688" s="152"/>
    </row>
    <row r="689" spans="1:9" hidden="1">
      <c r="A689" s="152"/>
      <c r="B689">
        <v>100501</v>
      </c>
      <c r="C689" s="153">
        <v>200044</v>
      </c>
      <c r="D689" s="152">
        <v>1</v>
      </c>
      <c r="E689">
        <v>100</v>
      </c>
      <c r="F689" s="152">
        <v>1</v>
      </c>
      <c r="G689" s="152"/>
      <c r="H689" s="152"/>
    </row>
    <row r="690" spans="1:9" hidden="1">
      <c r="A690" s="152"/>
      <c r="B690">
        <v>100501</v>
      </c>
      <c r="C690" s="153">
        <v>200046</v>
      </c>
      <c r="D690" s="152">
        <v>1</v>
      </c>
      <c r="E690">
        <v>100</v>
      </c>
      <c r="F690" s="152">
        <v>1</v>
      </c>
      <c r="G690" s="152"/>
      <c r="H690" s="152"/>
    </row>
    <row r="691" spans="1:9" hidden="1">
      <c r="A691" s="152"/>
      <c r="B691">
        <v>100501</v>
      </c>
      <c r="C691" s="153">
        <v>200048</v>
      </c>
      <c r="D691" s="152">
        <v>1</v>
      </c>
      <c r="E691">
        <v>100</v>
      </c>
      <c r="F691" s="152">
        <v>1</v>
      </c>
      <c r="G691" s="152"/>
      <c r="H691" s="152"/>
    </row>
    <row r="692" spans="1:9" hidden="1">
      <c r="A692" s="152"/>
      <c r="B692">
        <v>100501</v>
      </c>
      <c r="C692" s="153">
        <v>200053</v>
      </c>
      <c r="D692" s="152">
        <v>1</v>
      </c>
      <c r="E692">
        <v>100</v>
      </c>
      <c r="F692" s="152">
        <v>1</v>
      </c>
      <c r="G692" s="152"/>
      <c r="H692" s="152"/>
    </row>
    <row r="693" spans="1:9" hidden="1">
      <c r="A693" s="152"/>
      <c r="B693">
        <v>100501</v>
      </c>
      <c r="C693" s="153">
        <v>200059</v>
      </c>
      <c r="D693" s="152">
        <v>1</v>
      </c>
      <c r="E693">
        <v>100</v>
      </c>
      <c r="F693" s="152">
        <v>1</v>
      </c>
      <c r="G693" s="152"/>
      <c r="H693" s="152"/>
    </row>
    <row r="694" spans="1:9" hidden="1">
      <c r="A694" s="152"/>
      <c r="B694">
        <v>100501</v>
      </c>
      <c r="C694" s="153">
        <v>200066</v>
      </c>
      <c r="D694" s="152">
        <v>1</v>
      </c>
      <c r="E694">
        <v>100</v>
      </c>
      <c r="F694" s="152">
        <v>1</v>
      </c>
      <c r="G694" s="152"/>
      <c r="H694" s="152"/>
    </row>
    <row r="695" spans="1:9" hidden="1">
      <c r="A695" s="152"/>
      <c r="B695">
        <v>100501</v>
      </c>
      <c r="C695" s="153">
        <v>200067</v>
      </c>
      <c r="D695" s="152">
        <v>1</v>
      </c>
      <c r="E695">
        <v>100</v>
      </c>
      <c r="F695" s="152">
        <v>1</v>
      </c>
      <c r="G695" s="152"/>
      <c r="H695" s="152"/>
    </row>
    <row r="696" spans="1:9" hidden="1">
      <c r="A696" s="152"/>
      <c r="B696">
        <v>100501</v>
      </c>
      <c r="C696" s="153">
        <v>200068</v>
      </c>
      <c r="D696" s="152">
        <v>1</v>
      </c>
      <c r="E696">
        <v>100</v>
      </c>
      <c r="F696" s="152">
        <v>1</v>
      </c>
      <c r="G696" s="152"/>
      <c r="H696" s="152"/>
    </row>
    <row r="697" spans="1:9" hidden="1">
      <c r="A697" s="152"/>
      <c r="B697">
        <v>100501</v>
      </c>
      <c r="C697" s="153">
        <v>200069</v>
      </c>
      <c r="D697" s="152">
        <v>1</v>
      </c>
      <c r="E697">
        <v>100</v>
      </c>
      <c r="F697" s="152">
        <v>1</v>
      </c>
      <c r="G697" s="152"/>
      <c r="H697" s="152"/>
    </row>
    <row r="698" spans="1:9" hidden="1">
      <c r="A698" s="152"/>
      <c r="B698">
        <v>100501</v>
      </c>
      <c r="C698" s="153">
        <v>200074</v>
      </c>
      <c r="D698" s="152">
        <v>1</v>
      </c>
      <c r="E698">
        <v>100</v>
      </c>
      <c r="F698" s="152">
        <v>1</v>
      </c>
      <c r="G698" s="152"/>
      <c r="H698" s="152"/>
    </row>
    <row r="699" spans="1:9" s="131" customFormat="1" hidden="1">
      <c r="A699" s="152"/>
      <c r="B699">
        <v>100501</v>
      </c>
      <c r="C699" s="153">
        <v>200077</v>
      </c>
      <c r="D699" s="152">
        <v>1</v>
      </c>
      <c r="E699">
        <v>100</v>
      </c>
      <c r="F699" s="152">
        <v>1</v>
      </c>
      <c r="G699" s="152"/>
      <c r="H699" s="152"/>
      <c r="I699" s="9"/>
    </row>
    <row r="700" spans="1:9" s="131" customFormat="1" hidden="1">
      <c r="A700" s="152"/>
      <c r="B700">
        <v>100501</v>
      </c>
      <c r="C700" s="153">
        <v>200083</v>
      </c>
      <c r="D700" s="152">
        <v>1</v>
      </c>
      <c r="E700">
        <v>100</v>
      </c>
      <c r="F700" s="152">
        <v>1</v>
      </c>
      <c r="G700" s="152"/>
      <c r="H700" s="152"/>
      <c r="I700" s="9"/>
    </row>
    <row r="701" spans="1:9" s="120" customFormat="1" hidden="1">
      <c r="A701" s="154"/>
      <c r="B701" s="154">
        <v>100502</v>
      </c>
      <c r="C701" s="154">
        <v>200011</v>
      </c>
      <c r="D701" s="154">
        <v>1</v>
      </c>
      <c r="E701" s="154">
        <v>100</v>
      </c>
      <c r="F701" s="154">
        <v>1</v>
      </c>
      <c r="G701" s="154"/>
      <c r="H701" s="154"/>
      <c r="I701" s="156" t="s">
        <v>1954</v>
      </c>
    </row>
    <row r="702" spans="1:9" s="120" customFormat="1" hidden="1">
      <c r="A702" s="154"/>
      <c r="B702" s="154">
        <v>100502</v>
      </c>
      <c r="C702" s="154">
        <v>200012</v>
      </c>
      <c r="D702" s="154">
        <v>1</v>
      </c>
      <c r="E702" s="154">
        <v>100</v>
      </c>
      <c r="F702" s="154">
        <v>1</v>
      </c>
      <c r="G702" s="154"/>
      <c r="H702" s="154"/>
      <c r="I702" s="154"/>
    </row>
    <row r="703" spans="1:9" s="120" customFormat="1" hidden="1">
      <c r="A703" s="154"/>
      <c r="B703" s="154">
        <v>100502</v>
      </c>
      <c r="C703" s="154">
        <v>200013</v>
      </c>
      <c r="D703" s="154">
        <v>1</v>
      </c>
      <c r="E703" s="154">
        <v>100</v>
      </c>
      <c r="F703" s="154">
        <v>1</v>
      </c>
      <c r="G703" s="154"/>
      <c r="H703" s="154"/>
      <c r="I703" s="154"/>
    </row>
    <row r="704" spans="1:9" s="120" customFormat="1" hidden="1">
      <c r="A704" s="154"/>
      <c r="B704" s="154">
        <v>100502</v>
      </c>
      <c r="C704" s="154">
        <v>200014</v>
      </c>
      <c r="D704" s="154">
        <v>1</v>
      </c>
      <c r="E704" s="154">
        <v>100</v>
      </c>
      <c r="F704" s="154">
        <v>1</v>
      </c>
      <c r="G704" s="154"/>
      <c r="H704" s="154"/>
      <c r="I704" s="154"/>
    </row>
    <row r="705" spans="1:9" s="120" customFormat="1" hidden="1">
      <c r="A705" s="154"/>
      <c r="B705" s="154">
        <v>100502</v>
      </c>
      <c r="C705" s="155">
        <v>200022</v>
      </c>
      <c r="D705" s="154">
        <v>1</v>
      </c>
      <c r="E705" s="154">
        <v>100</v>
      </c>
      <c r="F705" s="154">
        <v>1</v>
      </c>
      <c r="G705" s="154"/>
      <c r="H705" s="154"/>
      <c r="I705" s="154"/>
    </row>
    <row r="706" spans="1:9" s="120" customFormat="1" hidden="1">
      <c r="A706" s="154"/>
      <c r="B706" s="154">
        <v>100502</v>
      </c>
      <c r="C706" s="155">
        <v>200023</v>
      </c>
      <c r="D706" s="154">
        <v>1</v>
      </c>
      <c r="E706" s="154">
        <v>100</v>
      </c>
      <c r="F706" s="154">
        <v>1</v>
      </c>
      <c r="G706" s="154"/>
      <c r="H706" s="154"/>
      <c r="I706" s="154"/>
    </row>
    <row r="707" spans="1:9" s="120" customFormat="1" hidden="1">
      <c r="A707" s="154"/>
      <c r="B707" s="154">
        <v>100502</v>
      </c>
      <c r="C707" s="155">
        <v>200025</v>
      </c>
      <c r="D707" s="154">
        <v>1</v>
      </c>
      <c r="E707" s="154">
        <v>100</v>
      </c>
      <c r="F707" s="154">
        <v>1</v>
      </c>
      <c r="G707" s="154"/>
      <c r="H707" s="154"/>
      <c r="I707" s="154"/>
    </row>
    <row r="708" spans="1:9" s="120" customFormat="1" hidden="1">
      <c r="A708" s="154"/>
      <c r="B708" s="154">
        <v>100502</v>
      </c>
      <c r="C708" s="155">
        <v>200027</v>
      </c>
      <c r="D708" s="154">
        <v>1</v>
      </c>
      <c r="E708" s="154">
        <v>100</v>
      </c>
      <c r="F708" s="154">
        <v>1</v>
      </c>
      <c r="G708" s="154"/>
      <c r="H708" s="154"/>
      <c r="I708" s="154"/>
    </row>
    <row r="709" spans="1:9" s="120" customFormat="1" hidden="1">
      <c r="A709" s="154"/>
      <c r="B709" s="154">
        <v>100502</v>
      </c>
      <c r="C709" s="155">
        <v>200030</v>
      </c>
      <c r="D709" s="154">
        <v>1</v>
      </c>
      <c r="E709" s="154">
        <v>100</v>
      </c>
      <c r="F709" s="154">
        <v>1</v>
      </c>
      <c r="G709" s="154"/>
      <c r="H709" s="154"/>
      <c r="I709" s="154"/>
    </row>
    <row r="710" spans="1:9" s="120" customFormat="1" hidden="1">
      <c r="A710" s="154"/>
      <c r="B710" s="154">
        <v>100502</v>
      </c>
      <c r="C710" s="155">
        <v>200031</v>
      </c>
      <c r="D710" s="154">
        <v>1</v>
      </c>
      <c r="E710" s="154">
        <v>100</v>
      </c>
      <c r="F710" s="154">
        <v>1</v>
      </c>
      <c r="G710" s="154"/>
      <c r="H710" s="154"/>
      <c r="I710" s="154"/>
    </row>
    <row r="711" spans="1:9" s="120" customFormat="1" hidden="1">
      <c r="A711" s="154"/>
      <c r="B711" s="154">
        <v>100502</v>
      </c>
      <c r="C711" s="155">
        <v>200039</v>
      </c>
      <c r="D711" s="154">
        <v>1</v>
      </c>
      <c r="E711" s="154">
        <v>100</v>
      </c>
      <c r="F711" s="154">
        <v>1</v>
      </c>
      <c r="G711" s="154"/>
      <c r="H711" s="154"/>
      <c r="I711" s="157"/>
    </row>
    <row r="712" spans="1:9" s="120" customFormat="1" hidden="1">
      <c r="A712" s="154"/>
      <c r="B712" s="154">
        <v>100502</v>
      </c>
      <c r="C712" s="155">
        <v>200045</v>
      </c>
      <c r="D712" s="154">
        <v>1</v>
      </c>
      <c r="E712" s="154">
        <v>100</v>
      </c>
      <c r="F712" s="154">
        <v>1</v>
      </c>
      <c r="G712" s="154"/>
      <c r="H712" s="154"/>
      <c r="I712" s="157"/>
    </row>
    <row r="713" spans="1:9" s="120" customFormat="1" hidden="1">
      <c r="A713" s="154"/>
      <c r="B713" s="154">
        <v>100502</v>
      </c>
      <c r="C713" s="155">
        <v>200047</v>
      </c>
      <c r="D713" s="154">
        <v>1</v>
      </c>
      <c r="E713" s="154">
        <v>100</v>
      </c>
      <c r="F713" s="154">
        <v>1</v>
      </c>
      <c r="G713" s="154"/>
      <c r="H713" s="154"/>
      <c r="I713" s="157"/>
    </row>
    <row r="714" spans="1:9" s="120" customFormat="1" hidden="1">
      <c r="A714" s="154"/>
      <c r="B714" s="154">
        <v>100502</v>
      </c>
      <c r="C714" s="155">
        <v>200049</v>
      </c>
      <c r="D714" s="154">
        <v>1</v>
      </c>
      <c r="E714" s="154">
        <v>100</v>
      </c>
      <c r="F714" s="154">
        <v>1</v>
      </c>
      <c r="G714" s="154"/>
      <c r="H714" s="154"/>
      <c r="I714" s="157"/>
    </row>
    <row r="715" spans="1:9" s="120" customFormat="1" hidden="1">
      <c r="A715" s="154"/>
      <c r="B715" s="154">
        <v>100502</v>
      </c>
      <c r="C715" s="155">
        <v>200054</v>
      </c>
      <c r="D715" s="154">
        <v>1</v>
      </c>
      <c r="E715" s="154">
        <v>100</v>
      </c>
      <c r="F715" s="154">
        <v>1</v>
      </c>
      <c r="G715" s="154"/>
      <c r="H715" s="154"/>
      <c r="I715" s="157"/>
    </row>
    <row r="716" spans="1:9" s="120" customFormat="1" hidden="1">
      <c r="A716" s="154"/>
      <c r="B716" s="154">
        <v>100502</v>
      </c>
      <c r="C716" s="155">
        <v>200060</v>
      </c>
      <c r="D716" s="154">
        <v>1</v>
      </c>
      <c r="E716" s="154">
        <v>100</v>
      </c>
      <c r="F716" s="154">
        <v>1</v>
      </c>
      <c r="G716" s="154"/>
      <c r="H716" s="154"/>
      <c r="I716" s="157"/>
    </row>
    <row r="717" spans="1:9" s="120" customFormat="1" hidden="1">
      <c r="A717" s="154"/>
      <c r="B717" s="154">
        <v>100502</v>
      </c>
      <c r="C717" s="155">
        <v>200075</v>
      </c>
      <c r="D717" s="154">
        <v>1</v>
      </c>
      <c r="E717" s="154">
        <v>100</v>
      </c>
      <c r="F717" s="154">
        <v>1</v>
      </c>
      <c r="G717" s="154"/>
      <c r="H717" s="154"/>
      <c r="I717" s="157"/>
    </row>
    <row r="718" spans="1:9" s="145" customFormat="1" hidden="1">
      <c r="A718" s="218"/>
      <c r="B718" s="218">
        <v>100502</v>
      </c>
      <c r="C718" s="219">
        <v>200078</v>
      </c>
      <c r="D718" s="218">
        <v>1</v>
      </c>
      <c r="E718" s="154">
        <v>100</v>
      </c>
      <c r="F718" s="218">
        <v>1</v>
      </c>
      <c r="G718" s="218"/>
      <c r="H718" s="218"/>
      <c r="I718" s="263"/>
    </row>
    <row r="719" spans="1:9" s="145" customFormat="1" hidden="1">
      <c r="A719" s="218"/>
      <c r="B719" s="218">
        <v>100502</v>
      </c>
      <c r="C719" s="219">
        <v>200090</v>
      </c>
      <c r="D719" s="218">
        <v>1</v>
      </c>
      <c r="E719" s="154">
        <v>100</v>
      </c>
      <c r="F719" s="218">
        <v>1</v>
      </c>
      <c r="G719" s="218"/>
      <c r="H719" s="218"/>
      <c r="I719" s="263"/>
    </row>
    <row r="720" spans="1:9" hidden="1">
      <c r="B720" s="131">
        <v>100503</v>
      </c>
      <c r="C720" s="9">
        <v>200003</v>
      </c>
      <c r="D720" s="154">
        <v>1</v>
      </c>
      <c r="E720">
        <v>4</v>
      </c>
      <c r="F720">
        <v>1</v>
      </c>
      <c r="I720" s="158" t="s">
        <v>1748</v>
      </c>
    </row>
    <row r="721" spans="2:9" hidden="1">
      <c r="B721" s="131">
        <v>100503</v>
      </c>
      <c r="C721" s="9">
        <v>200004</v>
      </c>
      <c r="D721" s="154">
        <v>1</v>
      </c>
      <c r="E721">
        <v>4</v>
      </c>
      <c r="F721">
        <v>1</v>
      </c>
      <c r="I721" s="9" t="s">
        <v>1927</v>
      </c>
    </row>
    <row r="722" spans="2:9" hidden="1">
      <c r="B722" s="131">
        <v>100503</v>
      </c>
      <c r="C722">
        <v>200005</v>
      </c>
      <c r="D722" s="154">
        <v>1</v>
      </c>
      <c r="E722">
        <v>4</v>
      </c>
      <c r="F722">
        <v>1</v>
      </c>
    </row>
    <row r="723" spans="2:9" hidden="1">
      <c r="B723" s="131">
        <v>100503</v>
      </c>
      <c r="C723">
        <v>200006</v>
      </c>
      <c r="D723" s="154">
        <v>1</v>
      </c>
      <c r="E723">
        <v>4</v>
      </c>
      <c r="F723">
        <v>1</v>
      </c>
    </row>
    <row r="724" spans="2:9" hidden="1">
      <c r="B724" s="131">
        <v>100503</v>
      </c>
      <c r="C724">
        <v>200007</v>
      </c>
      <c r="D724" s="154">
        <v>1</v>
      </c>
      <c r="E724">
        <v>4</v>
      </c>
      <c r="F724">
        <v>1</v>
      </c>
    </row>
    <row r="725" spans="2:9" hidden="1">
      <c r="B725" s="131">
        <v>100503</v>
      </c>
      <c r="C725">
        <v>200008</v>
      </c>
      <c r="D725" s="154">
        <v>1</v>
      </c>
      <c r="E725">
        <v>4</v>
      </c>
      <c r="F725">
        <v>1</v>
      </c>
    </row>
    <row r="726" spans="2:9" hidden="1">
      <c r="B726" s="131">
        <v>100503</v>
      </c>
      <c r="C726" s="8">
        <v>200009</v>
      </c>
      <c r="D726" s="154">
        <v>1</v>
      </c>
      <c r="E726">
        <v>4</v>
      </c>
      <c r="F726">
        <v>1</v>
      </c>
    </row>
    <row r="727" spans="2:9" hidden="1">
      <c r="B727" s="131">
        <v>100503</v>
      </c>
      <c r="C727" s="8">
        <v>200010</v>
      </c>
      <c r="D727" s="154">
        <v>1</v>
      </c>
      <c r="E727">
        <v>4</v>
      </c>
      <c r="F727">
        <v>1</v>
      </c>
    </row>
    <row r="728" spans="2:9" hidden="1">
      <c r="B728" s="131">
        <v>100503</v>
      </c>
      <c r="C728" s="8">
        <v>200016</v>
      </c>
      <c r="D728" s="154">
        <v>1</v>
      </c>
      <c r="E728">
        <v>4</v>
      </c>
      <c r="F728">
        <v>1</v>
      </c>
    </row>
    <row r="729" spans="2:9" hidden="1">
      <c r="B729" s="131">
        <v>100503</v>
      </c>
      <c r="C729" s="8">
        <v>200017</v>
      </c>
      <c r="D729" s="154">
        <v>1</v>
      </c>
      <c r="E729">
        <v>4</v>
      </c>
      <c r="F729">
        <v>1</v>
      </c>
    </row>
    <row r="730" spans="2:9" hidden="1">
      <c r="B730" s="131">
        <v>100503</v>
      </c>
      <c r="C730" s="8">
        <v>200018</v>
      </c>
      <c r="D730" s="154">
        <v>1</v>
      </c>
      <c r="E730">
        <v>4</v>
      </c>
      <c r="F730">
        <v>1</v>
      </c>
    </row>
    <row r="731" spans="2:9" hidden="1">
      <c r="B731" s="131">
        <v>100503</v>
      </c>
      <c r="C731" s="8">
        <v>200019</v>
      </c>
      <c r="D731" s="154">
        <v>1</v>
      </c>
      <c r="E731">
        <v>4</v>
      </c>
      <c r="F731">
        <v>1</v>
      </c>
    </row>
    <row r="732" spans="2:9" hidden="1">
      <c r="B732" s="131">
        <v>100503</v>
      </c>
      <c r="C732" s="8">
        <v>200020</v>
      </c>
      <c r="D732" s="154">
        <v>1</v>
      </c>
      <c r="E732">
        <v>4</v>
      </c>
      <c r="F732">
        <v>1</v>
      </c>
    </row>
    <row r="733" spans="2:9" hidden="1">
      <c r="B733" s="131">
        <v>100503</v>
      </c>
      <c r="C733" s="8">
        <v>200021</v>
      </c>
      <c r="D733" s="154">
        <v>1</v>
      </c>
      <c r="E733">
        <v>4</v>
      </c>
      <c r="F733">
        <v>1</v>
      </c>
    </row>
    <row r="734" spans="2:9" hidden="1">
      <c r="B734" s="131">
        <v>100503</v>
      </c>
      <c r="C734" s="8">
        <v>200024</v>
      </c>
      <c r="D734" s="154">
        <v>1</v>
      </c>
      <c r="E734">
        <v>4</v>
      </c>
      <c r="F734">
        <v>1</v>
      </c>
    </row>
    <row r="735" spans="2:9" hidden="1">
      <c r="B735" s="131">
        <v>100503</v>
      </c>
      <c r="C735" s="8">
        <v>200026</v>
      </c>
      <c r="D735" s="154">
        <v>1</v>
      </c>
      <c r="E735">
        <v>4</v>
      </c>
      <c r="F735">
        <v>1</v>
      </c>
    </row>
    <row r="736" spans="2:9" hidden="1">
      <c r="B736" s="131">
        <v>100503</v>
      </c>
      <c r="C736" s="8">
        <v>200029</v>
      </c>
      <c r="D736" s="154">
        <v>1</v>
      </c>
      <c r="E736">
        <v>4</v>
      </c>
      <c r="F736">
        <v>1</v>
      </c>
    </row>
    <row r="737" spans="1:8" hidden="1">
      <c r="B737" s="131">
        <v>100503</v>
      </c>
      <c r="C737" s="8">
        <v>200028</v>
      </c>
      <c r="D737" s="154">
        <v>1</v>
      </c>
      <c r="E737">
        <v>4</v>
      </c>
      <c r="F737">
        <v>1</v>
      </c>
    </row>
    <row r="738" spans="1:8" hidden="1">
      <c r="A738" s="152"/>
      <c r="B738" s="131">
        <v>100503</v>
      </c>
      <c r="C738" s="153">
        <v>200032</v>
      </c>
      <c r="D738" s="154">
        <v>1</v>
      </c>
      <c r="E738">
        <v>4</v>
      </c>
      <c r="F738" s="152">
        <v>1</v>
      </c>
      <c r="G738" s="152"/>
      <c r="H738" s="152"/>
    </row>
    <row r="739" spans="1:8" hidden="1">
      <c r="A739" s="152"/>
      <c r="B739" s="131">
        <v>100503</v>
      </c>
      <c r="C739" s="153">
        <v>200033</v>
      </c>
      <c r="D739" s="154">
        <v>1</v>
      </c>
      <c r="E739">
        <v>4</v>
      </c>
      <c r="F739" s="152">
        <v>1</v>
      </c>
      <c r="G739" s="152"/>
      <c r="H739" s="152"/>
    </row>
    <row r="740" spans="1:8" hidden="1">
      <c r="A740" s="152"/>
      <c r="B740" s="131">
        <v>100503</v>
      </c>
      <c r="C740" s="153">
        <v>200038</v>
      </c>
      <c r="D740" s="154">
        <v>1</v>
      </c>
      <c r="E740">
        <v>4</v>
      </c>
      <c r="F740" s="152">
        <v>1</v>
      </c>
      <c r="G740" s="152"/>
      <c r="H740" s="152"/>
    </row>
    <row r="741" spans="1:8" hidden="1">
      <c r="A741" s="152"/>
      <c r="B741" s="131">
        <v>100503</v>
      </c>
      <c r="C741" s="153">
        <v>200044</v>
      </c>
      <c r="D741" s="154">
        <v>1</v>
      </c>
      <c r="E741">
        <v>4</v>
      </c>
      <c r="F741" s="152">
        <v>1</v>
      </c>
      <c r="G741" s="152"/>
      <c r="H741" s="152"/>
    </row>
    <row r="742" spans="1:8" hidden="1">
      <c r="A742" s="152"/>
      <c r="B742" s="131">
        <v>100503</v>
      </c>
      <c r="C742" s="153">
        <v>200046</v>
      </c>
      <c r="D742" s="154">
        <v>1</v>
      </c>
      <c r="E742">
        <v>4</v>
      </c>
      <c r="F742" s="152">
        <v>1</v>
      </c>
      <c r="G742" s="152"/>
      <c r="H742" s="152"/>
    </row>
    <row r="743" spans="1:8" hidden="1">
      <c r="A743" s="152"/>
      <c r="B743" s="131">
        <v>100503</v>
      </c>
      <c r="C743" s="153">
        <v>200048</v>
      </c>
      <c r="D743" s="154">
        <v>1</v>
      </c>
      <c r="E743">
        <v>4</v>
      </c>
      <c r="F743" s="152">
        <v>1</v>
      </c>
      <c r="G743" s="152"/>
      <c r="H743" s="152"/>
    </row>
    <row r="744" spans="1:8" hidden="1">
      <c r="A744" s="152"/>
      <c r="B744" s="131">
        <v>100503</v>
      </c>
      <c r="C744" s="153">
        <v>200053</v>
      </c>
      <c r="D744" s="154">
        <v>1</v>
      </c>
      <c r="E744">
        <v>4</v>
      </c>
      <c r="F744" s="152">
        <v>1</v>
      </c>
      <c r="G744" s="152"/>
      <c r="H744" s="152"/>
    </row>
    <row r="745" spans="1:8" ht="13.5" hidden="1" customHeight="1">
      <c r="A745" s="152"/>
      <c r="B745" s="131">
        <v>100503</v>
      </c>
      <c r="C745" s="153">
        <v>200059</v>
      </c>
      <c r="D745" s="154">
        <v>1</v>
      </c>
      <c r="E745">
        <v>4</v>
      </c>
      <c r="F745" s="152">
        <v>1</v>
      </c>
      <c r="G745" s="152"/>
      <c r="H745" s="152"/>
    </row>
    <row r="746" spans="1:8" hidden="1">
      <c r="A746" s="152"/>
      <c r="B746" s="131">
        <v>100503</v>
      </c>
      <c r="C746" s="153">
        <v>200066</v>
      </c>
      <c r="D746" s="154">
        <v>1</v>
      </c>
      <c r="E746">
        <v>4</v>
      </c>
      <c r="F746" s="152">
        <v>1</v>
      </c>
      <c r="G746" s="152"/>
      <c r="H746" s="152"/>
    </row>
    <row r="747" spans="1:8" hidden="1">
      <c r="A747" s="152"/>
      <c r="B747" s="131">
        <v>100503</v>
      </c>
      <c r="C747" s="153">
        <v>200067</v>
      </c>
      <c r="D747" s="154">
        <v>1</v>
      </c>
      <c r="E747">
        <v>4</v>
      </c>
      <c r="F747" s="152">
        <v>1</v>
      </c>
      <c r="G747" s="152"/>
      <c r="H747" s="152"/>
    </row>
    <row r="748" spans="1:8" hidden="1">
      <c r="A748" s="152"/>
      <c r="B748" s="131">
        <v>100503</v>
      </c>
      <c r="C748" s="153">
        <v>200068</v>
      </c>
      <c r="D748" s="154">
        <v>1</v>
      </c>
      <c r="E748">
        <v>4</v>
      </c>
      <c r="F748" s="152">
        <v>1</v>
      </c>
      <c r="G748" s="152"/>
      <c r="H748" s="152"/>
    </row>
    <row r="749" spans="1:8" hidden="1">
      <c r="A749" s="152"/>
      <c r="B749" s="131">
        <v>100503</v>
      </c>
      <c r="C749" s="153">
        <v>200069</v>
      </c>
      <c r="D749" s="154">
        <v>1</v>
      </c>
      <c r="E749">
        <v>4</v>
      </c>
      <c r="F749" s="152">
        <v>1</v>
      </c>
      <c r="G749" s="152"/>
      <c r="H749" s="152"/>
    </row>
    <row r="750" spans="1:8" hidden="1">
      <c r="A750" s="152"/>
      <c r="B750" s="131">
        <v>100503</v>
      </c>
      <c r="C750" s="153">
        <v>200074</v>
      </c>
      <c r="D750" s="154">
        <v>1</v>
      </c>
      <c r="E750">
        <v>4</v>
      </c>
      <c r="F750" s="152">
        <v>1</v>
      </c>
      <c r="G750" s="152"/>
      <c r="H750" s="152"/>
    </row>
    <row r="751" spans="1:8" hidden="1">
      <c r="A751" s="152"/>
      <c r="B751" s="131">
        <v>100503</v>
      </c>
      <c r="C751" s="153">
        <v>200077</v>
      </c>
      <c r="D751" s="154">
        <v>1</v>
      </c>
      <c r="E751">
        <v>4</v>
      </c>
      <c r="F751" s="152">
        <v>1</v>
      </c>
      <c r="G751" s="152"/>
      <c r="H751" s="152"/>
    </row>
    <row r="752" spans="1:8" hidden="1">
      <c r="A752" s="152"/>
      <c r="B752" s="131">
        <v>100503</v>
      </c>
      <c r="C752" s="213">
        <v>200079</v>
      </c>
      <c r="D752" s="154">
        <v>1</v>
      </c>
      <c r="E752" s="152">
        <v>32</v>
      </c>
      <c r="F752" s="152">
        <v>1</v>
      </c>
      <c r="G752" s="152"/>
      <c r="H752" s="152"/>
    </row>
    <row r="753" spans="1:9" hidden="1">
      <c r="A753" s="152"/>
      <c r="B753" s="131">
        <v>100503</v>
      </c>
      <c r="C753" s="213">
        <v>200080</v>
      </c>
      <c r="D753" s="154">
        <v>1</v>
      </c>
      <c r="E753" s="152">
        <v>32</v>
      </c>
      <c r="F753" s="152">
        <v>1</v>
      </c>
      <c r="G753" s="152"/>
      <c r="H753" s="152"/>
    </row>
    <row r="754" spans="1:9" hidden="1">
      <c r="A754" s="152"/>
      <c r="B754" s="131">
        <v>100503</v>
      </c>
      <c r="C754" s="213">
        <v>200081</v>
      </c>
      <c r="D754" s="154">
        <v>1</v>
      </c>
      <c r="E754" s="152">
        <v>32</v>
      </c>
      <c r="F754" s="152">
        <v>1</v>
      </c>
      <c r="G754" s="152"/>
      <c r="H754" s="152"/>
    </row>
    <row r="755" spans="1:9" hidden="1">
      <c r="A755" s="152"/>
      <c r="B755" s="131">
        <v>100503</v>
      </c>
      <c r="C755" s="213">
        <v>200082</v>
      </c>
      <c r="D755" s="154">
        <v>1</v>
      </c>
      <c r="E755" s="152">
        <v>32</v>
      </c>
      <c r="F755" s="152">
        <v>1</v>
      </c>
      <c r="G755" s="152"/>
      <c r="H755" s="152"/>
    </row>
    <row r="756" spans="1:9" s="145" customFormat="1" hidden="1">
      <c r="B756" s="145">
        <v>100504</v>
      </c>
      <c r="C756" s="145">
        <v>200011</v>
      </c>
      <c r="D756" s="145">
        <v>1</v>
      </c>
      <c r="E756">
        <v>4</v>
      </c>
      <c r="F756" s="145">
        <v>1</v>
      </c>
      <c r="I756" s="159" t="s">
        <v>632</v>
      </c>
    </row>
    <row r="757" spans="1:9" s="145" customFormat="1" hidden="1">
      <c r="B757" s="145">
        <v>100504</v>
      </c>
      <c r="C757" s="145">
        <v>200012</v>
      </c>
      <c r="D757" s="145">
        <v>1</v>
      </c>
      <c r="E757">
        <v>4</v>
      </c>
      <c r="F757" s="145">
        <v>1</v>
      </c>
      <c r="I757" s="9" t="s">
        <v>1918</v>
      </c>
    </row>
    <row r="758" spans="1:9" s="145" customFormat="1" hidden="1">
      <c r="B758" s="145">
        <v>100504</v>
      </c>
      <c r="C758" s="145">
        <v>200013</v>
      </c>
      <c r="D758" s="145">
        <v>1</v>
      </c>
      <c r="E758">
        <v>4</v>
      </c>
      <c r="F758" s="145">
        <v>1</v>
      </c>
      <c r="I758" s="160"/>
    </row>
    <row r="759" spans="1:9" s="145" customFormat="1" hidden="1">
      <c r="B759" s="145">
        <v>100504</v>
      </c>
      <c r="C759" s="145">
        <v>200014</v>
      </c>
      <c r="D759" s="145">
        <v>1</v>
      </c>
      <c r="E759">
        <v>4</v>
      </c>
      <c r="F759" s="145">
        <v>1</v>
      </c>
      <c r="I759" s="161"/>
    </row>
    <row r="760" spans="1:9" s="145" customFormat="1" hidden="1">
      <c r="B760" s="145">
        <v>100504</v>
      </c>
      <c r="C760" s="148">
        <v>200022</v>
      </c>
      <c r="D760" s="145">
        <v>1</v>
      </c>
      <c r="E760">
        <v>4</v>
      </c>
      <c r="F760" s="145">
        <v>1</v>
      </c>
      <c r="I760" s="161"/>
    </row>
    <row r="761" spans="1:9" s="145" customFormat="1" hidden="1">
      <c r="B761" s="145">
        <v>100504</v>
      </c>
      <c r="C761" s="148">
        <v>200023</v>
      </c>
      <c r="D761" s="145">
        <v>1</v>
      </c>
      <c r="E761">
        <v>4</v>
      </c>
      <c r="F761" s="145">
        <v>1</v>
      </c>
      <c r="I761" s="161"/>
    </row>
    <row r="762" spans="1:9" s="145" customFormat="1" hidden="1">
      <c r="B762" s="145">
        <v>100504</v>
      </c>
      <c r="C762" s="148">
        <v>200025</v>
      </c>
      <c r="D762" s="145">
        <v>1</v>
      </c>
      <c r="E762">
        <v>4</v>
      </c>
      <c r="F762" s="145">
        <v>1</v>
      </c>
      <c r="I762" s="161"/>
    </row>
    <row r="763" spans="1:9" s="145" customFormat="1" hidden="1">
      <c r="A763" s="149"/>
      <c r="B763" s="145">
        <v>100504</v>
      </c>
      <c r="C763" s="150">
        <v>200027</v>
      </c>
      <c r="D763" s="149">
        <v>1</v>
      </c>
      <c r="E763">
        <v>4</v>
      </c>
      <c r="F763" s="149">
        <v>1</v>
      </c>
      <c r="G763" s="149"/>
      <c r="H763" s="149"/>
      <c r="I763" s="161"/>
    </row>
    <row r="764" spans="1:9" s="145" customFormat="1" hidden="1">
      <c r="A764" s="149"/>
      <c r="B764" s="145">
        <v>100504</v>
      </c>
      <c r="C764" s="150">
        <v>200030</v>
      </c>
      <c r="D764" s="149">
        <v>1</v>
      </c>
      <c r="E764">
        <v>4</v>
      </c>
      <c r="F764" s="149">
        <v>1</v>
      </c>
      <c r="G764" s="149"/>
      <c r="H764" s="149"/>
      <c r="I764" s="161"/>
    </row>
    <row r="765" spans="1:9" s="145" customFormat="1" hidden="1">
      <c r="A765" s="149"/>
      <c r="B765" s="145">
        <v>100504</v>
      </c>
      <c r="C765" s="150">
        <v>200031</v>
      </c>
      <c r="D765" s="149">
        <v>1</v>
      </c>
      <c r="E765">
        <v>4</v>
      </c>
      <c r="F765" s="149">
        <v>1</v>
      </c>
      <c r="G765" s="149"/>
      <c r="H765" s="149"/>
      <c r="I765" s="160"/>
    </row>
    <row r="766" spans="1:9" s="145" customFormat="1" hidden="1">
      <c r="A766" s="149"/>
      <c r="B766" s="145">
        <v>100504</v>
      </c>
      <c r="C766" s="150">
        <v>200039</v>
      </c>
      <c r="D766" s="149">
        <v>1</v>
      </c>
      <c r="E766">
        <v>4</v>
      </c>
      <c r="F766" s="149">
        <v>1</v>
      </c>
      <c r="G766" s="149"/>
      <c r="H766" s="149"/>
      <c r="I766" s="161"/>
    </row>
    <row r="767" spans="1:9" s="145" customFormat="1" hidden="1">
      <c r="A767" s="149"/>
      <c r="B767" s="145">
        <v>100504</v>
      </c>
      <c r="C767" s="150">
        <v>200045</v>
      </c>
      <c r="D767" s="149">
        <v>1</v>
      </c>
      <c r="E767">
        <v>4</v>
      </c>
      <c r="F767" s="149">
        <v>1</v>
      </c>
      <c r="G767" s="149"/>
      <c r="H767" s="149"/>
      <c r="I767" s="161"/>
    </row>
    <row r="768" spans="1:9" s="145" customFormat="1" hidden="1">
      <c r="A768" s="149"/>
      <c r="B768" s="145">
        <v>100504</v>
      </c>
      <c r="C768" s="150">
        <v>200047</v>
      </c>
      <c r="D768" s="149">
        <v>1</v>
      </c>
      <c r="E768">
        <v>4</v>
      </c>
      <c r="F768" s="149">
        <v>1</v>
      </c>
      <c r="G768" s="149"/>
      <c r="H768" s="149"/>
      <c r="I768" s="160"/>
    </row>
    <row r="769" spans="1:9" s="145" customFormat="1" hidden="1">
      <c r="A769" s="149"/>
      <c r="B769" s="145">
        <v>100504</v>
      </c>
      <c r="C769" s="150">
        <v>200049</v>
      </c>
      <c r="D769" s="149">
        <v>1</v>
      </c>
      <c r="E769">
        <v>4</v>
      </c>
      <c r="F769" s="149">
        <v>1</v>
      </c>
      <c r="G769" s="149"/>
      <c r="H769" s="149"/>
      <c r="I769" s="160"/>
    </row>
    <row r="770" spans="1:9" s="145" customFormat="1" hidden="1">
      <c r="A770" s="149"/>
      <c r="B770" s="145">
        <v>100504</v>
      </c>
      <c r="C770" s="150">
        <v>200054</v>
      </c>
      <c r="D770" s="149">
        <v>1</v>
      </c>
      <c r="E770">
        <v>4</v>
      </c>
      <c r="F770" s="149">
        <v>1</v>
      </c>
      <c r="G770" s="149"/>
      <c r="H770" s="149"/>
      <c r="I770" s="160"/>
    </row>
    <row r="771" spans="1:9" s="145" customFormat="1" hidden="1">
      <c r="A771" s="149"/>
      <c r="B771" s="145">
        <v>100504</v>
      </c>
      <c r="C771" s="150">
        <v>200060</v>
      </c>
      <c r="D771" s="149">
        <v>1</v>
      </c>
      <c r="E771">
        <v>4</v>
      </c>
      <c r="F771" s="149">
        <v>1</v>
      </c>
      <c r="G771" s="149"/>
      <c r="H771" s="149"/>
      <c r="I771" s="160"/>
    </row>
    <row r="772" spans="1:9" s="145" customFormat="1" hidden="1">
      <c r="A772" s="149"/>
      <c r="B772" s="145">
        <v>100504</v>
      </c>
      <c r="C772" s="150">
        <v>200075</v>
      </c>
      <c r="D772" s="149">
        <v>1</v>
      </c>
      <c r="E772">
        <v>4</v>
      </c>
      <c r="F772" s="149">
        <v>1</v>
      </c>
      <c r="G772" s="149"/>
      <c r="H772" s="149"/>
      <c r="I772" s="160"/>
    </row>
    <row r="773" spans="1:9" s="145" customFormat="1" hidden="1">
      <c r="A773" s="149"/>
      <c r="B773" s="145">
        <v>100504</v>
      </c>
      <c r="C773" s="150">
        <v>200078</v>
      </c>
      <c r="D773" s="149">
        <v>1</v>
      </c>
      <c r="E773">
        <v>4</v>
      </c>
      <c r="F773" s="149">
        <v>1</v>
      </c>
      <c r="G773" s="149"/>
      <c r="H773" s="149"/>
      <c r="I773" s="160"/>
    </row>
    <row r="774" spans="1:9" hidden="1">
      <c r="A774" s="152"/>
      <c r="B774" s="145">
        <v>100504</v>
      </c>
      <c r="C774" s="213">
        <v>200079</v>
      </c>
      <c r="D774" s="154">
        <v>1</v>
      </c>
      <c r="E774" s="152">
        <v>18</v>
      </c>
      <c r="F774" s="152">
        <v>1</v>
      </c>
      <c r="G774" s="152"/>
      <c r="H774" s="152"/>
    </row>
    <row r="775" spans="1:9" hidden="1">
      <c r="A775" s="152"/>
      <c r="B775" s="145">
        <v>100504</v>
      </c>
      <c r="C775" s="213">
        <v>200080</v>
      </c>
      <c r="D775" s="154">
        <v>1</v>
      </c>
      <c r="E775" s="152">
        <v>18</v>
      </c>
      <c r="F775" s="152">
        <v>1</v>
      </c>
      <c r="G775" s="152"/>
      <c r="H775" s="152"/>
    </row>
    <row r="776" spans="1:9" hidden="1">
      <c r="A776" s="152"/>
      <c r="B776" s="145">
        <v>100504</v>
      </c>
      <c r="C776" s="213">
        <v>200081</v>
      </c>
      <c r="D776" s="154">
        <v>1</v>
      </c>
      <c r="E776" s="152">
        <v>18</v>
      </c>
      <c r="F776" s="152">
        <v>1</v>
      </c>
      <c r="G776" s="152"/>
      <c r="H776" s="152"/>
    </row>
    <row r="777" spans="1:9" hidden="1">
      <c r="A777" s="152"/>
      <c r="B777" s="145">
        <v>100504</v>
      </c>
      <c r="C777" s="213">
        <v>200082</v>
      </c>
      <c r="D777" s="154">
        <v>1</v>
      </c>
      <c r="E777" s="152">
        <v>18</v>
      </c>
      <c r="F777" s="152">
        <v>1</v>
      </c>
      <c r="G777" s="152"/>
      <c r="H777" s="152"/>
    </row>
    <row r="778" spans="1:9" hidden="1">
      <c r="B778" s="131">
        <v>100505</v>
      </c>
      <c r="C778" s="9">
        <v>200003</v>
      </c>
      <c r="D778">
        <v>1</v>
      </c>
      <c r="E778">
        <v>10</v>
      </c>
      <c r="F778">
        <v>1</v>
      </c>
      <c r="I778" s="158" t="s">
        <v>1784</v>
      </c>
    </row>
    <row r="779" spans="1:9" hidden="1">
      <c r="B779" s="131">
        <v>100505</v>
      </c>
      <c r="C779" s="9">
        <v>200004</v>
      </c>
      <c r="D779">
        <v>1</v>
      </c>
      <c r="E779">
        <v>10</v>
      </c>
      <c r="F779">
        <v>1</v>
      </c>
      <c r="I779" s="240" t="s">
        <v>1919</v>
      </c>
    </row>
    <row r="780" spans="1:9" hidden="1">
      <c r="B780" s="131">
        <v>100505</v>
      </c>
      <c r="C780">
        <v>200005</v>
      </c>
      <c r="D780">
        <v>1</v>
      </c>
      <c r="E780">
        <v>10</v>
      </c>
      <c r="F780">
        <v>1</v>
      </c>
    </row>
    <row r="781" spans="1:9" hidden="1">
      <c r="B781" s="131">
        <v>100505</v>
      </c>
      <c r="C781">
        <v>200006</v>
      </c>
      <c r="D781">
        <v>1</v>
      </c>
      <c r="E781">
        <v>10</v>
      </c>
      <c r="F781">
        <v>1</v>
      </c>
    </row>
    <row r="782" spans="1:9" hidden="1">
      <c r="B782" s="131">
        <v>100505</v>
      </c>
      <c r="C782">
        <v>200007</v>
      </c>
      <c r="D782">
        <v>1</v>
      </c>
      <c r="E782">
        <v>10</v>
      </c>
      <c r="F782">
        <v>1</v>
      </c>
    </row>
    <row r="783" spans="1:9" hidden="1">
      <c r="B783" s="131">
        <v>100505</v>
      </c>
      <c r="C783">
        <v>200008</v>
      </c>
      <c r="D783">
        <v>1</v>
      </c>
      <c r="E783">
        <v>10</v>
      </c>
      <c r="F783">
        <v>1</v>
      </c>
    </row>
    <row r="784" spans="1:9" hidden="1">
      <c r="B784" s="131">
        <v>100505</v>
      </c>
      <c r="C784" s="8">
        <v>200009</v>
      </c>
      <c r="D784">
        <v>1</v>
      </c>
      <c r="E784">
        <v>10</v>
      </c>
      <c r="F784">
        <v>1</v>
      </c>
    </row>
    <row r="785" spans="1:8" hidden="1">
      <c r="B785" s="131">
        <v>100505</v>
      </c>
      <c r="C785" s="8">
        <v>200010</v>
      </c>
      <c r="D785">
        <v>1</v>
      </c>
      <c r="E785">
        <v>10</v>
      </c>
      <c r="F785">
        <v>1</v>
      </c>
    </row>
    <row r="786" spans="1:8" hidden="1">
      <c r="B786" s="131">
        <v>100505</v>
      </c>
      <c r="C786" s="8">
        <v>200016</v>
      </c>
      <c r="D786">
        <v>1</v>
      </c>
      <c r="E786">
        <v>10</v>
      </c>
      <c r="F786">
        <v>1</v>
      </c>
    </row>
    <row r="787" spans="1:8" hidden="1">
      <c r="B787" s="131">
        <v>100505</v>
      </c>
      <c r="C787" s="8">
        <v>200017</v>
      </c>
      <c r="D787">
        <v>1</v>
      </c>
      <c r="E787">
        <v>10</v>
      </c>
      <c r="F787">
        <v>1</v>
      </c>
    </row>
    <row r="788" spans="1:8" hidden="1">
      <c r="B788" s="131">
        <v>100505</v>
      </c>
      <c r="C788" s="8">
        <v>200018</v>
      </c>
      <c r="D788">
        <v>1</v>
      </c>
      <c r="E788">
        <v>10</v>
      </c>
      <c r="F788">
        <v>1</v>
      </c>
    </row>
    <row r="789" spans="1:8" hidden="1">
      <c r="B789" s="131">
        <v>100505</v>
      </c>
      <c r="C789" s="8">
        <v>200019</v>
      </c>
      <c r="D789">
        <v>1</v>
      </c>
      <c r="E789">
        <v>10</v>
      </c>
      <c r="F789">
        <v>1</v>
      </c>
    </row>
    <row r="790" spans="1:8" hidden="1">
      <c r="B790" s="131">
        <v>100505</v>
      </c>
      <c r="C790" s="8">
        <v>200020</v>
      </c>
      <c r="D790">
        <v>1</v>
      </c>
      <c r="E790">
        <v>10</v>
      </c>
      <c r="F790">
        <v>1</v>
      </c>
    </row>
    <row r="791" spans="1:8" hidden="1">
      <c r="B791" s="131">
        <v>100505</v>
      </c>
      <c r="C791" s="8">
        <v>200021</v>
      </c>
      <c r="D791">
        <v>1</v>
      </c>
      <c r="E791">
        <v>10</v>
      </c>
      <c r="F791">
        <v>1</v>
      </c>
    </row>
    <row r="792" spans="1:8" hidden="1">
      <c r="B792" s="131">
        <v>100505</v>
      </c>
      <c r="C792" s="8">
        <v>200024</v>
      </c>
      <c r="D792">
        <v>1</v>
      </c>
      <c r="E792">
        <v>150</v>
      </c>
      <c r="F792">
        <v>1</v>
      </c>
    </row>
    <row r="793" spans="1:8" hidden="1">
      <c r="B793" s="131">
        <v>100505</v>
      </c>
      <c r="C793" s="8">
        <v>200026</v>
      </c>
      <c r="D793">
        <v>1</v>
      </c>
      <c r="E793">
        <v>10</v>
      </c>
      <c r="F793">
        <v>1</v>
      </c>
    </row>
    <row r="794" spans="1:8" hidden="1">
      <c r="B794" s="131">
        <v>100505</v>
      </c>
      <c r="C794" s="8">
        <v>200029</v>
      </c>
      <c r="D794">
        <v>1</v>
      </c>
      <c r="E794">
        <v>150</v>
      </c>
      <c r="F794">
        <v>1</v>
      </c>
    </row>
    <row r="795" spans="1:8" hidden="1">
      <c r="B795" s="131">
        <v>100505</v>
      </c>
      <c r="C795" s="8">
        <v>200028</v>
      </c>
      <c r="D795">
        <v>1</v>
      </c>
      <c r="E795">
        <v>10</v>
      </c>
      <c r="F795">
        <v>1</v>
      </c>
    </row>
    <row r="796" spans="1:8" hidden="1">
      <c r="A796" s="152"/>
      <c r="B796" s="131">
        <v>100505</v>
      </c>
      <c r="C796" s="153">
        <v>200032</v>
      </c>
      <c r="D796" s="152">
        <v>1</v>
      </c>
      <c r="E796">
        <v>10</v>
      </c>
      <c r="F796" s="152">
        <v>1</v>
      </c>
      <c r="G796" s="152"/>
      <c r="H796" s="152"/>
    </row>
    <row r="797" spans="1:8" hidden="1">
      <c r="A797" s="152"/>
      <c r="B797" s="131">
        <v>100505</v>
      </c>
      <c r="C797" s="153">
        <v>200033</v>
      </c>
      <c r="D797" s="152">
        <v>1</v>
      </c>
      <c r="E797">
        <v>10</v>
      </c>
      <c r="F797" s="152">
        <v>1</v>
      </c>
      <c r="G797" s="152"/>
      <c r="H797" s="152"/>
    </row>
    <row r="798" spans="1:8" hidden="1">
      <c r="A798" s="152"/>
      <c r="B798" s="131">
        <v>100505</v>
      </c>
      <c r="C798" s="153">
        <v>200038</v>
      </c>
      <c r="D798" s="152">
        <v>1</v>
      </c>
      <c r="E798">
        <v>10</v>
      </c>
      <c r="F798" s="152">
        <v>1</v>
      </c>
      <c r="G798" s="152"/>
      <c r="H798" s="152"/>
    </row>
    <row r="799" spans="1:8" hidden="1">
      <c r="A799" s="152"/>
      <c r="B799" s="131">
        <v>100505</v>
      </c>
      <c r="C799" s="153">
        <v>200044</v>
      </c>
      <c r="D799" s="152">
        <v>1</v>
      </c>
      <c r="E799">
        <v>10</v>
      </c>
      <c r="F799" s="152">
        <v>1</v>
      </c>
      <c r="G799" s="152"/>
      <c r="H799" s="152"/>
    </row>
    <row r="800" spans="1:8" hidden="1">
      <c r="A800" s="152"/>
      <c r="B800" s="131">
        <v>100505</v>
      </c>
      <c r="C800" s="153">
        <v>200046</v>
      </c>
      <c r="D800" s="152">
        <v>1</v>
      </c>
      <c r="E800">
        <v>10</v>
      </c>
      <c r="F800" s="152">
        <v>1</v>
      </c>
      <c r="G800" s="152"/>
      <c r="H800" s="152"/>
    </row>
    <row r="801" spans="1:9" hidden="1">
      <c r="A801" s="152"/>
      <c r="B801" s="131">
        <v>100505</v>
      </c>
      <c r="C801" s="153">
        <v>200048</v>
      </c>
      <c r="D801" s="152">
        <v>1</v>
      </c>
      <c r="E801">
        <v>10</v>
      </c>
      <c r="F801" s="152">
        <v>1</v>
      </c>
      <c r="G801" s="152"/>
      <c r="H801" s="152"/>
    </row>
    <row r="802" spans="1:9" hidden="1">
      <c r="A802" s="152"/>
      <c r="B802" s="131">
        <v>100505</v>
      </c>
      <c r="C802" s="153">
        <v>200053</v>
      </c>
      <c r="D802" s="152">
        <v>1</v>
      </c>
      <c r="E802">
        <v>10</v>
      </c>
      <c r="F802" s="152">
        <v>1</v>
      </c>
      <c r="G802" s="152"/>
      <c r="H802" s="152"/>
    </row>
    <row r="803" spans="1:9" hidden="1">
      <c r="A803" s="152"/>
      <c r="B803" s="131">
        <v>100505</v>
      </c>
      <c r="C803" s="153">
        <v>200059</v>
      </c>
      <c r="D803" s="152">
        <v>1</v>
      </c>
      <c r="E803">
        <v>10</v>
      </c>
      <c r="F803" s="152">
        <v>1</v>
      </c>
      <c r="G803" s="152"/>
      <c r="H803" s="152"/>
    </row>
    <row r="804" spans="1:9" hidden="1">
      <c r="A804" s="152"/>
      <c r="B804" s="131">
        <v>100505</v>
      </c>
      <c r="C804">
        <v>200066</v>
      </c>
      <c r="D804" s="152">
        <v>1</v>
      </c>
      <c r="E804">
        <v>10</v>
      </c>
      <c r="F804" s="152">
        <v>1</v>
      </c>
      <c r="G804" s="152"/>
      <c r="H804" s="152"/>
    </row>
    <row r="805" spans="1:9" hidden="1">
      <c r="A805" s="152"/>
      <c r="B805" s="131">
        <v>100505</v>
      </c>
      <c r="C805" s="153">
        <v>200067</v>
      </c>
      <c r="D805" s="152">
        <v>1</v>
      </c>
      <c r="E805">
        <v>10</v>
      </c>
      <c r="F805" s="152">
        <v>1</v>
      </c>
      <c r="G805" s="152"/>
      <c r="H805" s="152"/>
    </row>
    <row r="806" spans="1:9" hidden="1">
      <c r="A806" s="152"/>
      <c r="B806" s="131">
        <v>100505</v>
      </c>
      <c r="C806">
        <v>200068</v>
      </c>
      <c r="D806" s="152">
        <v>1</v>
      </c>
      <c r="E806">
        <v>10</v>
      </c>
      <c r="F806" s="152">
        <v>1</v>
      </c>
      <c r="G806" s="152"/>
      <c r="H806" s="152"/>
    </row>
    <row r="807" spans="1:9" hidden="1">
      <c r="A807" s="152"/>
      <c r="B807" s="131">
        <v>100505</v>
      </c>
      <c r="C807" s="153">
        <v>200069</v>
      </c>
      <c r="D807" s="152">
        <v>1</v>
      </c>
      <c r="E807">
        <v>10</v>
      </c>
      <c r="F807" s="152">
        <v>1</v>
      </c>
      <c r="G807" s="152"/>
      <c r="H807" s="152"/>
    </row>
    <row r="808" spans="1:9" hidden="1">
      <c r="A808" s="152"/>
      <c r="B808" s="131">
        <v>100505</v>
      </c>
      <c r="C808" s="153">
        <v>200074</v>
      </c>
      <c r="D808" s="152">
        <v>1</v>
      </c>
      <c r="E808">
        <v>10</v>
      </c>
      <c r="F808" s="152">
        <v>1</v>
      </c>
      <c r="G808" s="152"/>
      <c r="H808" s="152"/>
    </row>
    <row r="809" spans="1:9" hidden="1">
      <c r="A809" s="152"/>
      <c r="B809" s="131">
        <v>100505</v>
      </c>
      <c r="C809" s="153">
        <v>200077</v>
      </c>
      <c r="D809" s="152">
        <v>1</v>
      </c>
      <c r="E809">
        <v>10</v>
      </c>
      <c r="F809" s="152">
        <v>1</v>
      </c>
      <c r="G809" s="152"/>
      <c r="H809" s="152"/>
    </row>
    <row r="810" spans="1:9" s="145" customFormat="1" hidden="1">
      <c r="B810" s="145">
        <v>100506</v>
      </c>
      <c r="C810" s="145">
        <v>200011</v>
      </c>
      <c r="D810" s="145">
        <v>1</v>
      </c>
      <c r="E810" s="145">
        <v>80</v>
      </c>
      <c r="F810" s="145">
        <v>1</v>
      </c>
      <c r="I810" s="159" t="s">
        <v>633</v>
      </c>
    </row>
    <row r="811" spans="1:9" s="145" customFormat="1" hidden="1">
      <c r="B811" s="145">
        <v>100506</v>
      </c>
      <c r="C811" s="145">
        <v>200012</v>
      </c>
      <c r="D811" s="145">
        <v>1</v>
      </c>
      <c r="E811">
        <v>10</v>
      </c>
      <c r="F811" s="145">
        <v>1</v>
      </c>
      <c r="I811" s="240" t="s">
        <v>1922</v>
      </c>
    </row>
    <row r="812" spans="1:9" s="145" customFormat="1" hidden="1">
      <c r="B812" s="145">
        <v>100506</v>
      </c>
      <c r="C812" s="145">
        <v>200013</v>
      </c>
      <c r="D812" s="145">
        <v>1</v>
      </c>
      <c r="E812">
        <v>10</v>
      </c>
      <c r="F812" s="145">
        <v>1</v>
      </c>
      <c r="I812" s="142"/>
    </row>
    <row r="813" spans="1:9" s="145" customFormat="1" hidden="1">
      <c r="B813" s="145">
        <v>100506</v>
      </c>
      <c r="C813" s="145">
        <v>200014</v>
      </c>
      <c r="D813" s="145">
        <v>1</v>
      </c>
      <c r="E813">
        <v>10</v>
      </c>
      <c r="F813" s="145">
        <v>1</v>
      </c>
      <c r="I813" s="161"/>
    </row>
    <row r="814" spans="1:9" s="145" customFormat="1" hidden="1">
      <c r="B814" s="145">
        <v>100506</v>
      </c>
      <c r="C814" s="148">
        <v>200022</v>
      </c>
      <c r="D814" s="145">
        <v>1</v>
      </c>
      <c r="E814" s="145">
        <v>80</v>
      </c>
      <c r="F814" s="145">
        <v>1</v>
      </c>
      <c r="I814" s="161"/>
    </row>
    <row r="815" spans="1:9" s="145" customFormat="1" hidden="1">
      <c r="B815" s="145">
        <v>100506</v>
      </c>
      <c r="C815" s="148">
        <v>200023</v>
      </c>
      <c r="D815" s="145">
        <v>1</v>
      </c>
      <c r="E815">
        <v>10</v>
      </c>
      <c r="F815" s="145">
        <v>1</v>
      </c>
      <c r="I815" s="161"/>
    </row>
    <row r="816" spans="1:9" s="145" customFormat="1" hidden="1">
      <c r="B816" s="145">
        <v>100506</v>
      </c>
      <c r="C816" s="148">
        <v>200025</v>
      </c>
      <c r="D816" s="145">
        <v>1</v>
      </c>
      <c r="E816">
        <v>10</v>
      </c>
      <c r="F816" s="145">
        <v>1</v>
      </c>
      <c r="I816" s="161"/>
    </row>
    <row r="817" spans="1:9" s="145" customFormat="1" hidden="1">
      <c r="A817" s="149"/>
      <c r="B817" s="145">
        <v>100506</v>
      </c>
      <c r="C817" s="150">
        <v>200027</v>
      </c>
      <c r="D817" s="149">
        <v>1</v>
      </c>
      <c r="E817">
        <v>10</v>
      </c>
      <c r="F817" s="149">
        <v>1</v>
      </c>
      <c r="G817" s="149"/>
      <c r="H817" s="149"/>
      <c r="I817" s="161"/>
    </row>
    <row r="818" spans="1:9" s="145" customFormat="1" hidden="1">
      <c r="A818" s="149"/>
      <c r="B818" s="145">
        <v>100506</v>
      </c>
      <c r="C818" s="150">
        <v>200030</v>
      </c>
      <c r="D818" s="149">
        <v>1</v>
      </c>
      <c r="E818">
        <v>10</v>
      </c>
      <c r="F818" s="149">
        <v>1</v>
      </c>
      <c r="G818" s="149"/>
      <c r="H818" s="149"/>
      <c r="I818" s="161"/>
    </row>
    <row r="819" spans="1:9" s="145" customFormat="1" hidden="1">
      <c r="A819" s="149"/>
      <c r="B819" s="145">
        <v>100506</v>
      </c>
      <c r="C819" s="150">
        <v>200031</v>
      </c>
      <c r="D819" s="149">
        <v>1</v>
      </c>
      <c r="E819">
        <v>10</v>
      </c>
      <c r="F819" s="149">
        <v>1</v>
      </c>
      <c r="G819" s="149"/>
      <c r="H819" s="149"/>
      <c r="I819" s="160"/>
    </row>
    <row r="820" spans="1:9" s="145" customFormat="1" hidden="1">
      <c r="A820" s="149"/>
      <c r="B820" s="145">
        <v>100506</v>
      </c>
      <c r="C820" s="150">
        <v>200039</v>
      </c>
      <c r="D820" s="149">
        <v>1</v>
      </c>
      <c r="E820">
        <v>10</v>
      </c>
      <c r="F820" s="149">
        <v>1</v>
      </c>
      <c r="G820" s="149"/>
      <c r="H820" s="149"/>
      <c r="I820" s="161"/>
    </row>
    <row r="821" spans="1:9" s="145" customFormat="1" hidden="1">
      <c r="A821" s="149"/>
      <c r="B821" s="145">
        <v>100506</v>
      </c>
      <c r="C821" s="150">
        <v>200045</v>
      </c>
      <c r="D821" s="149">
        <v>1</v>
      </c>
      <c r="E821">
        <v>10</v>
      </c>
      <c r="F821" s="149">
        <v>1</v>
      </c>
      <c r="G821" s="149"/>
      <c r="H821" s="149"/>
      <c r="I821" s="161"/>
    </row>
    <row r="822" spans="1:9" s="145" customFormat="1" hidden="1">
      <c r="A822" s="149"/>
      <c r="B822" s="145">
        <v>100506</v>
      </c>
      <c r="C822" s="150">
        <v>200047</v>
      </c>
      <c r="D822" s="149">
        <v>1</v>
      </c>
      <c r="E822">
        <v>10</v>
      </c>
      <c r="F822" s="149">
        <v>1</v>
      </c>
      <c r="G822" s="149"/>
      <c r="H822" s="149"/>
      <c r="I822" s="160"/>
    </row>
    <row r="823" spans="1:9" s="145" customFormat="1" hidden="1">
      <c r="A823" s="149"/>
      <c r="B823" s="145">
        <v>100506</v>
      </c>
      <c r="C823" s="150">
        <v>200049</v>
      </c>
      <c r="D823" s="149">
        <v>1</v>
      </c>
      <c r="E823">
        <v>10</v>
      </c>
      <c r="F823" s="149">
        <v>1</v>
      </c>
      <c r="G823" s="149"/>
      <c r="H823" s="149"/>
      <c r="I823" s="160"/>
    </row>
    <row r="824" spans="1:9" s="145" customFormat="1" hidden="1">
      <c r="A824" s="149"/>
      <c r="B824" s="145">
        <v>100506</v>
      </c>
      <c r="C824" s="150">
        <v>200054</v>
      </c>
      <c r="D824" s="149">
        <v>1</v>
      </c>
      <c r="E824">
        <v>10</v>
      </c>
      <c r="F824" s="149">
        <v>1</v>
      </c>
      <c r="G824" s="149"/>
      <c r="H824" s="149"/>
      <c r="I824" s="160"/>
    </row>
    <row r="825" spans="1:9" s="145" customFormat="1" hidden="1">
      <c r="A825" s="149"/>
      <c r="B825" s="145">
        <v>100506</v>
      </c>
      <c r="C825" s="150">
        <v>200060</v>
      </c>
      <c r="D825" s="149">
        <v>1</v>
      </c>
      <c r="E825">
        <v>10</v>
      </c>
      <c r="F825" s="149">
        <v>1</v>
      </c>
      <c r="G825" s="149"/>
      <c r="H825" s="149"/>
      <c r="I825" s="160"/>
    </row>
    <row r="826" spans="1:9" s="145" customFormat="1" hidden="1">
      <c r="A826" s="149"/>
      <c r="B826" s="145">
        <v>100506</v>
      </c>
      <c r="C826" s="150">
        <v>200075</v>
      </c>
      <c r="D826" s="149">
        <v>1</v>
      </c>
      <c r="E826">
        <v>10</v>
      </c>
      <c r="F826" s="149">
        <v>1</v>
      </c>
      <c r="G826" s="149"/>
      <c r="H826" s="149"/>
      <c r="I826" s="160"/>
    </row>
    <row r="827" spans="1:9" s="145" customFormat="1" hidden="1">
      <c r="A827" s="149"/>
      <c r="B827" s="145">
        <v>100506</v>
      </c>
      <c r="C827" s="150">
        <v>200078</v>
      </c>
      <c r="D827" s="149">
        <v>1</v>
      </c>
      <c r="E827">
        <v>10</v>
      </c>
      <c r="F827" s="149">
        <v>1</v>
      </c>
      <c r="G827" s="149"/>
      <c r="H827" s="149"/>
      <c r="I827" s="160"/>
    </row>
    <row r="828" spans="1:9" hidden="1">
      <c r="B828" s="131">
        <v>100507</v>
      </c>
      <c r="C828" s="9">
        <v>200003</v>
      </c>
      <c r="D828">
        <v>1</v>
      </c>
      <c r="E828">
        <v>10</v>
      </c>
      <c r="F828">
        <v>1</v>
      </c>
      <c r="I828" s="158" t="s">
        <v>1760</v>
      </c>
    </row>
    <row r="829" spans="1:9" hidden="1">
      <c r="B829" s="131">
        <v>100507</v>
      </c>
      <c r="C829" s="9">
        <v>200004</v>
      </c>
      <c r="D829">
        <v>1</v>
      </c>
      <c r="E829">
        <v>10</v>
      </c>
      <c r="F829">
        <v>1</v>
      </c>
      <c r="I829" s="240" t="s">
        <v>1920</v>
      </c>
    </row>
    <row r="830" spans="1:9" hidden="1">
      <c r="B830" s="131">
        <v>100507</v>
      </c>
      <c r="C830">
        <v>200005</v>
      </c>
      <c r="D830">
        <v>1</v>
      </c>
      <c r="E830">
        <v>150</v>
      </c>
      <c r="F830">
        <v>1</v>
      </c>
    </row>
    <row r="831" spans="1:9" hidden="1">
      <c r="B831" s="131">
        <v>100507</v>
      </c>
      <c r="C831">
        <v>200006</v>
      </c>
      <c r="D831">
        <v>1</v>
      </c>
      <c r="E831">
        <v>10</v>
      </c>
      <c r="F831">
        <v>1</v>
      </c>
    </row>
    <row r="832" spans="1:9" hidden="1">
      <c r="B832" s="131">
        <v>100507</v>
      </c>
      <c r="C832">
        <v>200007</v>
      </c>
      <c r="D832">
        <v>1</v>
      </c>
      <c r="E832">
        <v>150</v>
      </c>
      <c r="F832">
        <v>1</v>
      </c>
    </row>
    <row r="833" spans="1:8" hidden="1">
      <c r="B833" s="131">
        <v>100507</v>
      </c>
      <c r="C833">
        <v>200008</v>
      </c>
      <c r="D833">
        <v>1</v>
      </c>
      <c r="E833">
        <v>10</v>
      </c>
      <c r="F833">
        <v>1</v>
      </c>
    </row>
    <row r="834" spans="1:8" hidden="1">
      <c r="B834" s="131">
        <v>100507</v>
      </c>
      <c r="C834" s="8">
        <v>200009</v>
      </c>
      <c r="D834">
        <v>1</v>
      </c>
      <c r="E834">
        <v>10</v>
      </c>
      <c r="F834">
        <v>1</v>
      </c>
    </row>
    <row r="835" spans="1:8" hidden="1">
      <c r="B835" s="131">
        <v>100507</v>
      </c>
      <c r="C835" s="8">
        <v>200010</v>
      </c>
      <c r="D835">
        <v>1</v>
      </c>
      <c r="E835">
        <v>10</v>
      </c>
      <c r="F835">
        <v>1</v>
      </c>
    </row>
    <row r="836" spans="1:8" hidden="1">
      <c r="B836" s="131">
        <v>100507</v>
      </c>
      <c r="C836" s="8">
        <v>200016</v>
      </c>
      <c r="D836">
        <v>1</v>
      </c>
      <c r="E836">
        <v>10</v>
      </c>
      <c r="F836">
        <v>1</v>
      </c>
    </row>
    <row r="837" spans="1:8" hidden="1">
      <c r="B837" s="131">
        <v>100507</v>
      </c>
      <c r="C837" s="8">
        <v>200017</v>
      </c>
      <c r="D837">
        <v>1</v>
      </c>
      <c r="E837">
        <v>10</v>
      </c>
      <c r="F837">
        <v>1</v>
      </c>
    </row>
    <row r="838" spans="1:8" hidden="1">
      <c r="B838" s="131">
        <v>100507</v>
      </c>
      <c r="C838" s="8">
        <v>200018</v>
      </c>
      <c r="D838">
        <v>1</v>
      </c>
      <c r="E838">
        <v>10</v>
      </c>
      <c r="F838">
        <v>1</v>
      </c>
    </row>
    <row r="839" spans="1:8" hidden="1">
      <c r="B839" s="131">
        <v>100507</v>
      </c>
      <c r="C839" s="8">
        <v>200019</v>
      </c>
      <c r="D839">
        <v>1</v>
      </c>
      <c r="E839">
        <v>10</v>
      </c>
      <c r="F839">
        <v>1</v>
      </c>
    </row>
    <row r="840" spans="1:8" hidden="1">
      <c r="B840" s="131">
        <v>100507</v>
      </c>
      <c r="C840" s="8">
        <v>200020</v>
      </c>
      <c r="D840">
        <v>1</v>
      </c>
      <c r="E840">
        <v>10</v>
      </c>
      <c r="F840">
        <v>1</v>
      </c>
    </row>
    <row r="841" spans="1:8" hidden="1">
      <c r="B841" s="131">
        <v>100507</v>
      </c>
      <c r="C841" s="8">
        <v>200021</v>
      </c>
      <c r="D841">
        <v>1</v>
      </c>
      <c r="E841">
        <v>10</v>
      </c>
      <c r="F841">
        <v>1</v>
      </c>
    </row>
    <row r="842" spans="1:8" hidden="1">
      <c r="B842" s="131">
        <v>100507</v>
      </c>
      <c r="C842" s="8">
        <v>200024</v>
      </c>
      <c r="D842">
        <v>1</v>
      </c>
      <c r="E842">
        <v>10</v>
      </c>
      <c r="F842">
        <v>1</v>
      </c>
    </row>
    <row r="843" spans="1:8" hidden="1">
      <c r="B843" s="131">
        <v>100507</v>
      </c>
      <c r="C843" s="8">
        <v>200026</v>
      </c>
      <c r="D843">
        <v>1</v>
      </c>
      <c r="E843">
        <v>10</v>
      </c>
      <c r="F843">
        <v>1</v>
      </c>
    </row>
    <row r="844" spans="1:8" hidden="1">
      <c r="B844" s="131">
        <v>100507</v>
      </c>
      <c r="C844" s="8">
        <v>200029</v>
      </c>
      <c r="D844">
        <v>1</v>
      </c>
      <c r="E844">
        <v>10</v>
      </c>
      <c r="F844">
        <v>1</v>
      </c>
    </row>
    <row r="845" spans="1:8" hidden="1">
      <c r="B845" s="131">
        <v>100507</v>
      </c>
      <c r="C845" s="8">
        <v>200028</v>
      </c>
      <c r="D845">
        <v>1</v>
      </c>
      <c r="E845">
        <v>10</v>
      </c>
      <c r="F845">
        <v>1</v>
      </c>
    </row>
    <row r="846" spans="1:8" hidden="1">
      <c r="A846" s="152"/>
      <c r="B846" s="131">
        <v>100507</v>
      </c>
      <c r="C846" s="153">
        <v>200032</v>
      </c>
      <c r="D846" s="152">
        <v>1</v>
      </c>
      <c r="E846">
        <v>10</v>
      </c>
      <c r="F846" s="152">
        <v>1</v>
      </c>
      <c r="G846" s="152"/>
      <c r="H846" s="152"/>
    </row>
    <row r="847" spans="1:8" hidden="1">
      <c r="A847" s="152"/>
      <c r="B847" s="131">
        <v>100507</v>
      </c>
      <c r="C847" s="153">
        <v>200033</v>
      </c>
      <c r="D847" s="152">
        <v>1</v>
      </c>
      <c r="E847">
        <v>10</v>
      </c>
      <c r="F847" s="152">
        <v>1</v>
      </c>
      <c r="G847" s="152"/>
      <c r="H847" s="152"/>
    </row>
    <row r="848" spans="1:8" hidden="1">
      <c r="A848" s="152"/>
      <c r="B848" s="131">
        <v>100507</v>
      </c>
      <c r="C848" s="153">
        <v>200038</v>
      </c>
      <c r="D848" s="152">
        <v>1</v>
      </c>
      <c r="E848">
        <v>10</v>
      </c>
      <c r="F848" s="152">
        <v>1</v>
      </c>
      <c r="G848" s="152"/>
      <c r="H848" s="152"/>
    </row>
    <row r="849" spans="1:9" hidden="1">
      <c r="A849" s="152"/>
      <c r="B849" s="131">
        <v>100507</v>
      </c>
      <c r="C849" s="153">
        <v>200044</v>
      </c>
      <c r="D849" s="152">
        <v>1</v>
      </c>
      <c r="E849">
        <v>10</v>
      </c>
      <c r="F849" s="152">
        <v>1</v>
      </c>
      <c r="G849" s="152"/>
      <c r="H849" s="152"/>
    </row>
    <row r="850" spans="1:9" hidden="1">
      <c r="A850" s="152"/>
      <c r="B850" s="131">
        <v>100507</v>
      </c>
      <c r="C850" s="153">
        <v>200046</v>
      </c>
      <c r="D850" s="152">
        <v>1</v>
      </c>
      <c r="E850">
        <v>10</v>
      </c>
      <c r="F850" s="152">
        <v>1</v>
      </c>
      <c r="G850" s="152"/>
      <c r="H850" s="152"/>
    </row>
    <row r="851" spans="1:9" hidden="1">
      <c r="A851" s="152"/>
      <c r="B851" s="131">
        <v>100507</v>
      </c>
      <c r="C851" s="153">
        <v>200048</v>
      </c>
      <c r="D851" s="152">
        <v>1</v>
      </c>
      <c r="E851">
        <v>10</v>
      </c>
      <c r="F851" s="152">
        <v>1</v>
      </c>
      <c r="G851" s="152"/>
      <c r="H851" s="152"/>
    </row>
    <row r="852" spans="1:9" hidden="1">
      <c r="A852" s="152"/>
      <c r="B852" s="131">
        <v>100507</v>
      </c>
      <c r="C852" s="153">
        <v>200053</v>
      </c>
      <c r="D852" s="152">
        <v>1</v>
      </c>
      <c r="E852">
        <v>10</v>
      </c>
      <c r="F852" s="152">
        <v>1</v>
      </c>
      <c r="G852" s="152"/>
      <c r="H852" s="152"/>
    </row>
    <row r="853" spans="1:9" hidden="1">
      <c r="A853" s="152"/>
      <c r="B853" s="131">
        <v>100507</v>
      </c>
      <c r="C853" s="153">
        <v>200059</v>
      </c>
      <c r="D853" s="152">
        <v>1</v>
      </c>
      <c r="E853">
        <v>10</v>
      </c>
      <c r="F853" s="152">
        <v>1</v>
      </c>
      <c r="G853" s="152"/>
      <c r="H853" s="152"/>
    </row>
    <row r="854" spans="1:9" hidden="1">
      <c r="A854" s="152"/>
      <c r="B854" s="131">
        <v>100507</v>
      </c>
      <c r="C854">
        <v>200066</v>
      </c>
      <c r="D854" s="152">
        <v>1</v>
      </c>
      <c r="E854">
        <v>10</v>
      </c>
      <c r="F854" s="152">
        <v>1</v>
      </c>
      <c r="G854" s="152"/>
      <c r="H854" s="152"/>
    </row>
    <row r="855" spans="1:9" hidden="1">
      <c r="A855" s="152"/>
      <c r="B855" s="131">
        <v>100507</v>
      </c>
      <c r="C855" s="153">
        <v>200067</v>
      </c>
      <c r="D855" s="152">
        <v>1</v>
      </c>
      <c r="E855">
        <v>10</v>
      </c>
      <c r="F855" s="152">
        <v>1</v>
      </c>
      <c r="G855" s="152"/>
      <c r="H855" s="152"/>
    </row>
    <row r="856" spans="1:9" hidden="1">
      <c r="A856" s="152"/>
      <c r="B856" s="131">
        <v>100507</v>
      </c>
      <c r="C856">
        <v>200068</v>
      </c>
      <c r="D856" s="152">
        <v>1</v>
      </c>
      <c r="E856">
        <v>10</v>
      </c>
      <c r="F856" s="152">
        <v>1</v>
      </c>
      <c r="G856" s="152"/>
      <c r="H856" s="152"/>
    </row>
    <row r="857" spans="1:9" hidden="1">
      <c r="A857" s="152"/>
      <c r="B857" s="131">
        <v>100507</v>
      </c>
      <c r="C857" s="153">
        <v>200069</v>
      </c>
      <c r="D857" s="152">
        <v>1</v>
      </c>
      <c r="E857">
        <v>10</v>
      </c>
      <c r="F857" s="152">
        <v>1</v>
      </c>
      <c r="G857" s="152"/>
      <c r="H857" s="152"/>
    </row>
    <row r="858" spans="1:9" hidden="1">
      <c r="A858" s="152"/>
      <c r="B858" s="131">
        <v>100507</v>
      </c>
      <c r="C858" s="153">
        <v>200074</v>
      </c>
      <c r="D858" s="152">
        <v>1</v>
      </c>
      <c r="E858">
        <v>10</v>
      </c>
      <c r="F858" s="152">
        <v>1</v>
      </c>
      <c r="G858" s="152"/>
      <c r="H858" s="152"/>
    </row>
    <row r="859" spans="1:9" hidden="1">
      <c r="A859" s="152"/>
      <c r="B859" s="131">
        <v>100507</v>
      </c>
      <c r="C859" s="153">
        <v>200077</v>
      </c>
      <c r="D859" s="152">
        <v>1</v>
      </c>
      <c r="E859">
        <v>10</v>
      </c>
      <c r="F859" s="152">
        <v>1</v>
      </c>
      <c r="G859" s="152"/>
      <c r="H859" s="152"/>
    </row>
    <row r="860" spans="1:9" s="145" customFormat="1" hidden="1">
      <c r="B860" s="145">
        <v>100508</v>
      </c>
      <c r="C860" s="145">
        <v>200011</v>
      </c>
      <c r="D860" s="145">
        <v>1</v>
      </c>
      <c r="E860">
        <v>10</v>
      </c>
      <c r="F860" s="145">
        <v>1</v>
      </c>
      <c r="I860" s="159" t="s">
        <v>634</v>
      </c>
    </row>
    <row r="861" spans="1:9" s="145" customFormat="1" hidden="1">
      <c r="B861" s="145">
        <v>100508</v>
      </c>
      <c r="C861" s="145">
        <v>200012</v>
      </c>
      <c r="D861" s="145">
        <v>1</v>
      </c>
      <c r="E861">
        <v>10</v>
      </c>
      <c r="F861" s="145">
        <v>1</v>
      </c>
      <c r="I861" s="240" t="s">
        <v>1923</v>
      </c>
    </row>
    <row r="862" spans="1:9" s="145" customFormat="1" hidden="1">
      <c r="B862" s="145">
        <v>100508</v>
      </c>
      <c r="C862" s="145">
        <v>200013</v>
      </c>
      <c r="D862" s="145">
        <v>1</v>
      </c>
      <c r="E862">
        <v>10</v>
      </c>
      <c r="F862" s="145">
        <v>1</v>
      </c>
      <c r="I862" s="160"/>
    </row>
    <row r="863" spans="1:9" s="145" customFormat="1" hidden="1">
      <c r="B863" s="145">
        <v>100508</v>
      </c>
      <c r="C863" s="145">
        <v>200014</v>
      </c>
      <c r="D863" s="145">
        <v>1</v>
      </c>
      <c r="E863">
        <v>10</v>
      </c>
      <c r="F863" s="145">
        <v>1</v>
      </c>
      <c r="I863" s="161"/>
    </row>
    <row r="864" spans="1:9" s="145" customFormat="1" hidden="1">
      <c r="B864" s="145">
        <v>100508</v>
      </c>
      <c r="C864" s="148">
        <v>200022</v>
      </c>
      <c r="D864" s="145">
        <v>1</v>
      </c>
      <c r="E864">
        <v>10</v>
      </c>
      <c r="F864" s="145">
        <v>1</v>
      </c>
      <c r="I864" s="161"/>
    </row>
    <row r="865" spans="1:9" s="145" customFormat="1" hidden="1">
      <c r="B865" s="145">
        <v>100508</v>
      </c>
      <c r="C865" s="148">
        <v>200023</v>
      </c>
      <c r="D865" s="145">
        <v>1</v>
      </c>
      <c r="E865" s="145">
        <v>80</v>
      </c>
      <c r="F865" s="145">
        <v>1</v>
      </c>
      <c r="I865" s="161"/>
    </row>
    <row r="866" spans="1:9" s="145" customFormat="1" hidden="1">
      <c r="B866" s="145">
        <v>100508</v>
      </c>
      <c r="C866" s="148">
        <v>200025</v>
      </c>
      <c r="D866" s="145">
        <v>1</v>
      </c>
      <c r="E866">
        <v>10</v>
      </c>
      <c r="F866" s="145">
        <v>1</v>
      </c>
      <c r="I866" s="161"/>
    </row>
    <row r="867" spans="1:9" s="145" customFormat="1" hidden="1">
      <c r="A867" s="149"/>
      <c r="B867" s="145">
        <v>100508</v>
      </c>
      <c r="C867" s="150">
        <v>200027</v>
      </c>
      <c r="D867" s="149">
        <v>1</v>
      </c>
      <c r="E867" s="145">
        <v>80</v>
      </c>
      <c r="F867" s="149">
        <v>1</v>
      </c>
      <c r="G867" s="149"/>
      <c r="H867" s="149"/>
      <c r="I867" s="161"/>
    </row>
    <row r="868" spans="1:9" s="145" customFormat="1" hidden="1">
      <c r="A868" s="149"/>
      <c r="B868" s="145">
        <v>100508</v>
      </c>
      <c r="C868" s="150">
        <v>200030</v>
      </c>
      <c r="D868" s="149">
        <v>1</v>
      </c>
      <c r="E868">
        <v>10</v>
      </c>
      <c r="F868" s="149">
        <v>1</v>
      </c>
      <c r="G868" s="149"/>
      <c r="H868" s="149"/>
      <c r="I868" s="161"/>
    </row>
    <row r="869" spans="1:9" s="145" customFormat="1" hidden="1">
      <c r="A869" s="149"/>
      <c r="B869" s="145">
        <v>100508</v>
      </c>
      <c r="C869" s="150">
        <v>200031</v>
      </c>
      <c r="D869" s="149">
        <v>1</v>
      </c>
      <c r="E869">
        <v>10</v>
      </c>
      <c r="F869" s="149">
        <v>1</v>
      </c>
      <c r="G869" s="149"/>
      <c r="H869" s="149"/>
      <c r="I869" s="161"/>
    </row>
    <row r="870" spans="1:9" s="145" customFormat="1" hidden="1">
      <c r="A870" s="149"/>
      <c r="B870" s="145">
        <v>100508</v>
      </c>
      <c r="C870" s="150">
        <v>200039</v>
      </c>
      <c r="D870" s="149">
        <v>1</v>
      </c>
      <c r="E870">
        <v>10</v>
      </c>
      <c r="F870" s="149">
        <v>1</v>
      </c>
      <c r="G870" s="149"/>
      <c r="H870" s="149"/>
      <c r="I870" s="161"/>
    </row>
    <row r="871" spans="1:9" s="145" customFormat="1" hidden="1">
      <c r="A871" s="149"/>
      <c r="B871" s="145">
        <v>100508</v>
      </c>
      <c r="C871" s="150">
        <v>200045</v>
      </c>
      <c r="D871" s="149">
        <v>1</v>
      </c>
      <c r="E871">
        <v>10</v>
      </c>
      <c r="F871" s="149">
        <v>1</v>
      </c>
      <c r="G871" s="149"/>
      <c r="H871" s="149"/>
      <c r="I871" s="161"/>
    </row>
    <row r="872" spans="1:9" s="145" customFormat="1" hidden="1">
      <c r="A872" s="149"/>
      <c r="B872" s="145">
        <v>100508</v>
      </c>
      <c r="C872" s="150">
        <v>200047</v>
      </c>
      <c r="D872" s="149">
        <v>1</v>
      </c>
      <c r="E872">
        <v>10</v>
      </c>
      <c r="F872" s="149">
        <v>1</v>
      </c>
      <c r="G872" s="149"/>
      <c r="H872" s="149"/>
      <c r="I872" s="160"/>
    </row>
    <row r="873" spans="1:9" s="145" customFormat="1" hidden="1">
      <c r="A873" s="149"/>
      <c r="B873" s="145">
        <v>100508</v>
      </c>
      <c r="C873" s="150">
        <v>200049</v>
      </c>
      <c r="D873" s="149">
        <v>1</v>
      </c>
      <c r="E873">
        <v>10</v>
      </c>
      <c r="F873" s="149">
        <v>1</v>
      </c>
      <c r="G873" s="149"/>
      <c r="H873" s="149"/>
      <c r="I873" s="160"/>
    </row>
    <row r="874" spans="1:9" s="145" customFormat="1" hidden="1">
      <c r="A874" s="149"/>
      <c r="B874" s="145">
        <v>100508</v>
      </c>
      <c r="C874" s="150">
        <v>200054</v>
      </c>
      <c r="D874" s="149">
        <v>1</v>
      </c>
      <c r="E874">
        <v>10</v>
      </c>
      <c r="F874" s="149">
        <v>1</v>
      </c>
      <c r="G874" s="149"/>
      <c r="H874" s="149"/>
      <c r="I874" s="160"/>
    </row>
    <row r="875" spans="1:9" s="145" customFormat="1" hidden="1">
      <c r="A875" s="149"/>
      <c r="B875" s="145">
        <v>100508</v>
      </c>
      <c r="C875" s="150">
        <v>200060</v>
      </c>
      <c r="D875" s="149">
        <v>1</v>
      </c>
      <c r="E875">
        <v>10</v>
      </c>
      <c r="F875" s="149">
        <v>1</v>
      </c>
      <c r="G875" s="149"/>
      <c r="H875" s="149"/>
      <c r="I875" s="160"/>
    </row>
    <row r="876" spans="1:9" s="145" customFormat="1" hidden="1">
      <c r="A876" s="149"/>
      <c r="B876" s="145">
        <v>100508</v>
      </c>
      <c r="C876" s="150">
        <v>200075</v>
      </c>
      <c r="D876" s="149">
        <v>1</v>
      </c>
      <c r="E876">
        <v>10</v>
      </c>
      <c r="F876" s="149">
        <v>1</v>
      </c>
      <c r="G876" s="149"/>
      <c r="H876" s="149"/>
      <c r="I876" s="160"/>
    </row>
    <row r="877" spans="1:9" s="145" customFormat="1" hidden="1">
      <c r="A877" s="149"/>
      <c r="B877" s="145">
        <v>100508</v>
      </c>
      <c r="C877" s="150">
        <v>200078</v>
      </c>
      <c r="D877" s="149">
        <v>1</v>
      </c>
      <c r="E877">
        <v>10</v>
      </c>
      <c r="F877" s="149">
        <v>1</v>
      </c>
      <c r="G877" s="149"/>
      <c r="H877" s="149"/>
      <c r="I877" s="160"/>
    </row>
    <row r="878" spans="1:9" s="131" customFormat="1" hidden="1">
      <c r="B878" s="131">
        <v>100509</v>
      </c>
      <c r="C878" s="132">
        <v>200003</v>
      </c>
      <c r="D878" s="131">
        <v>1</v>
      </c>
      <c r="E878" s="131">
        <v>10</v>
      </c>
      <c r="F878" s="131">
        <v>1</v>
      </c>
      <c r="I878" s="158" t="s">
        <v>636</v>
      </c>
    </row>
    <row r="879" spans="1:9" s="131" customFormat="1" hidden="1">
      <c r="B879" s="131">
        <v>100509</v>
      </c>
      <c r="C879" s="132">
        <v>200004</v>
      </c>
      <c r="D879" s="131">
        <v>1</v>
      </c>
      <c r="E879" s="131">
        <v>10</v>
      </c>
      <c r="F879" s="131">
        <v>1</v>
      </c>
      <c r="I879" s="240" t="s">
        <v>1921</v>
      </c>
    </row>
    <row r="880" spans="1:9" s="131" customFormat="1" hidden="1">
      <c r="B880" s="131">
        <v>100509</v>
      </c>
      <c r="C880" s="131">
        <v>200005</v>
      </c>
      <c r="D880" s="131">
        <v>1</v>
      </c>
      <c r="E880" s="131">
        <v>10</v>
      </c>
      <c r="F880" s="131">
        <v>1</v>
      </c>
      <c r="I880" s="1"/>
    </row>
    <row r="881" spans="1:9" s="131" customFormat="1" hidden="1">
      <c r="B881" s="131">
        <v>100509</v>
      </c>
      <c r="C881" s="131">
        <v>200006</v>
      </c>
      <c r="D881" s="131">
        <v>1</v>
      </c>
      <c r="E881" s="131">
        <v>10</v>
      </c>
      <c r="F881" s="131">
        <v>1</v>
      </c>
      <c r="I881" s="1"/>
    </row>
    <row r="882" spans="1:9" s="131" customFormat="1" hidden="1">
      <c r="B882" s="131">
        <v>100509</v>
      </c>
      <c r="C882" s="131">
        <v>200007</v>
      </c>
      <c r="D882" s="131">
        <v>1</v>
      </c>
      <c r="E882" s="131">
        <v>10</v>
      </c>
      <c r="F882" s="131">
        <v>1</v>
      </c>
      <c r="I882" s="1"/>
    </row>
    <row r="883" spans="1:9" s="131" customFormat="1" hidden="1">
      <c r="B883" s="131">
        <v>100509</v>
      </c>
      <c r="C883" s="131">
        <v>200008</v>
      </c>
      <c r="D883" s="131">
        <v>1</v>
      </c>
      <c r="E883" s="131">
        <v>150</v>
      </c>
      <c r="F883" s="131">
        <v>1</v>
      </c>
      <c r="I883" s="1"/>
    </row>
    <row r="884" spans="1:9" s="131" customFormat="1" hidden="1">
      <c r="B884" s="131">
        <v>100509</v>
      </c>
      <c r="C884" s="133">
        <v>200009</v>
      </c>
      <c r="D884" s="131">
        <v>1</v>
      </c>
      <c r="E884" s="131">
        <v>10</v>
      </c>
      <c r="F884" s="131">
        <v>1</v>
      </c>
      <c r="I884" s="1"/>
    </row>
    <row r="885" spans="1:9" s="131" customFormat="1" hidden="1">
      <c r="B885" s="131">
        <v>100509</v>
      </c>
      <c r="C885" s="133">
        <v>200010</v>
      </c>
      <c r="D885" s="131">
        <v>1</v>
      </c>
      <c r="E885" s="131">
        <v>10</v>
      </c>
      <c r="F885" s="131">
        <v>1</v>
      </c>
      <c r="I885" s="1"/>
    </row>
    <row r="886" spans="1:9" s="131" customFormat="1" hidden="1">
      <c r="B886" s="131">
        <v>100509</v>
      </c>
      <c r="C886" s="133">
        <v>200016</v>
      </c>
      <c r="D886" s="131">
        <v>1</v>
      </c>
      <c r="E886" s="131">
        <v>10</v>
      </c>
      <c r="F886" s="131">
        <v>1</v>
      </c>
      <c r="I886" s="1"/>
    </row>
    <row r="887" spans="1:9" s="131" customFormat="1" hidden="1">
      <c r="B887" s="131">
        <v>100509</v>
      </c>
      <c r="C887" s="133">
        <v>200017</v>
      </c>
      <c r="D887" s="131">
        <v>1</v>
      </c>
      <c r="E887" s="131">
        <v>10</v>
      </c>
      <c r="F887" s="131">
        <v>1</v>
      </c>
      <c r="I887" s="1"/>
    </row>
    <row r="888" spans="1:9" s="131" customFormat="1" hidden="1">
      <c r="B888" s="131">
        <v>100509</v>
      </c>
      <c r="C888" s="133">
        <v>200018</v>
      </c>
      <c r="D888" s="131">
        <v>1</v>
      </c>
      <c r="E888" s="131">
        <v>10</v>
      </c>
      <c r="F888" s="131">
        <v>1</v>
      </c>
      <c r="I888" s="1"/>
    </row>
    <row r="889" spans="1:9" s="131" customFormat="1" hidden="1">
      <c r="B889" s="131">
        <v>100509</v>
      </c>
      <c r="C889" s="133">
        <v>200019</v>
      </c>
      <c r="D889" s="131">
        <v>1</v>
      </c>
      <c r="E889" s="131">
        <v>10</v>
      </c>
      <c r="F889" s="131">
        <v>1</v>
      </c>
      <c r="I889" s="1"/>
    </row>
    <row r="890" spans="1:9" s="131" customFormat="1" hidden="1">
      <c r="B890" s="131">
        <v>100509</v>
      </c>
      <c r="C890" s="133">
        <v>200020</v>
      </c>
      <c r="D890" s="131">
        <v>1</v>
      </c>
      <c r="E890" s="131">
        <v>10</v>
      </c>
      <c r="F890" s="131">
        <v>1</v>
      </c>
      <c r="I890" s="1"/>
    </row>
    <row r="891" spans="1:9" s="131" customFormat="1" hidden="1">
      <c r="B891" s="131">
        <v>100509</v>
      </c>
      <c r="C891" s="133">
        <v>200021</v>
      </c>
      <c r="D891" s="131">
        <v>1</v>
      </c>
      <c r="E891" s="131">
        <v>10</v>
      </c>
      <c r="F891" s="131">
        <v>1</v>
      </c>
      <c r="I891" s="1"/>
    </row>
    <row r="892" spans="1:9" s="131" customFormat="1" hidden="1">
      <c r="B892" s="131">
        <v>100509</v>
      </c>
      <c r="C892" s="133">
        <v>200024</v>
      </c>
      <c r="D892" s="131">
        <v>1</v>
      </c>
      <c r="E892" s="131">
        <v>10</v>
      </c>
      <c r="F892" s="131">
        <v>1</v>
      </c>
      <c r="I892" s="1"/>
    </row>
    <row r="893" spans="1:9" s="131" customFormat="1" hidden="1">
      <c r="B893" s="131">
        <v>100509</v>
      </c>
      <c r="C893" s="133">
        <v>200026</v>
      </c>
      <c r="D893" s="131">
        <v>1</v>
      </c>
      <c r="E893" s="131">
        <v>10</v>
      </c>
      <c r="F893" s="131">
        <v>1</v>
      </c>
      <c r="I893" s="1"/>
    </row>
    <row r="894" spans="1:9" s="131" customFormat="1" hidden="1">
      <c r="B894" s="131">
        <v>100509</v>
      </c>
      <c r="C894" s="133">
        <v>200029</v>
      </c>
      <c r="D894" s="131">
        <v>1</v>
      </c>
      <c r="E894" s="131">
        <v>10</v>
      </c>
      <c r="F894" s="131">
        <v>1</v>
      </c>
      <c r="I894" s="1"/>
    </row>
    <row r="895" spans="1:9" s="131" customFormat="1" hidden="1">
      <c r="B895" s="131">
        <v>100509</v>
      </c>
      <c r="C895" s="133">
        <v>200028</v>
      </c>
      <c r="D895" s="131">
        <v>1</v>
      </c>
      <c r="E895" s="131">
        <v>150</v>
      </c>
      <c r="F895" s="131">
        <v>1</v>
      </c>
      <c r="I895" s="1"/>
    </row>
    <row r="896" spans="1:9" s="131" customFormat="1" hidden="1">
      <c r="A896" s="146"/>
      <c r="B896" s="131">
        <v>100509</v>
      </c>
      <c r="C896" s="147">
        <v>200032</v>
      </c>
      <c r="D896" s="146">
        <v>1</v>
      </c>
      <c r="E896" s="131">
        <v>10</v>
      </c>
      <c r="F896" s="146">
        <v>1</v>
      </c>
      <c r="G896" s="146"/>
      <c r="H896" s="146"/>
      <c r="I896" s="1"/>
    </row>
    <row r="897" spans="1:9" s="131" customFormat="1" hidden="1">
      <c r="A897" s="146"/>
      <c r="B897" s="131">
        <v>100509</v>
      </c>
      <c r="C897" s="147">
        <v>200033</v>
      </c>
      <c r="D897" s="146">
        <v>1</v>
      </c>
      <c r="E897" s="131">
        <v>10</v>
      </c>
      <c r="F897" s="146">
        <v>1</v>
      </c>
      <c r="G897" s="146"/>
      <c r="H897" s="146"/>
      <c r="I897" s="1"/>
    </row>
    <row r="898" spans="1:9" s="131" customFormat="1" hidden="1">
      <c r="A898" s="146"/>
      <c r="B898" s="131">
        <v>100509</v>
      </c>
      <c r="C898" s="147">
        <v>200038</v>
      </c>
      <c r="D898" s="146">
        <v>1</v>
      </c>
      <c r="E898" s="131">
        <v>10</v>
      </c>
      <c r="F898" s="146">
        <v>1</v>
      </c>
      <c r="G898" s="146"/>
      <c r="H898" s="146"/>
      <c r="I898" s="1"/>
    </row>
    <row r="899" spans="1:9" s="131" customFormat="1" hidden="1">
      <c r="A899" s="146"/>
      <c r="B899" s="131">
        <v>100509</v>
      </c>
      <c r="C899" s="147">
        <v>200044</v>
      </c>
      <c r="D899" s="146">
        <v>1</v>
      </c>
      <c r="E899" s="131">
        <v>10</v>
      </c>
      <c r="F899" s="146">
        <v>1</v>
      </c>
      <c r="G899" s="146"/>
      <c r="H899" s="146"/>
      <c r="I899" s="1"/>
    </row>
    <row r="900" spans="1:9" s="131" customFormat="1" hidden="1">
      <c r="A900" s="146"/>
      <c r="B900" s="131">
        <v>100509</v>
      </c>
      <c r="C900" s="147">
        <v>200046</v>
      </c>
      <c r="D900" s="146">
        <v>1</v>
      </c>
      <c r="E900" s="131">
        <v>10</v>
      </c>
      <c r="F900" s="146">
        <v>1</v>
      </c>
      <c r="G900" s="146"/>
      <c r="H900" s="146"/>
      <c r="I900" s="1"/>
    </row>
    <row r="901" spans="1:9" s="131" customFormat="1" hidden="1">
      <c r="A901" s="146"/>
      <c r="B901" s="131">
        <v>100509</v>
      </c>
      <c r="C901" s="147">
        <v>200048</v>
      </c>
      <c r="D901" s="146">
        <v>1</v>
      </c>
      <c r="E901" s="131">
        <v>10</v>
      </c>
      <c r="F901" s="146">
        <v>1</v>
      </c>
      <c r="G901" s="146"/>
      <c r="H901" s="146"/>
      <c r="I901" s="1">
        <f>E901/(SUM(E878:E901))</f>
        <v>1.9230769230769232E-2</v>
      </c>
    </row>
    <row r="902" spans="1:9" hidden="1">
      <c r="A902" s="152"/>
      <c r="B902" s="131">
        <v>100509</v>
      </c>
      <c r="C902" s="147">
        <v>200053</v>
      </c>
      <c r="D902" s="152">
        <v>1</v>
      </c>
      <c r="E902" s="131">
        <v>10</v>
      </c>
      <c r="F902" s="152">
        <v>1</v>
      </c>
      <c r="G902" s="152"/>
      <c r="H902" s="152"/>
    </row>
    <row r="903" spans="1:9" hidden="1">
      <c r="A903" s="152"/>
      <c r="B903" s="131">
        <v>100509</v>
      </c>
      <c r="C903" s="147">
        <v>200059</v>
      </c>
      <c r="D903" s="152">
        <v>1</v>
      </c>
      <c r="E903" s="131">
        <v>10</v>
      </c>
      <c r="F903" s="152">
        <v>1</v>
      </c>
      <c r="G903" s="152"/>
      <c r="H903" s="152"/>
    </row>
    <row r="904" spans="1:9" hidden="1">
      <c r="A904" s="152"/>
      <c r="B904" s="131">
        <v>100509</v>
      </c>
      <c r="C904" s="131">
        <v>200066</v>
      </c>
      <c r="D904" s="152">
        <v>1</v>
      </c>
      <c r="E904" s="131">
        <v>10</v>
      </c>
      <c r="F904" s="152">
        <v>1</v>
      </c>
      <c r="G904" s="152"/>
      <c r="H904" s="152"/>
    </row>
    <row r="905" spans="1:9" hidden="1">
      <c r="A905" s="152"/>
      <c r="B905" s="131">
        <v>100509</v>
      </c>
      <c r="C905" s="147">
        <v>200067</v>
      </c>
      <c r="D905" s="152">
        <v>1</v>
      </c>
      <c r="E905" s="131">
        <v>10</v>
      </c>
      <c r="F905" s="152">
        <v>1</v>
      </c>
      <c r="G905" s="152"/>
      <c r="H905" s="152"/>
    </row>
    <row r="906" spans="1:9" hidden="1">
      <c r="A906" s="152"/>
      <c r="B906" s="131">
        <v>100509</v>
      </c>
      <c r="C906" s="131">
        <v>200068</v>
      </c>
      <c r="D906" s="152">
        <v>1</v>
      </c>
      <c r="E906" s="131">
        <v>10</v>
      </c>
      <c r="F906" s="152">
        <v>1</v>
      </c>
      <c r="G906" s="152"/>
      <c r="H906" s="152"/>
    </row>
    <row r="907" spans="1:9" hidden="1">
      <c r="A907" s="152"/>
      <c r="B907" s="131">
        <v>100509</v>
      </c>
      <c r="C907" s="147">
        <v>200069</v>
      </c>
      <c r="D907" s="152">
        <v>1</v>
      </c>
      <c r="E907" s="131">
        <v>10</v>
      </c>
      <c r="F907" s="152">
        <v>1</v>
      </c>
      <c r="G907" s="152"/>
      <c r="H907" s="152"/>
    </row>
    <row r="908" spans="1:9" hidden="1">
      <c r="A908" s="152"/>
      <c r="B908" s="131">
        <v>100509</v>
      </c>
      <c r="C908" s="147">
        <v>200074</v>
      </c>
      <c r="D908" s="152">
        <v>1</v>
      </c>
      <c r="E908" s="131">
        <v>10</v>
      </c>
      <c r="F908" s="152">
        <v>1</v>
      </c>
      <c r="G908" s="152"/>
      <c r="H908" s="152"/>
    </row>
    <row r="909" spans="1:9" hidden="1">
      <c r="A909" s="152"/>
      <c r="B909" s="131">
        <v>100509</v>
      </c>
      <c r="C909" s="147">
        <v>200077</v>
      </c>
      <c r="D909" s="152">
        <v>1</v>
      </c>
      <c r="E909" s="131">
        <v>10</v>
      </c>
      <c r="F909" s="152">
        <v>1</v>
      </c>
      <c r="G909" s="152"/>
      <c r="H909" s="152"/>
    </row>
    <row r="910" spans="1:9" s="145" customFormat="1" hidden="1">
      <c r="B910" s="145">
        <v>100510</v>
      </c>
      <c r="C910" s="145">
        <v>200011</v>
      </c>
      <c r="D910" s="145">
        <v>1</v>
      </c>
      <c r="E910">
        <v>10</v>
      </c>
      <c r="F910" s="145">
        <v>1</v>
      </c>
      <c r="I910" s="159" t="s">
        <v>637</v>
      </c>
    </row>
    <row r="911" spans="1:9" s="145" customFormat="1" hidden="1">
      <c r="B911" s="145">
        <v>100510</v>
      </c>
      <c r="C911" s="145">
        <v>200012</v>
      </c>
      <c r="D911" s="145">
        <v>1</v>
      </c>
      <c r="E911">
        <v>10</v>
      </c>
      <c r="F911" s="145">
        <v>1</v>
      </c>
      <c r="I911" s="240" t="s">
        <v>1924</v>
      </c>
    </row>
    <row r="912" spans="1:9" s="145" customFormat="1" hidden="1">
      <c r="B912" s="145">
        <v>100510</v>
      </c>
      <c r="C912" s="145">
        <v>200013</v>
      </c>
      <c r="D912" s="145">
        <v>1</v>
      </c>
      <c r="E912">
        <v>80</v>
      </c>
      <c r="F912" s="145">
        <v>1</v>
      </c>
      <c r="I912" s="160"/>
    </row>
    <row r="913" spans="1:9" s="145" customFormat="1" hidden="1">
      <c r="B913" s="145">
        <v>100510</v>
      </c>
      <c r="C913" s="145">
        <v>200014</v>
      </c>
      <c r="D913" s="145">
        <v>1</v>
      </c>
      <c r="E913">
        <v>10</v>
      </c>
      <c r="F913" s="145">
        <v>1</v>
      </c>
      <c r="I913" s="161"/>
    </row>
    <row r="914" spans="1:9" s="145" customFormat="1" hidden="1">
      <c r="B914" s="145">
        <v>100510</v>
      </c>
      <c r="C914" s="148">
        <v>200022</v>
      </c>
      <c r="D914" s="145">
        <v>1</v>
      </c>
      <c r="E914">
        <v>10</v>
      </c>
      <c r="F914" s="145">
        <v>1</v>
      </c>
      <c r="I914" s="161"/>
    </row>
    <row r="915" spans="1:9" s="145" customFormat="1" hidden="1">
      <c r="B915" s="145">
        <v>100510</v>
      </c>
      <c r="C915" s="148">
        <v>200023</v>
      </c>
      <c r="D915" s="145">
        <v>1</v>
      </c>
      <c r="E915">
        <v>10</v>
      </c>
      <c r="F915" s="145">
        <v>1</v>
      </c>
      <c r="I915" s="161"/>
    </row>
    <row r="916" spans="1:9" s="145" customFormat="1" hidden="1">
      <c r="B916" s="145">
        <v>100510</v>
      </c>
      <c r="C916" s="148">
        <v>200025</v>
      </c>
      <c r="D916" s="145">
        <v>1</v>
      </c>
      <c r="E916">
        <v>10</v>
      </c>
      <c r="F916" s="145">
        <v>1</v>
      </c>
      <c r="I916" s="161"/>
    </row>
    <row r="917" spans="1:9" s="145" customFormat="1" hidden="1">
      <c r="A917" s="149"/>
      <c r="B917" s="145">
        <v>100510</v>
      </c>
      <c r="C917" s="150">
        <v>200027</v>
      </c>
      <c r="D917" s="149">
        <v>1</v>
      </c>
      <c r="E917">
        <v>10</v>
      </c>
      <c r="F917" s="149">
        <v>1</v>
      </c>
      <c r="G917" s="149"/>
      <c r="H917" s="149"/>
      <c r="I917" s="161"/>
    </row>
    <row r="918" spans="1:9" s="145" customFormat="1" hidden="1">
      <c r="A918" s="149"/>
      <c r="B918" s="145">
        <v>100510</v>
      </c>
      <c r="C918" s="150">
        <v>200030</v>
      </c>
      <c r="D918" s="149">
        <v>1</v>
      </c>
      <c r="E918">
        <v>10</v>
      </c>
      <c r="F918" s="149">
        <v>1</v>
      </c>
      <c r="G918" s="149"/>
      <c r="H918" s="149"/>
      <c r="I918" s="161"/>
    </row>
    <row r="919" spans="1:9" s="145" customFormat="1" hidden="1">
      <c r="A919" s="149"/>
      <c r="B919" s="145">
        <v>100510</v>
      </c>
      <c r="C919" s="150">
        <v>200031</v>
      </c>
      <c r="D919" s="149">
        <v>1</v>
      </c>
      <c r="E919">
        <v>80</v>
      </c>
      <c r="F919" s="149">
        <v>1</v>
      </c>
      <c r="G919" s="149"/>
      <c r="H919" s="149"/>
      <c r="I919" s="161"/>
    </row>
    <row r="920" spans="1:9" s="145" customFormat="1" hidden="1">
      <c r="A920" s="149"/>
      <c r="B920" s="145">
        <v>100510</v>
      </c>
      <c r="C920" s="150">
        <v>200039</v>
      </c>
      <c r="D920" s="149">
        <v>1</v>
      </c>
      <c r="E920">
        <v>10</v>
      </c>
      <c r="F920" s="149">
        <v>1</v>
      </c>
      <c r="G920" s="149"/>
      <c r="H920" s="149"/>
      <c r="I920" s="161"/>
    </row>
    <row r="921" spans="1:9" s="145" customFormat="1" hidden="1">
      <c r="A921" s="149"/>
      <c r="B921" s="145">
        <v>100510</v>
      </c>
      <c r="C921" s="150">
        <v>200045</v>
      </c>
      <c r="D921" s="149">
        <v>1</v>
      </c>
      <c r="E921">
        <v>10</v>
      </c>
      <c r="F921" s="149">
        <v>1</v>
      </c>
      <c r="G921" s="149"/>
      <c r="H921" s="149"/>
      <c r="I921" s="161"/>
    </row>
    <row r="922" spans="1:9" s="145" customFormat="1" hidden="1">
      <c r="A922" s="149"/>
      <c r="B922" s="145">
        <v>100510</v>
      </c>
      <c r="C922" s="150">
        <v>200047</v>
      </c>
      <c r="D922" s="149">
        <v>1</v>
      </c>
      <c r="E922">
        <v>10</v>
      </c>
      <c r="F922" s="149">
        <v>1</v>
      </c>
      <c r="G922" s="149"/>
      <c r="H922" s="149"/>
      <c r="I922" s="160"/>
    </row>
    <row r="923" spans="1:9" s="145" customFormat="1" hidden="1">
      <c r="A923" s="149"/>
      <c r="B923" s="145">
        <v>100510</v>
      </c>
      <c r="C923" s="150">
        <v>200049</v>
      </c>
      <c r="D923" s="149">
        <v>1</v>
      </c>
      <c r="E923">
        <v>10</v>
      </c>
      <c r="F923" s="149">
        <v>1</v>
      </c>
      <c r="G923" s="149"/>
      <c r="H923" s="149"/>
      <c r="I923" s="160"/>
    </row>
    <row r="924" spans="1:9" s="145" customFormat="1" hidden="1">
      <c r="A924" s="149"/>
      <c r="B924" s="145">
        <v>100510</v>
      </c>
      <c r="C924" s="150">
        <v>200054</v>
      </c>
      <c r="D924" s="149">
        <v>1</v>
      </c>
      <c r="E924">
        <v>10</v>
      </c>
      <c r="F924" s="149">
        <v>1</v>
      </c>
      <c r="G924" s="149"/>
      <c r="H924" s="149"/>
      <c r="I924" s="160"/>
    </row>
    <row r="925" spans="1:9" s="145" customFormat="1" hidden="1">
      <c r="A925" s="149"/>
      <c r="B925" s="145">
        <v>100510</v>
      </c>
      <c r="C925" s="150">
        <v>200060</v>
      </c>
      <c r="D925" s="149">
        <v>1</v>
      </c>
      <c r="E925">
        <v>10</v>
      </c>
      <c r="F925" s="149">
        <v>1</v>
      </c>
      <c r="G925" s="149"/>
      <c r="H925" s="149"/>
      <c r="I925" s="160"/>
    </row>
    <row r="926" spans="1:9" s="145" customFormat="1" hidden="1">
      <c r="A926" s="149"/>
      <c r="B926" s="145">
        <v>100510</v>
      </c>
      <c r="C926" s="150">
        <v>200075</v>
      </c>
      <c r="D926" s="149">
        <v>1</v>
      </c>
      <c r="E926">
        <v>10</v>
      </c>
      <c r="F926" s="149">
        <v>1</v>
      </c>
      <c r="G926" s="149"/>
      <c r="H926" s="149"/>
      <c r="I926" s="160"/>
    </row>
    <row r="927" spans="1:9" s="145" customFormat="1" hidden="1">
      <c r="A927" s="149"/>
      <c r="B927" s="145">
        <v>100510</v>
      </c>
      <c r="C927" s="150">
        <v>200078</v>
      </c>
      <c r="D927" s="149">
        <v>1</v>
      </c>
      <c r="E927">
        <v>10</v>
      </c>
      <c r="F927" s="149">
        <v>1</v>
      </c>
      <c r="G927" s="149"/>
      <c r="H927" s="149"/>
      <c r="I927" s="160"/>
    </row>
    <row r="928" spans="1:9" s="131" customFormat="1" hidden="1">
      <c r="B928" s="131">
        <v>100511</v>
      </c>
      <c r="C928" s="132">
        <v>200003</v>
      </c>
      <c r="D928" s="131">
        <v>1</v>
      </c>
      <c r="E928" s="131">
        <v>35</v>
      </c>
      <c r="F928" s="131">
        <v>1</v>
      </c>
      <c r="I928" s="158" t="s">
        <v>638</v>
      </c>
    </row>
    <row r="929" spans="2:9" s="131" customFormat="1" hidden="1">
      <c r="B929" s="131">
        <v>100511</v>
      </c>
      <c r="C929" s="132">
        <v>200004</v>
      </c>
      <c r="D929" s="131">
        <v>1</v>
      </c>
      <c r="E929" s="131">
        <v>35</v>
      </c>
      <c r="F929" s="131">
        <v>1</v>
      </c>
      <c r="I929" s="142" t="s">
        <v>639</v>
      </c>
    </row>
    <row r="930" spans="2:9" s="131" customFormat="1" hidden="1">
      <c r="B930" s="131">
        <v>100511</v>
      </c>
      <c r="C930" s="131">
        <v>200005</v>
      </c>
      <c r="D930" s="131">
        <v>1</v>
      </c>
      <c r="E930" s="131">
        <v>35</v>
      </c>
      <c r="F930" s="131">
        <v>1</v>
      </c>
      <c r="I930" s="1"/>
    </row>
    <row r="931" spans="2:9" s="131" customFormat="1" hidden="1">
      <c r="B931" s="131">
        <v>100511</v>
      </c>
      <c r="C931" s="131">
        <v>200006</v>
      </c>
      <c r="D931" s="131">
        <v>1</v>
      </c>
      <c r="E931" s="131">
        <v>214</v>
      </c>
      <c r="F931" s="131">
        <v>1</v>
      </c>
      <c r="I931" s="1"/>
    </row>
    <row r="932" spans="2:9" s="131" customFormat="1" hidden="1">
      <c r="B932" s="131">
        <v>100511</v>
      </c>
      <c r="C932" s="131">
        <v>200007</v>
      </c>
      <c r="D932" s="131">
        <v>1</v>
      </c>
      <c r="E932" s="131">
        <v>35</v>
      </c>
      <c r="F932" s="131">
        <v>1</v>
      </c>
      <c r="I932" s="1"/>
    </row>
    <row r="933" spans="2:9" s="131" customFormat="1" hidden="1">
      <c r="B933" s="131">
        <v>100511</v>
      </c>
      <c r="C933" s="131">
        <v>200008</v>
      </c>
      <c r="D933" s="131">
        <v>1</v>
      </c>
      <c r="E933" s="131">
        <v>35</v>
      </c>
      <c r="F933" s="131">
        <v>1</v>
      </c>
      <c r="I933" s="1"/>
    </row>
    <row r="934" spans="2:9" s="131" customFormat="1" hidden="1">
      <c r="B934" s="131">
        <v>100511</v>
      </c>
      <c r="C934" s="133">
        <v>200009</v>
      </c>
      <c r="D934" s="131">
        <v>1</v>
      </c>
      <c r="E934" s="131">
        <v>35</v>
      </c>
      <c r="F934" s="131">
        <v>1</v>
      </c>
      <c r="I934" s="1"/>
    </row>
    <row r="935" spans="2:9" s="131" customFormat="1" hidden="1">
      <c r="B935" s="131">
        <v>100511</v>
      </c>
      <c r="C935" s="133">
        <v>200010</v>
      </c>
      <c r="D935" s="131">
        <v>1</v>
      </c>
      <c r="E935" s="131">
        <v>35</v>
      </c>
      <c r="F935" s="131">
        <v>1</v>
      </c>
      <c r="I935" s="1"/>
    </row>
    <row r="936" spans="2:9" s="131" customFormat="1" hidden="1">
      <c r="B936" s="131">
        <v>100511</v>
      </c>
      <c r="C936" s="133">
        <v>200016</v>
      </c>
      <c r="D936" s="131">
        <v>1</v>
      </c>
      <c r="E936" s="131">
        <v>35</v>
      </c>
      <c r="F936" s="131">
        <v>1</v>
      </c>
      <c r="I936" s="1"/>
    </row>
    <row r="937" spans="2:9" s="131" customFormat="1" hidden="1">
      <c r="B937" s="131">
        <v>100511</v>
      </c>
      <c r="C937" s="133">
        <v>200017</v>
      </c>
      <c r="D937" s="131">
        <v>1</v>
      </c>
      <c r="E937" s="131">
        <v>35</v>
      </c>
      <c r="F937" s="131">
        <v>1</v>
      </c>
      <c r="I937" s="1"/>
    </row>
    <row r="938" spans="2:9" s="131" customFormat="1" hidden="1">
      <c r="B938" s="131">
        <v>100511</v>
      </c>
      <c r="C938" s="133">
        <v>200018</v>
      </c>
      <c r="D938" s="131">
        <v>1</v>
      </c>
      <c r="E938" s="131">
        <v>35</v>
      </c>
      <c r="F938" s="131">
        <v>1</v>
      </c>
      <c r="I938" s="1"/>
    </row>
    <row r="939" spans="2:9" s="131" customFormat="1" hidden="1">
      <c r="B939" s="131">
        <v>100511</v>
      </c>
      <c r="C939" s="133">
        <v>200019</v>
      </c>
      <c r="D939" s="131">
        <v>1</v>
      </c>
      <c r="E939" s="131">
        <v>35</v>
      </c>
      <c r="F939" s="131">
        <v>1</v>
      </c>
      <c r="I939" s="1"/>
    </row>
    <row r="940" spans="2:9" s="131" customFormat="1" hidden="1">
      <c r="B940" s="131">
        <v>100511</v>
      </c>
      <c r="C940" s="133">
        <v>200020</v>
      </c>
      <c r="D940" s="131">
        <v>1</v>
      </c>
      <c r="E940" s="131">
        <v>35</v>
      </c>
      <c r="F940" s="131">
        <v>1</v>
      </c>
      <c r="I940" s="1"/>
    </row>
    <row r="941" spans="2:9" s="131" customFormat="1" hidden="1">
      <c r="B941" s="131">
        <v>100511</v>
      </c>
      <c r="C941" s="133">
        <v>200021</v>
      </c>
      <c r="D941" s="131">
        <v>1</v>
      </c>
      <c r="E941" s="131">
        <v>35</v>
      </c>
      <c r="F941" s="131">
        <v>1</v>
      </c>
      <c r="I941" s="1"/>
    </row>
    <row r="942" spans="2:9" s="131" customFormat="1" hidden="1">
      <c r="B942" s="131">
        <v>100511</v>
      </c>
      <c r="C942" s="133">
        <v>200024</v>
      </c>
      <c r="D942" s="131">
        <v>1</v>
      </c>
      <c r="E942" s="131">
        <v>35</v>
      </c>
      <c r="F942" s="131">
        <v>1</v>
      </c>
      <c r="I942" s="1"/>
    </row>
    <row r="943" spans="2:9" s="131" customFormat="1" hidden="1">
      <c r="B943" s="131">
        <v>100511</v>
      </c>
      <c r="C943" s="133">
        <v>200026</v>
      </c>
      <c r="D943" s="131">
        <v>1</v>
      </c>
      <c r="E943" s="131">
        <v>35</v>
      </c>
      <c r="F943" s="131">
        <v>1</v>
      </c>
      <c r="I943" s="1"/>
    </row>
    <row r="944" spans="2:9" s="131" customFormat="1" hidden="1">
      <c r="B944" s="131">
        <v>100511</v>
      </c>
      <c r="C944" s="133">
        <v>200029</v>
      </c>
      <c r="D944" s="131">
        <v>1</v>
      </c>
      <c r="E944" s="131">
        <v>35</v>
      </c>
      <c r="F944" s="131">
        <v>1</v>
      </c>
      <c r="I944" s="1"/>
    </row>
    <row r="945" spans="1:9" s="131" customFormat="1" hidden="1">
      <c r="B945" s="131">
        <v>100511</v>
      </c>
      <c r="C945" s="133">
        <v>200028</v>
      </c>
      <c r="D945" s="131">
        <v>1</v>
      </c>
      <c r="E945" s="131">
        <v>214</v>
      </c>
      <c r="F945" s="131">
        <v>1</v>
      </c>
      <c r="I945" s="1"/>
    </row>
    <row r="946" spans="1:9" s="131" customFormat="1" hidden="1">
      <c r="A946" s="146"/>
      <c r="B946" s="131">
        <v>100511</v>
      </c>
      <c r="C946" s="147">
        <v>200032</v>
      </c>
      <c r="D946" s="146">
        <v>1</v>
      </c>
      <c r="E946" s="131">
        <v>35</v>
      </c>
      <c r="F946" s="146">
        <v>1</v>
      </c>
      <c r="G946" s="146"/>
      <c r="H946" s="146"/>
      <c r="I946" s="1"/>
    </row>
    <row r="947" spans="1:9" s="131" customFormat="1" hidden="1">
      <c r="A947" s="146"/>
      <c r="B947" s="131">
        <v>100511</v>
      </c>
      <c r="C947" s="147">
        <v>200033</v>
      </c>
      <c r="D947" s="146">
        <v>1</v>
      </c>
      <c r="E947" s="131">
        <v>35</v>
      </c>
      <c r="F947" s="146">
        <v>1</v>
      </c>
      <c r="G947" s="146"/>
      <c r="H947" s="146"/>
      <c r="I947" s="1"/>
    </row>
    <row r="948" spans="1:9" s="131" customFormat="1" hidden="1">
      <c r="A948" s="146"/>
      <c r="B948" s="131">
        <v>100511</v>
      </c>
      <c r="C948" s="147">
        <v>200038</v>
      </c>
      <c r="D948" s="146">
        <v>1</v>
      </c>
      <c r="E948" s="131">
        <v>35</v>
      </c>
      <c r="F948" s="146">
        <v>1</v>
      </c>
      <c r="G948" s="146"/>
      <c r="H948" s="146"/>
      <c r="I948" s="1"/>
    </row>
    <row r="949" spans="1:9" s="131" customFormat="1" hidden="1">
      <c r="A949" s="146"/>
      <c r="B949" s="131">
        <v>100511</v>
      </c>
      <c r="C949" s="147">
        <v>200044</v>
      </c>
      <c r="D949" s="146">
        <v>1</v>
      </c>
      <c r="E949" s="131">
        <v>35</v>
      </c>
      <c r="F949" s="146">
        <v>1</v>
      </c>
      <c r="G949" s="146"/>
      <c r="H949" s="146"/>
      <c r="I949" s="1"/>
    </row>
    <row r="950" spans="1:9" s="131" customFormat="1" hidden="1">
      <c r="A950" s="146"/>
      <c r="B950" s="131">
        <v>100511</v>
      </c>
      <c r="C950" s="147">
        <v>200046</v>
      </c>
      <c r="D950" s="146">
        <v>1</v>
      </c>
      <c r="E950" s="131">
        <v>35</v>
      </c>
      <c r="F950" s="146">
        <v>1</v>
      </c>
      <c r="G950" s="146"/>
      <c r="H950" s="146"/>
      <c r="I950" s="1"/>
    </row>
    <row r="951" spans="1:9" s="131" customFormat="1" hidden="1">
      <c r="A951" s="146"/>
      <c r="B951" s="131">
        <v>100511</v>
      </c>
      <c r="C951" s="147">
        <v>200048</v>
      </c>
      <c r="D951" s="146">
        <v>1</v>
      </c>
      <c r="E951" s="131">
        <v>35</v>
      </c>
      <c r="F951" s="146">
        <v>1</v>
      </c>
      <c r="G951" s="146"/>
      <c r="H951" s="146"/>
      <c r="I951" s="1">
        <f>E951/(SUM(E928:E951))</f>
        <v>2.9215358931552589E-2</v>
      </c>
    </row>
    <row r="952" spans="1:9" s="145" customFormat="1" hidden="1">
      <c r="B952" s="145">
        <v>100512</v>
      </c>
      <c r="C952" s="145">
        <v>200011</v>
      </c>
      <c r="D952" s="145">
        <v>1</v>
      </c>
      <c r="E952" s="145">
        <v>35</v>
      </c>
      <c r="F952" s="145">
        <v>1</v>
      </c>
      <c r="I952" s="159" t="s">
        <v>640</v>
      </c>
    </row>
    <row r="953" spans="1:9" s="145" customFormat="1" hidden="1">
      <c r="B953" s="145">
        <v>100512</v>
      </c>
      <c r="C953" s="145">
        <v>200012</v>
      </c>
      <c r="D953" s="145">
        <v>1</v>
      </c>
      <c r="E953" s="145">
        <v>35</v>
      </c>
      <c r="F953" s="145">
        <v>1</v>
      </c>
      <c r="I953" s="160">
        <f>E953/SUM(E952:E964)</f>
        <v>7.6923076923076927E-2</v>
      </c>
    </row>
    <row r="954" spans="1:9" s="145" customFormat="1" hidden="1">
      <c r="B954" s="145">
        <v>100512</v>
      </c>
      <c r="C954" s="145">
        <v>200013</v>
      </c>
      <c r="D954" s="145">
        <v>1</v>
      </c>
      <c r="E954" s="145">
        <v>35</v>
      </c>
      <c r="F954" s="145">
        <v>1</v>
      </c>
      <c r="I954" s="160" t="s">
        <v>635</v>
      </c>
    </row>
    <row r="955" spans="1:9" s="145" customFormat="1" hidden="1">
      <c r="B955" s="145">
        <v>100512</v>
      </c>
      <c r="C955" s="145">
        <v>200014</v>
      </c>
      <c r="D955" s="145">
        <v>1</v>
      </c>
      <c r="E955" s="145">
        <v>35</v>
      </c>
      <c r="F955" s="145">
        <v>1</v>
      </c>
      <c r="I955" s="161"/>
    </row>
    <row r="956" spans="1:9" s="145" customFormat="1" hidden="1">
      <c r="B956" s="145">
        <v>100512</v>
      </c>
      <c r="C956" s="148">
        <v>200022</v>
      </c>
      <c r="D956" s="145">
        <v>1</v>
      </c>
      <c r="E956" s="145">
        <v>35</v>
      </c>
      <c r="F956" s="145">
        <v>1</v>
      </c>
      <c r="I956" s="161"/>
    </row>
    <row r="957" spans="1:9" s="145" customFormat="1" hidden="1">
      <c r="B957" s="145">
        <v>100512</v>
      </c>
      <c r="C957" s="148">
        <v>200023</v>
      </c>
      <c r="D957" s="145">
        <v>1</v>
      </c>
      <c r="E957" s="145">
        <v>35</v>
      </c>
      <c r="F957" s="145">
        <v>1</v>
      </c>
      <c r="I957" s="161"/>
    </row>
    <row r="958" spans="1:9" s="145" customFormat="1" hidden="1">
      <c r="B958" s="145">
        <v>100512</v>
      </c>
      <c r="C958" s="148">
        <v>200025</v>
      </c>
      <c r="D958" s="145">
        <v>1</v>
      </c>
      <c r="E958" s="145">
        <v>35</v>
      </c>
      <c r="F958" s="145">
        <v>1</v>
      </c>
      <c r="I958" s="161"/>
    </row>
    <row r="959" spans="1:9" s="145" customFormat="1" hidden="1">
      <c r="A959" s="149"/>
      <c r="B959" s="145">
        <v>100512</v>
      </c>
      <c r="C959" s="150">
        <v>200027</v>
      </c>
      <c r="D959" s="149">
        <v>1</v>
      </c>
      <c r="E959" s="145">
        <v>35</v>
      </c>
      <c r="F959" s="149">
        <v>1</v>
      </c>
      <c r="G959" s="149"/>
      <c r="H959" s="149"/>
      <c r="I959" s="161"/>
    </row>
    <row r="960" spans="1:9" s="145" customFormat="1" hidden="1">
      <c r="A960" s="149"/>
      <c r="B960" s="145">
        <v>100512</v>
      </c>
      <c r="C960" s="150">
        <v>200030</v>
      </c>
      <c r="D960" s="149">
        <v>1</v>
      </c>
      <c r="E960" s="145">
        <v>35</v>
      </c>
      <c r="F960" s="149">
        <v>1</v>
      </c>
      <c r="G960" s="149"/>
      <c r="H960" s="149"/>
      <c r="I960" s="161"/>
    </row>
    <row r="961" spans="1:9" s="145" customFormat="1" hidden="1">
      <c r="A961" s="149"/>
      <c r="B961" s="145">
        <v>100512</v>
      </c>
      <c r="C961" s="150">
        <v>200031</v>
      </c>
      <c r="D961" s="149">
        <v>1</v>
      </c>
      <c r="E961" s="145">
        <v>35</v>
      </c>
      <c r="F961" s="149">
        <v>1</v>
      </c>
      <c r="G961" s="149"/>
      <c r="H961" s="149"/>
      <c r="I961" s="161"/>
    </row>
    <row r="962" spans="1:9" s="145" customFormat="1" hidden="1">
      <c r="A962" s="149"/>
      <c r="B962" s="145">
        <v>100512</v>
      </c>
      <c r="C962" s="150">
        <v>200039</v>
      </c>
      <c r="D962" s="149">
        <v>1</v>
      </c>
      <c r="E962" s="145">
        <v>35</v>
      </c>
      <c r="F962" s="149">
        <v>1</v>
      </c>
      <c r="G962" s="149"/>
      <c r="H962" s="149"/>
      <c r="I962" s="161"/>
    </row>
    <row r="963" spans="1:9" s="145" customFormat="1" hidden="1">
      <c r="A963" s="149"/>
      <c r="B963" s="145">
        <v>100512</v>
      </c>
      <c r="C963" s="150">
        <v>200045</v>
      </c>
      <c r="D963" s="149">
        <v>1</v>
      </c>
      <c r="E963" s="145">
        <v>35</v>
      </c>
      <c r="F963" s="149">
        <v>1</v>
      </c>
      <c r="G963" s="149"/>
      <c r="H963" s="149"/>
      <c r="I963" s="161"/>
    </row>
    <row r="964" spans="1:9" s="145" customFormat="1" hidden="1">
      <c r="A964" s="149"/>
      <c r="B964" s="145">
        <v>100512</v>
      </c>
      <c r="C964" s="150">
        <v>200047</v>
      </c>
      <c r="D964" s="149">
        <v>1</v>
      </c>
      <c r="E964" s="145">
        <v>35</v>
      </c>
      <c r="F964" s="149">
        <v>1</v>
      </c>
      <c r="G964" s="149"/>
      <c r="H964" s="149"/>
      <c r="I964" s="160">
        <f>E964/SUM(E952:E964)</f>
        <v>7.6923076923076927E-2</v>
      </c>
    </row>
    <row r="965" spans="1:9" hidden="1">
      <c r="B965" s="1">
        <v>120001</v>
      </c>
      <c r="C965" s="142">
        <v>200003</v>
      </c>
      <c r="D965" s="1">
        <v>1</v>
      </c>
      <c r="E965" s="1">
        <v>2</v>
      </c>
      <c r="F965" s="1">
        <v>1</v>
      </c>
      <c r="G965" s="1"/>
      <c r="H965" s="1"/>
      <c r="I965" s="217" t="s">
        <v>1791</v>
      </c>
    </row>
    <row r="966" spans="1:9" hidden="1">
      <c r="B966" s="1">
        <v>120001</v>
      </c>
      <c r="C966" s="142">
        <v>200004</v>
      </c>
      <c r="D966" s="1">
        <v>1</v>
      </c>
      <c r="E966" s="1">
        <v>2</v>
      </c>
      <c r="F966" s="1">
        <v>1</v>
      </c>
      <c r="G966" s="1"/>
      <c r="H966" s="1"/>
      <c r="I966" s="1"/>
    </row>
    <row r="967" spans="1:9" hidden="1">
      <c r="B967" s="1">
        <v>120001</v>
      </c>
      <c r="C967" s="1">
        <v>200005</v>
      </c>
      <c r="D967" s="1">
        <v>1</v>
      </c>
      <c r="E967" s="1">
        <v>2</v>
      </c>
      <c r="F967" s="1">
        <v>1</v>
      </c>
      <c r="G967" s="1"/>
      <c r="H967" s="1"/>
      <c r="I967" s="1"/>
    </row>
    <row r="968" spans="1:9" hidden="1">
      <c r="B968" s="1">
        <v>120001</v>
      </c>
      <c r="C968" s="1">
        <v>200006</v>
      </c>
      <c r="D968" s="1">
        <v>1</v>
      </c>
      <c r="E968" s="1">
        <v>2</v>
      </c>
      <c r="F968" s="1">
        <v>1</v>
      </c>
      <c r="G968" s="1"/>
      <c r="H968" s="1"/>
      <c r="I968" s="1"/>
    </row>
    <row r="969" spans="1:9" hidden="1">
      <c r="B969" s="1">
        <v>120001</v>
      </c>
      <c r="C969" s="1">
        <v>200007</v>
      </c>
      <c r="D969" s="1">
        <v>1</v>
      </c>
      <c r="E969" s="1">
        <v>2</v>
      </c>
      <c r="F969" s="1">
        <v>1</v>
      </c>
      <c r="G969" s="1"/>
      <c r="H969" s="1"/>
      <c r="I969" s="1"/>
    </row>
    <row r="970" spans="1:9" hidden="1">
      <c r="B970" s="1">
        <v>120001</v>
      </c>
      <c r="C970" s="1">
        <v>200008</v>
      </c>
      <c r="D970" s="1">
        <v>1</v>
      </c>
      <c r="E970" s="1">
        <v>2</v>
      </c>
      <c r="F970" s="1">
        <v>1</v>
      </c>
      <c r="G970" s="1"/>
      <c r="H970" s="1"/>
      <c r="I970" s="1"/>
    </row>
    <row r="971" spans="1:9" hidden="1">
      <c r="B971" s="1">
        <v>120001</v>
      </c>
      <c r="C971" s="162">
        <v>200009</v>
      </c>
      <c r="D971" s="1">
        <v>1</v>
      </c>
      <c r="E971" s="1">
        <v>2</v>
      </c>
      <c r="F971" s="1">
        <v>1</v>
      </c>
      <c r="G971" s="1"/>
      <c r="H971" s="1"/>
      <c r="I971" s="1"/>
    </row>
    <row r="972" spans="1:9" hidden="1">
      <c r="B972" s="1">
        <v>120001</v>
      </c>
      <c r="C972" s="162">
        <v>200010</v>
      </c>
      <c r="D972" s="1">
        <v>1</v>
      </c>
      <c r="E972" s="1">
        <v>26</v>
      </c>
      <c r="F972" s="1">
        <v>1</v>
      </c>
      <c r="G972" s="1"/>
      <c r="H972" s="1"/>
      <c r="I972" s="1"/>
    </row>
    <row r="973" spans="1:9" hidden="1">
      <c r="B973" s="1">
        <v>120001</v>
      </c>
      <c r="C973" s="162">
        <v>200016</v>
      </c>
      <c r="D973" s="1">
        <v>1</v>
      </c>
      <c r="E973" s="1">
        <v>2</v>
      </c>
      <c r="F973" s="1">
        <v>1</v>
      </c>
      <c r="G973" s="1"/>
      <c r="H973" s="1"/>
      <c r="I973" s="1"/>
    </row>
    <row r="974" spans="1:9" hidden="1">
      <c r="B974" s="1">
        <v>120001</v>
      </c>
      <c r="C974" s="162">
        <v>200017</v>
      </c>
      <c r="D974" s="1">
        <v>1</v>
      </c>
      <c r="E974" s="1">
        <v>2</v>
      </c>
      <c r="F974" s="1">
        <v>1</v>
      </c>
      <c r="G974" s="1"/>
      <c r="H974" s="1"/>
      <c r="I974" s="1"/>
    </row>
    <row r="975" spans="1:9" hidden="1">
      <c r="B975" s="1">
        <v>120001</v>
      </c>
      <c r="C975" s="162">
        <v>200018</v>
      </c>
      <c r="D975" s="1">
        <v>1</v>
      </c>
      <c r="E975" s="1">
        <v>2</v>
      </c>
      <c r="F975" s="1">
        <v>1</v>
      </c>
      <c r="G975" s="1"/>
      <c r="H975" s="1"/>
      <c r="I975" s="1"/>
    </row>
    <row r="976" spans="1:9" hidden="1">
      <c r="B976" s="1">
        <v>120001</v>
      </c>
      <c r="C976" s="162">
        <v>200019</v>
      </c>
      <c r="D976" s="1">
        <v>1</v>
      </c>
      <c r="E976" s="1">
        <v>2</v>
      </c>
      <c r="F976" s="1">
        <v>1</v>
      </c>
      <c r="G976" s="1"/>
      <c r="H976" s="1"/>
      <c r="I976" s="1"/>
    </row>
    <row r="977" spans="2:9" hidden="1">
      <c r="B977" s="1">
        <v>120001</v>
      </c>
      <c r="C977" s="162">
        <v>200020</v>
      </c>
      <c r="D977" s="1">
        <v>1</v>
      </c>
      <c r="E977" s="1">
        <v>2</v>
      </c>
      <c r="F977" s="1">
        <v>1</v>
      </c>
      <c r="G977" s="1"/>
      <c r="H977" s="1"/>
      <c r="I977" s="1"/>
    </row>
    <row r="978" spans="2:9" hidden="1">
      <c r="B978" s="1">
        <v>120001</v>
      </c>
      <c r="C978" s="162">
        <v>200021</v>
      </c>
      <c r="D978" s="1">
        <v>1</v>
      </c>
      <c r="E978" s="1">
        <v>2</v>
      </c>
      <c r="F978" s="1">
        <v>1</v>
      </c>
      <c r="G978" s="1"/>
      <c r="H978" s="1"/>
      <c r="I978" s="1"/>
    </row>
    <row r="979" spans="2:9" hidden="1">
      <c r="B979" s="1">
        <v>120001</v>
      </c>
      <c r="C979" s="162">
        <v>200024</v>
      </c>
      <c r="D979" s="1">
        <v>1</v>
      </c>
      <c r="E979" s="1">
        <v>2</v>
      </c>
      <c r="F979" s="1">
        <v>1</v>
      </c>
      <c r="G979" s="1"/>
      <c r="H979" s="1"/>
      <c r="I979" s="1"/>
    </row>
    <row r="980" spans="2:9" hidden="1">
      <c r="B980" s="1">
        <v>120001</v>
      </c>
      <c r="C980" s="162">
        <v>200026</v>
      </c>
      <c r="D980" s="1">
        <v>1</v>
      </c>
      <c r="E980" s="1">
        <v>2</v>
      </c>
      <c r="F980" s="1">
        <v>1</v>
      </c>
      <c r="G980" s="1"/>
      <c r="H980" s="1"/>
      <c r="I980" s="1"/>
    </row>
    <row r="981" spans="2:9" hidden="1">
      <c r="B981" s="1">
        <v>120001</v>
      </c>
      <c r="C981" s="162">
        <v>200028</v>
      </c>
      <c r="D981" s="1">
        <v>1</v>
      </c>
      <c r="E981" s="1">
        <v>2</v>
      </c>
      <c r="F981" s="1">
        <v>1</v>
      </c>
      <c r="G981" s="1"/>
      <c r="H981" s="1"/>
      <c r="I981" s="1"/>
    </row>
    <row r="982" spans="2:9" hidden="1">
      <c r="B982" s="1">
        <v>120001</v>
      </c>
      <c r="C982" s="162">
        <v>200029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2:9" hidden="1">
      <c r="B983" s="1">
        <v>120001</v>
      </c>
      <c r="C983" s="162">
        <v>200032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2:9" hidden="1">
      <c r="B984" s="1">
        <v>120001</v>
      </c>
      <c r="C984" s="162">
        <v>200033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2:9" hidden="1">
      <c r="B985" s="1">
        <v>120001</v>
      </c>
      <c r="C985" s="162">
        <v>200038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2:9" hidden="1">
      <c r="B986" s="1">
        <v>120001</v>
      </c>
      <c r="C986" s="162">
        <v>200044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2:9" hidden="1">
      <c r="B987" s="1">
        <v>120001</v>
      </c>
      <c r="C987" s="162">
        <v>200046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2:9" ht="13.5" hidden="1" customHeight="1">
      <c r="B988" s="1">
        <v>120001</v>
      </c>
      <c r="C988" s="162">
        <v>200048</v>
      </c>
      <c r="D988" s="1">
        <v>1</v>
      </c>
      <c r="E988" s="1">
        <v>26</v>
      </c>
      <c r="F988" s="1">
        <v>1</v>
      </c>
      <c r="G988" s="1"/>
      <c r="H988" s="1"/>
      <c r="I988" s="1"/>
    </row>
    <row r="989" spans="2:9" ht="13.5" hidden="1" customHeight="1">
      <c r="B989" s="1">
        <v>120001</v>
      </c>
      <c r="C989" s="162">
        <v>200053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2:9" ht="13.5" hidden="1" customHeight="1">
      <c r="B990" s="1">
        <v>120001</v>
      </c>
      <c r="C990" s="162">
        <v>200059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2:9" hidden="1">
      <c r="B991" s="1">
        <v>120001</v>
      </c>
      <c r="C991" s="1">
        <v>200066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2:9" hidden="1">
      <c r="B992" s="1">
        <v>120001</v>
      </c>
      <c r="C992" s="1">
        <v>200067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216">
        <v>120002</v>
      </c>
      <c r="C993" s="217">
        <v>200003</v>
      </c>
      <c r="D993" s="216">
        <v>1</v>
      </c>
      <c r="E993" s="216">
        <v>2</v>
      </c>
      <c r="F993" s="216">
        <v>1</v>
      </c>
      <c r="G993" s="216"/>
      <c r="H993" s="216"/>
      <c r="I993" s="217" t="s">
        <v>1747</v>
      </c>
    </row>
    <row r="994" spans="2:9" hidden="1">
      <c r="B994" s="216">
        <v>120002</v>
      </c>
      <c r="C994" s="217">
        <v>200004</v>
      </c>
      <c r="D994" s="216">
        <v>1</v>
      </c>
      <c r="E994" s="216">
        <v>2</v>
      </c>
      <c r="F994" s="216">
        <v>1</v>
      </c>
      <c r="G994" s="216"/>
      <c r="H994" s="216"/>
      <c r="I994" s="216"/>
    </row>
    <row r="995" spans="2:9" hidden="1">
      <c r="B995" s="216">
        <v>120002</v>
      </c>
      <c r="C995" s="216">
        <v>200005</v>
      </c>
      <c r="D995" s="216">
        <v>1</v>
      </c>
      <c r="E995" s="216">
        <v>2</v>
      </c>
      <c r="F995" s="216">
        <v>1</v>
      </c>
      <c r="G995" s="216"/>
      <c r="H995" s="216"/>
      <c r="I995" s="216"/>
    </row>
    <row r="996" spans="2:9" hidden="1">
      <c r="B996" s="216">
        <v>120002</v>
      </c>
      <c r="C996" s="216">
        <v>200006</v>
      </c>
      <c r="D996" s="216">
        <v>1</v>
      </c>
      <c r="E996" s="216">
        <v>2</v>
      </c>
      <c r="F996" s="216">
        <v>1</v>
      </c>
      <c r="G996" s="216"/>
      <c r="H996" s="216"/>
      <c r="I996" s="216"/>
    </row>
    <row r="997" spans="2:9" hidden="1">
      <c r="B997" s="216">
        <v>120002</v>
      </c>
      <c r="C997" s="216">
        <v>200007</v>
      </c>
      <c r="D997" s="216">
        <v>1</v>
      </c>
      <c r="E997" s="216">
        <v>26</v>
      </c>
      <c r="F997" s="216">
        <v>1</v>
      </c>
      <c r="G997" s="216"/>
      <c r="H997" s="216"/>
      <c r="I997" s="216"/>
    </row>
    <row r="998" spans="2:9" hidden="1">
      <c r="B998" s="216">
        <v>120002</v>
      </c>
      <c r="C998" s="216">
        <v>200008</v>
      </c>
      <c r="D998" s="216">
        <v>1</v>
      </c>
      <c r="E998" s="216">
        <v>2</v>
      </c>
      <c r="F998" s="216">
        <v>1</v>
      </c>
      <c r="G998" s="216"/>
      <c r="H998" s="216"/>
      <c r="I998" s="216"/>
    </row>
    <row r="999" spans="2:9" hidden="1">
      <c r="B999" s="216">
        <v>120002</v>
      </c>
      <c r="C999" s="222">
        <v>200009</v>
      </c>
      <c r="D999" s="216">
        <v>1</v>
      </c>
      <c r="E999" s="216">
        <v>2</v>
      </c>
      <c r="F999" s="216">
        <v>1</v>
      </c>
      <c r="G999" s="216"/>
      <c r="H999" s="216"/>
      <c r="I999" s="216"/>
    </row>
    <row r="1000" spans="2:9" hidden="1">
      <c r="B1000" s="216">
        <v>120002</v>
      </c>
      <c r="C1000" s="222">
        <v>200010</v>
      </c>
      <c r="D1000" s="216">
        <v>1</v>
      </c>
      <c r="E1000" s="216">
        <v>2</v>
      </c>
      <c r="F1000" s="216">
        <v>1</v>
      </c>
      <c r="G1000" s="216"/>
      <c r="H1000" s="216"/>
      <c r="I1000" s="216"/>
    </row>
    <row r="1001" spans="2:9" hidden="1">
      <c r="B1001" s="216">
        <v>120002</v>
      </c>
      <c r="C1001" s="222">
        <v>200016</v>
      </c>
      <c r="D1001" s="216">
        <v>1</v>
      </c>
      <c r="E1001" s="216">
        <v>2</v>
      </c>
      <c r="F1001" s="216">
        <v>1</v>
      </c>
      <c r="G1001" s="216"/>
      <c r="H1001" s="216"/>
      <c r="I1001" s="216"/>
    </row>
    <row r="1002" spans="2:9" hidden="1">
      <c r="B1002" s="216">
        <v>120002</v>
      </c>
      <c r="C1002" s="222">
        <v>200017</v>
      </c>
      <c r="D1002" s="216">
        <v>1</v>
      </c>
      <c r="E1002" s="216">
        <v>2</v>
      </c>
      <c r="F1002" s="216">
        <v>1</v>
      </c>
      <c r="G1002" s="216"/>
      <c r="H1002" s="216"/>
      <c r="I1002" s="216"/>
    </row>
    <row r="1003" spans="2:9" hidden="1">
      <c r="B1003" s="216">
        <v>120002</v>
      </c>
      <c r="C1003" s="222">
        <v>200018</v>
      </c>
      <c r="D1003" s="216">
        <v>1</v>
      </c>
      <c r="E1003" s="216">
        <v>2</v>
      </c>
      <c r="F1003" s="216">
        <v>1</v>
      </c>
      <c r="G1003" s="216"/>
      <c r="H1003" s="216"/>
      <c r="I1003" s="216"/>
    </row>
    <row r="1004" spans="2:9" hidden="1">
      <c r="B1004" s="216">
        <v>120002</v>
      </c>
      <c r="C1004" s="222">
        <v>200019</v>
      </c>
      <c r="D1004" s="216">
        <v>1</v>
      </c>
      <c r="E1004" s="216">
        <v>2</v>
      </c>
      <c r="F1004" s="216">
        <v>1</v>
      </c>
      <c r="G1004" s="216"/>
      <c r="H1004" s="216"/>
      <c r="I1004" s="216"/>
    </row>
    <row r="1005" spans="2:9" hidden="1">
      <c r="B1005" s="216">
        <v>120002</v>
      </c>
      <c r="C1005" s="222">
        <v>200020</v>
      </c>
      <c r="D1005" s="216">
        <v>1</v>
      </c>
      <c r="E1005" s="216">
        <v>2</v>
      </c>
      <c r="F1005" s="216">
        <v>1</v>
      </c>
      <c r="G1005" s="216"/>
      <c r="H1005" s="216"/>
      <c r="I1005" s="216"/>
    </row>
    <row r="1006" spans="2:9" hidden="1">
      <c r="B1006" s="216">
        <v>120002</v>
      </c>
      <c r="C1006" s="222">
        <v>200021</v>
      </c>
      <c r="D1006" s="216">
        <v>1</v>
      </c>
      <c r="E1006" s="216">
        <v>2</v>
      </c>
      <c r="F1006" s="216">
        <v>1</v>
      </c>
      <c r="G1006" s="216"/>
      <c r="H1006" s="216"/>
      <c r="I1006" s="216"/>
    </row>
    <row r="1007" spans="2:9" hidden="1">
      <c r="B1007" s="216">
        <v>120002</v>
      </c>
      <c r="C1007" s="222">
        <v>200024</v>
      </c>
      <c r="D1007" s="216">
        <v>1</v>
      </c>
      <c r="E1007" s="216">
        <v>26</v>
      </c>
      <c r="F1007" s="216">
        <v>1</v>
      </c>
      <c r="G1007" s="216"/>
      <c r="H1007" s="216"/>
      <c r="I1007" s="216"/>
    </row>
    <row r="1008" spans="2:9" hidden="1">
      <c r="B1008" s="216">
        <v>120002</v>
      </c>
      <c r="C1008" s="222">
        <v>200026</v>
      </c>
      <c r="D1008" s="216">
        <v>1</v>
      </c>
      <c r="E1008" s="216">
        <v>2</v>
      </c>
      <c r="F1008" s="216">
        <v>1</v>
      </c>
      <c r="G1008" s="216"/>
      <c r="H1008" s="216"/>
      <c r="I1008" s="216"/>
    </row>
    <row r="1009" spans="2:9" hidden="1">
      <c r="B1009" s="216">
        <v>120002</v>
      </c>
      <c r="C1009" s="222">
        <v>200028</v>
      </c>
      <c r="D1009" s="216">
        <v>1</v>
      </c>
      <c r="E1009" s="216">
        <v>2</v>
      </c>
      <c r="F1009" s="216">
        <v>1</v>
      </c>
      <c r="G1009" s="216"/>
      <c r="H1009" s="216"/>
      <c r="I1009" s="216"/>
    </row>
    <row r="1010" spans="2:9" hidden="1">
      <c r="B1010" s="216">
        <v>120002</v>
      </c>
      <c r="C1010" s="222">
        <v>200029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22">
        <v>200032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22">
        <v>200033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22">
        <v>200038</v>
      </c>
      <c r="D1013" s="216">
        <v>1</v>
      </c>
      <c r="E1013" s="216">
        <v>2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22">
        <v>200044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200046</v>
      </c>
      <c r="D1015" s="216">
        <v>1</v>
      </c>
      <c r="E1015" s="216">
        <v>2</v>
      </c>
      <c r="F1015" s="216">
        <v>1</v>
      </c>
      <c r="G1015" s="216"/>
      <c r="H1015" s="216"/>
      <c r="I1015" s="216"/>
    </row>
    <row r="1016" spans="2:9" ht="13.5" hidden="1" customHeight="1">
      <c r="B1016" s="216">
        <v>120002</v>
      </c>
      <c r="C1016" s="222">
        <v>200048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t="13.5" hidden="1" customHeight="1">
      <c r="B1017" s="216">
        <v>120002</v>
      </c>
      <c r="C1017" s="222">
        <v>200053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t="13.5" hidden="1" customHeight="1">
      <c r="B1018" s="216">
        <v>120002</v>
      </c>
      <c r="C1018" s="222">
        <v>200059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16">
        <v>200066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16">
        <v>200067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126">
        <v>120003</v>
      </c>
      <c r="C1021" s="167">
        <v>200003</v>
      </c>
      <c r="D1021" s="126">
        <v>1</v>
      </c>
      <c r="E1021" s="126">
        <v>2</v>
      </c>
      <c r="F1021" s="126">
        <v>1</v>
      </c>
      <c r="G1021" s="126"/>
      <c r="H1021" s="126"/>
      <c r="I1021" s="167" t="s">
        <v>1796</v>
      </c>
    </row>
    <row r="1022" spans="2:9" hidden="1">
      <c r="B1022" s="126">
        <v>120003</v>
      </c>
      <c r="C1022" s="167">
        <v>200004</v>
      </c>
      <c r="D1022" s="126">
        <v>1</v>
      </c>
      <c r="E1022" s="126">
        <v>2</v>
      </c>
      <c r="F1022" s="126">
        <v>1</v>
      </c>
      <c r="G1022" s="126"/>
      <c r="H1022" s="126"/>
      <c r="I1022" s="126"/>
    </row>
    <row r="1023" spans="2:9" hidden="1">
      <c r="B1023" s="126">
        <v>120003</v>
      </c>
      <c r="C1023" s="126">
        <v>200005</v>
      </c>
      <c r="D1023" s="126">
        <v>1</v>
      </c>
      <c r="E1023" s="126">
        <v>2</v>
      </c>
      <c r="F1023" s="126">
        <v>1</v>
      </c>
      <c r="G1023" s="126"/>
      <c r="H1023" s="126"/>
      <c r="I1023" s="126"/>
    </row>
    <row r="1024" spans="2:9" hidden="1">
      <c r="B1024" s="126">
        <v>120003</v>
      </c>
      <c r="C1024" s="126">
        <v>200006</v>
      </c>
      <c r="D1024" s="126">
        <v>1</v>
      </c>
      <c r="E1024" s="126">
        <v>2</v>
      </c>
      <c r="F1024" s="126">
        <v>1</v>
      </c>
      <c r="G1024" s="126"/>
      <c r="H1024" s="126"/>
      <c r="I1024" s="126"/>
    </row>
    <row r="1025" spans="2:9" hidden="1">
      <c r="B1025" s="126">
        <v>120003</v>
      </c>
      <c r="C1025" s="126">
        <v>200007</v>
      </c>
      <c r="D1025" s="126">
        <v>1</v>
      </c>
      <c r="E1025" s="126">
        <v>2</v>
      </c>
      <c r="F1025" s="126">
        <v>1</v>
      </c>
      <c r="G1025" s="126"/>
      <c r="H1025" s="126"/>
      <c r="I1025" s="126"/>
    </row>
    <row r="1026" spans="2:9" hidden="1">
      <c r="B1026" s="126">
        <v>120003</v>
      </c>
      <c r="C1026" s="126">
        <v>200008</v>
      </c>
      <c r="D1026" s="126">
        <v>1</v>
      </c>
      <c r="E1026" s="126">
        <v>2</v>
      </c>
      <c r="F1026" s="126">
        <v>1</v>
      </c>
      <c r="G1026" s="126"/>
      <c r="H1026" s="126"/>
      <c r="I1026" s="126"/>
    </row>
    <row r="1027" spans="2:9" hidden="1">
      <c r="B1027" s="126">
        <v>120003</v>
      </c>
      <c r="C1027" s="168">
        <v>200009</v>
      </c>
      <c r="D1027" s="126">
        <v>1</v>
      </c>
      <c r="E1027" s="126">
        <v>2</v>
      </c>
      <c r="F1027" s="126">
        <v>1</v>
      </c>
      <c r="G1027" s="126"/>
      <c r="H1027" s="126"/>
      <c r="I1027" s="126"/>
    </row>
    <row r="1028" spans="2:9" hidden="1">
      <c r="B1028" s="126">
        <v>120003</v>
      </c>
      <c r="C1028" s="168">
        <v>200010</v>
      </c>
      <c r="D1028" s="126">
        <v>1</v>
      </c>
      <c r="E1028" s="126">
        <v>2</v>
      </c>
      <c r="F1028" s="126">
        <v>1</v>
      </c>
      <c r="G1028" s="126"/>
      <c r="H1028" s="126"/>
      <c r="I1028" s="126"/>
    </row>
    <row r="1029" spans="2:9" hidden="1">
      <c r="B1029" s="126">
        <v>120003</v>
      </c>
      <c r="C1029" s="168">
        <v>200016</v>
      </c>
      <c r="D1029" s="126">
        <v>1</v>
      </c>
      <c r="E1029" s="126">
        <v>2</v>
      </c>
      <c r="F1029" s="126">
        <v>1</v>
      </c>
      <c r="G1029" s="126"/>
      <c r="H1029" s="126"/>
      <c r="I1029" s="126"/>
    </row>
    <row r="1030" spans="2:9" hidden="1">
      <c r="B1030" s="126">
        <v>120003</v>
      </c>
      <c r="C1030" s="168">
        <v>200017</v>
      </c>
      <c r="D1030" s="126">
        <v>1</v>
      </c>
      <c r="E1030" s="126">
        <v>2</v>
      </c>
      <c r="F1030" s="126">
        <v>1</v>
      </c>
      <c r="G1030" s="126"/>
      <c r="H1030" s="126"/>
      <c r="I1030" s="126"/>
    </row>
    <row r="1031" spans="2:9" hidden="1">
      <c r="B1031" s="126">
        <v>120003</v>
      </c>
      <c r="C1031" s="168">
        <v>200018</v>
      </c>
      <c r="D1031" s="126">
        <v>1</v>
      </c>
      <c r="E1031" s="126">
        <v>2</v>
      </c>
      <c r="F1031" s="126">
        <v>1</v>
      </c>
      <c r="G1031" s="126"/>
      <c r="H1031" s="126"/>
      <c r="I1031" s="126"/>
    </row>
    <row r="1032" spans="2:9" hidden="1">
      <c r="B1032" s="126">
        <v>120003</v>
      </c>
      <c r="C1032" s="168">
        <v>200019</v>
      </c>
      <c r="D1032" s="126">
        <v>1</v>
      </c>
      <c r="E1032" s="126">
        <v>2</v>
      </c>
      <c r="F1032" s="126">
        <v>1</v>
      </c>
      <c r="G1032" s="126"/>
      <c r="H1032" s="126"/>
      <c r="I1032" s="126"/>
    </row>
    <row r="1033" spans="2:9" hidden="1">
      <c r="B1033" s="126">
        <v>120003</v>
      </c>
      <c r="C1033" s="168">
        <v>200020</v>
      </c>
      <c r="D1033" s="126">
        <v>1</v>
      </c>
      <c r="E1033" s="126">
        <v>2</v>
      </c>
      <c r="F1033" s="126">
        <v>1</v>
      </c>
      <c r="G1033" s="126"/>
      <c r="H1033" s="126"/>
      <c r="I1033" s="126"/>
    </row>
    <row r="1034" spans="2:9" hidden="1">
      <c r="B1034" s="126">
        <v>120003</v>
      </c>
      <c r="C1034" s="168">
        <v>200021</v>
      </c>
      <c r="D1034" s="126">
        <v>1</v>
      </c>
      <c r="E1034" s="126">
        <v>2</v>
      </c>
      <c r="F1034" s="126">
        <v>1</v>
      </c>
      <c r="G1034" s="126"/>
      <c r="H1034" s="126"/>
      <c r="I1034" s="126"/>
    </row>
    <row r="1035" spans="2:9" hidden="1">
      <c r="B1035" s="126">
        <v>120003</v>
      </c>
      <c r="C1035" s="168">
        <v>200024</v>
      </c>
      <c r="D1035" s="126">
        <v>1</v>
      </c>
      <c r="E1035" s="126">
        <v>2</v>
      </c>
      <c r="F1035" s="126">
        <v>1</v>
      </c>
      <c r="G1035" s="126"/>
      <c r="H1035" s="126"/>
      <c r="I1035" s="126"/>
    </row>
    <row r="1036" spans="2:9" hidden="1">
      <c r="B1036" s="126">
        <v>120003</v>
      </c>
      <c r="C1036" s="168">
        <v>200026</v>
      </c>
      <c r="D1036" s="126">
        <v>1</v>
      </c>
      <c r="E1036" s="126">
        <v>2</v>
      </c>
      <c r="F1036" s="126">
        <v>1</v>
      </c>
      <c r="G1036" s="126"/>
      <c r="H1036" s="126"/>
      <c r="I1036" s="126"/>
    </row>
    <row r="1037" spans="2:9" hidden="1">
      <c r="B1037" s="126">
        <v>120003</v>
      </c>
      <c r="C1037" s="168">
        <v>200028</v>
      </c>
      <c r="D1037" s="126">
        <v>1</v>
      </c>
      <c r="E1037" s="126">
        <v>2</v>
      </c>
      <c r="F1037" s="126">
        <v>1</v>
      </c>
      <c r="G1037" s="126"/>
      <c r="H1037" s="126"/>
      <c r="I1037" s="126"/>
    </row>
    <row r="1038" spans="2:9" hidden="1">
      <c r="B1038" s="126">
        <v>120003</v>
      </c>
      <c r="C1038" s="168">
        <v>200029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68">
        <v>200032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68">
        <v>200033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68">
        <v>200038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68">
        <v>200044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200046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t="13.5" hidden="1" customHeight="1">
      <c r="B1044" s="126">
        <v>120003</v>
      </c>
      <c r="C1044" s="168">
        <v>200048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t="13.5" hidden="1" customHeight="1">
      <c r="B1045" s="126">
        <v>120003</v>
      </c>
      <c r="C1045" s="168">
        <v>200053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t="13.5" hidden="1" customHeight="1">
      <c r="B1046" s="126">
        <v>120003</v>
      </c>
      <c r="C1046" s="168">
        <v>200059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26">
        <v>200066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26">
        <v>200067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26">
        <v>200068</v>
      </c>
      <c r="D1049" s="126">
        <v>1</v>
      </c>
      <c r="E1049" s="126">
        <v>58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26">
        <v>200069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210">
        <v>120004</v>
      </c>
      <c r="C1051" s="209">
        <v>200003</v>
      </c>
      <c r="D1051" s="210">
        <v>1</v>
      </c>
      <c r="E1051" s="210">
        <v>2</v>
      </c>
      <c r="F1051" s="210">
        <v>1</v>
      </c>
      <c r="G1051" s="210"/>
      <c r="H1051" s="210"/>
      <c r="I1051" s="209" t="s">
        <v>1797</v>
      </c>
    </row>
    <row r="1052" spans="2:9" hidden="1">
      <c r="B1052" s="210">
        <v>120004</v>
      </c>
      <c r="C1052" s="209">
        <v>200004</v>
      </c>
      <c r="D1052" s="210">
        <v>1</v>
      </c>
      <c r="E1052" s="210">
        <v>2</v>
      </c>
      <c r="F1052" s="210">
        <v>1</v>
      </c>
      <c r="G1052" s="210"/>
      <c r="H1052" s="210"/>
      <c r="I1052" s="210"/>
    </row>
    <row r="1053" spans="2:9" hidden="1">
      <c r="B1053" s="210">
        <v>120004</v>
      </c>
      <c r="C1053" s="210">
        <v>200005</v>
      </c>
      <c r="D1053" s="210">
        <v>1</v>
      </c>
      <c r="E1053" s="210">
        <v>2</v>
      </c>
      <c r="F1053" s="210">
        <v>1</v>
      </c>
      <c r="G1053" s="210"/>
      <c r="H1053" s="210"/>
      <c r="I1053" s="210"/>
    </row>
    <row r="1054" spans="2:9" hidden="1">
      <c r="B1054" s="210">
        <v>120004</v>
      </c>
      <c r="C1054" s="210">
        <v>200006</v>
      </c>
      <c r="D1054" s="210">
        <v>1</v>
      </c>
      <c r="E1054" s="210">
        <v>2</v>
      </c>
      <c r="F1054" s="210">
        <v>1</v>
      </c>
      <c r="G1054" s="210"/>
      <c r="H1054" s="210"/>
      <c r="I1054" s="210"/>
    </row>
    <row r="1055" spans="2:9" hidden="1">
      <c r="B1055" s="210">
        <v>120004</v>
      </c>
      <c r="C1055" s="210">
        <v>200007</v>
      </c>
      <c r="D1055" s="210">
        <v>1</v>
      </c>
      <c r="E1055" s="210">
        <v>2</v>
      </c>
      <c r="F1055" s="210">
        <v>1</v>
      </c>
      <c r="G1055" s="210"/>
      <c r="H1055" s="210"/>
      <c r="I1055" s="210"/>
    </row>
    <row r="1056" spans="2:9" hidden="1">
      <c r="B1056" s="210">
        <v>120004</v>
      </c>
      <c r="C1056" s="210">
        <v>200008</v>
      </c>
      <c r="D1056" s="210">
        <v>1</v>
      </c>
      <c r="E1056" s="210">
        <v>2</v>
      </c>
      <c r="F1056" s="210">
        <v>1</v>
      </c>
      <c r="G1056" s="210"/>
      <c r="H1056" s="210"/>
      <c r="I1056" s="210"/>
    </row>
    <row r="1057" spans="2:9" hidden="1">
      <c r="B1057" s="210">
        <v>120004</v>
      </c>
      <c r="C1057" s="237">
        <v>200009</v>
      </c>
      <c r="D1057" s="210">
        <v>1</v>
      </c>
      <c r="E1057" s="210">
        <v>2</v>
      </c>
      <c r="F1057" s="210">
        <v>1</v>
      </c>
      <c r="G1057" s="210"/>
      <c r="H1057" s="210"/>
      <c r="I1057" s="210"/>
    </row>
    <row r="1058" spans="2:9" hidden="1">
      <c r="B1058" s="210">
        <v>120004</v>
      </c>
      <c r="C1058" s="237">
        <v>200010</v>
      </c>
      <c r="D1058" s="210">
        <v>1</v>
      </c>
      <c r="E1058" s="210">
        <v>2</v>
      </c>
      <c r="F1058" s="210">
        <v>1</v>
      </c>
      <c r="G1058" s="210"/>
      <c r="H1058" s="210"/>
      <c r="I1058" s="210"/>
    </row>
    <row r="1059" spans="2:9" hidden="1">
      <c r="B1059" s="210">
        <v>120004</v>
      </c>
      <c r="C1059" s="237">
        <v>200016</v>
      </c>
      <c r="D1059" s="210">
        <v>1</v>
      </c>
      <c r="E1059" s="210">
        <v>2</v>
      </c>
      <c r="F1059" s="210">
        <v>1</v>
      </c>
      <c r="G1059" s="210"/>
      <c r="H1059" s="210"/>
      <c r="I1059" s="210"/>
    </row>
    <row r="1060" spans="2:9" hidden="1">
      <c r="B1060" s="210">
        <v>120004</v>
      </c>
      <c r="C1060" s="237">
        <v>200017</v>
      </c>
      <c r="D1060" s="210">
        <v>1</v>
      </c>
      <c r="E1060" s="210">
        <v>2</v>
      </c>
      <c r="F1060" s="210">
        <v>1</v>
      </c>
      <c r="G1060" s="210"/>
      <c r="H1060" s="210"/>
      <c r="I1060" s="210"/>
    </row>
    <row r="1061" spans="2:9" hidden="1">
      <c r="B1061" s="210">
        <v>120004</v>
      </c>
      <c r="C1061" s="237">
        <v>200018</v>
      </c>
      <c r="D1061" s="210">
        <v>1</v>
      </c>
      <c r="E1061" s="210">
        <v>2</v>
      </c>
      <c r="F1061" s="210">
        <v>1</v>
      </c>
      <c r="G1061" s="210"/>
      <c r="H1061" s="210"/>
      <c r="I1061" s="210"/>
    </row>
    <row r="1062" spans="2:9" hidden="1">
      <c r="B1062" s="210">
        <v>120004</v>
      </c>
      <c r="C1062" s="237">
        <v>200019</v>
      </c>
      <c r="D1062" s="210">
        <v>1</v>
      </c>
      <c r="E1062" s="210">
        <v>2</v>
      </c>
      <c r="F1062" s="210">
        <v>1</v>
      </c>
      <c r="G1062" s="210"/>
      <c r="H1062" s="210"/>
      <c r="I1062" s="210"/>
    </row>
    <row r="1063" spans="2:9" hidden="1">
      <c r="B1063" s="210">
        <v>120004</v>
      </c>
      <c r="C1063" s="237">
        <v>200020</v>
      </c>
      <c r="D1063" s="210">
        <v>1</v>
      </c>
      <c r="E1063" s="210">
        <v>2</v>
      </c>
      <c r="F1063" s="210">
        <v>1</v>
      </c>
      <c r="G1063" s="210"/>
      <c r="H1063" s="210"/>
      <c r="I1063" s="210"/>
    </row>
    <row r="1064" spans="2:9" hidden="1">
      <c r="B1064" s="210">
        <v>120004</v>
      </c>
      <c r="C1064" s="237">
        <v>200021</v>
      </c>
      <c r="D1064" s="210">
        <v>1</v>
      </c>
      <c r="E1064" s="210">
        <v>2</v>
      </c>
      <c r="F1064" s="210">
        <v>1</v>
      </c>
      <c r="G1064" s="210"/>
      <c r="H1064" s="210"/>
      <c r="I1064" s="210"/>
    </row>
    <row r="1065" spans="2:9" hidden="1">
      <c r="B1065" s="210">
        <v>120004</v>
      </c>
      <c r="C1065" s="237">
        <v>200024</v>
      </c>
      <c r="D1065" s="210">
        <v>1</v>
      </c>
      <c r="E1065" s="210">
        <v>2</v>
      </c>
      <c r="F1065" s="210">
        <v>1</v>
      </c>
      <c r="G1065" s="210"/>
      <c r="H1065" s="210"/>
      <c r="I1065" s="210"/>
    </row>
    <row r="1066" spans="2:9" hidden="1">
      <c r="B1066" s="210">
        <v>120004</v>
      </c>
      <c r="C1066" s="237">
        <v>200026</v>
      </c>
      <c r="D1066" s="210">
        <v>1</v>
      </c>
      <c r="E1066" s="210">
        <v>2</v>
      </c>
      <c r="F1066" s="210">
        <v>1</v>
      </c>
      <c r="G1066" s="210"/>
      <c r="H1066" s="210"/>
      <c r="I1066" s="210"/>
    </row>
    <row r="1067" spans="2:9" hidden="1">
      <c r="B1067" s="210">
        <v>120004</v>
      </c>
      <c r="C1067" s="237">
        <v>200028</v>
      </c>
      <c r="D1067" s="210">
        <v>1</v>
      </c>
      <c r="E1067" s="210">
        <v>2</v>
      </c>
      <c r="F1067" s="210">
        <v>1</v>
      </c>
      <c r="G1067" s="210"/>
      <c r="H1067" s="210"/>
      <c r="I1067" s="210"/>
    </row>
    <row r="1068" spans="2:9" hidden="1">
      <c r="B1068" s="210">
        <v>120004</v>
      </c>
      <c r="C1068" s="237">
        <v>200029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37">
        <v>200032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37">
        <v>200033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37">
        <v>200038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37">
        <v>200044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200046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t="13.5" hidden="1" customHeight="1">
      <c r="B1074" s="210">
        <v>120004</v>
      </c>
      <c r="C1074" s="237">
        <v>200048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t="13.5" hidden="1" customHeight="1">
      <c r="B1075" s="210">
        <v>120004</v>
      </c>
      <c r="C1075" s="237">
        <v>200053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t="13.5" hidden="1" customHeight="1">
      <c r="B1076" s="210">
        <v>120004</v>
      </c>
      <c r="C1076" s="237">
        <v>200059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10">
        <v>200066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10">
        <v>200067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10">
        <v>200068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10">
        <v>200069</v>
      </c>
      <c r="D1080" s="210">
        <v>1</v>
      </c>
      <c r="E1080" s="210">
        <v>58</v>
      </c>
      <c r="F1080" s="210">
        <v>1</v>
      </c>
      <c r="G1080" s="210"/>
      <c r="H1080" s="210"/>
      <c r="I1080" s="210"/>
    </row>
    <row r="1081" spans="2:9" hidden="1">
      <c r="B1081" s="126">
        <v>120005</v>
      </c>
      <c r="C1081" s="167">
        <v>200003</v>
      </c>
      <c r="D1081" s="126">
        <v>1</v>
      </c>
      <c r="E1081" s="126">
        <v>2</v>
      </c>
      <c r="F1081" s="126">
        <v>1</v>
      </c>
      <c r="G1081" s="126"/>
      <c r="H1081" s="126"/>
      <c r="I1081" s="167" t="s">
        <v>1803</v>
      </c>
    </row>
    <row r="1082" spans="2:9" hidden="1">
      <c r="B1082" s="126">
        <v>120005</v>
      </c>
      <c r="C1082" s="167">
        <v>200004</v>
      </c>
      <c r="D1082" s="126">
        <v>1</v>
      </c>
      <c r="E1082" s="126">
        <v>2</v>
      </c>
      <c r="F1082" s="126">
        <v>1</v>
      </c>
      <c r="G1082" s="126"/>
      <c r="H1082" s="126"/>
      <c r="I1082" s="126"/>
    </row>
    <row r="1083" spans="2:9" hidden="1">
      <c r="B1083" s="126">
        <v>120005</v>
      </c>
      <c r="C1083" s="126">
        <v>200005</v>
      </c>
      <c r="D1083" s="126">
        <v>1</v>
      </c>
      <c r="E1083" s="126">
        <v>2</v>
      </c>
      <c r="F1083" s="126">
        <v>1</v>
      </c>
      <c r="G1083" s="126"/>
      <c r="H1083" s="126"/>
      <c r="I1083" s="126"/>
    </row>
    <row r="1084" spans="2:9" hidden="1">
      <c r="B1084" s="126">
        <v>120005</v>
      </c>
      <c r="C1084" s="126">
        <v>200006</v>
      </c>
      <c r="D1084" s="126">
        <v>1</v>
      </c>
      <c r="E1084" s="126">
        <v>2</v>
      </c>
      <c r="F1084" s="126">
        <v>1</v>
      </c>
      <c r="G1084" s="126"/>
      <c r="H1084" s="126"/>
      <c r="I1084" s="126"/>
    </row>
    <row r="1085" spans="2:9" hidden="1">
      <c r="B1085" s="126">
        <v>120005</v>
      </c>
      <c r="C1085" s="126">
        <v>200007</v>
      </c>
      <c r="D1085" s="126">
        <v>1</v>
      </c>
      <c r="E1085" s="126">
        <v>2</v>
      </c>
      <c r="F1085" s="126">
        <v>1</v>
      </c>
      <c r="G1085" s="126"/>
      <c r="H1085" s="126"/>
      <c r="I1085" s="126"/>
    </row>
    <row r="1086" spans="2:9" hidden="1">
      <c r="B1086" s="126">
        <v>120005</v>
      </c>
      <c r="C1086" s="126">
        <v>200008</v>
      </c>
      <c r="D1086" s="126">
        <v>1</v>
      </c>
      <c r="E1086" s="126">
        <v>2</v>
      </c>
      <c r="F1086" s="126">
        <v>1</v>
      </c>
      <c r="G1086" s="126"/>
      <c r="H1086" s="126"/>
      <c r="I1086" s="126"/>
    </row>
    <row r="1087" spans="2:9" hidden="1">
      <c r="B1087" s="126">
        <v>120005</v>
      </c>
      <c r="C1087" s="168">
        <v>200009</v>
      </c>
      <c r="D1087" s="126">
        <v>1</v>
      </c>
      <c r="E1087" s="126">
        <v>2</v>
      </c>
      <c r="F1087" s="126">
        <v>1</v>
      </c>
      <c r="G1087" s="126"/>
      <c r="H1087" s="126"/>
      <c r="I1087" s="126"/>
    </row>
    <row r="1088" spans="2:9" hidden="1">
      <c r="B1088" s="126">
        <v>120005</v>
      </c>
      <c r="C1088" s="168">
        <v>200010</v>
      </c>
      <c r="D1088" s="126">
        <v>1</v>
      </c>
      <c r="E1088" s="126">
        <v>2</v>
      </c>
      <c r="F1088" s="126">
        <v>1</v>
      </c>
      <c r="G1088" s="126"/>
      <c r="H1088" s="126"/>
      <c r="I1088" s="126"/>
    </row>
    <row r="1089" spans="2:9" hidden="1">
      <c r="B1089" s="126">
        <v>120005</v>
      </c>
      <c r="C1089" s="168">
        <v>200016</v>
      </c>
      <c r="D1089" s="126">
        <v>1</v>
      </c>
      <c r="E1089" s="126">
        <v>2</v>
      </c>
      <c r="F1089" s="126">
        <v>1</v>
      </c>
      <c r="G1089" s="126"/>
      <c r="H1089" s="126"/>
      <c r="I1089" s="126"/>
    </row>
    <row r="1090" spans="2:9" hidden="1">
      <c r="B1090" s="126">
        <v>120005</v>
      </c>
      <c r="C1090" s="168">
        <v>200017</v>
      </c>
      <c r="D1090" s="126">
        <v>1</v>
      </c>
      <c r="E1090" s="126">
        <v>2</v>
      </c>
      <c r="F1090" s="126">
        <v>1</v>
      </c>
      <c r="G1090" s="126"/>
      <c r="H1090" s="126"/>
      <c r="I1090" s="126"/>
    </row>
    <row r="1091" spans="2:9" hidden="1">
      <c r="B1091" s="126">
        <v>120005</v>
      </c>
      <c r="C1091" s="168">
        <v>200018</v>
      </c>
      <c r="D1091" s="126">
        <v>1</v>
      </c>
      <c r="E1091" s="126">
        <v>2</v>
      </c>
      <c r="F1091" s="126">
        <v>1</v>
      </c>
      <c r="G1091" s="126"/>
      <c r="H1091" s="126"/>
      <c r="I1091" s="126"/>
    </row>
    <row r="1092" spans="2:9" hidden="1">
      <c r="B1092" s="126">
        <v>120005</v>
      </c>
      <c r="C1092" s="168">
        <v>200019</v>
      </c>
      <c r="D1092" s="126">
        <v>1</v>
      </c>
      <c r="E1092" s="126">
        <v>2</v>
      </c>
      <c r="F1092" s="126">
        <v>1</v>
      </c>
      <c r="G1092" s="126"/>
      <c r="H1092" s="126"/>
      <c r="I1092" s="126"/>
    </row>
    <row r="1093" spans="2:9" hidden="1">
      <c r="B1093" s="126">
        <v>120005</v>
      </c>
      <c r="C1093" s="168">
        <v>200020</v>
      </c>
      <c r="D1093" s="126">
        <v>1</v>
      </c>
      <c r="E1093" s="126">
        <v>2</v>
      </c>
      <c r="F1093" s="126">
        <v>1</v>
      </c>
      <c r="G1093" s="126"/>
      <c r="H1093" s="126"/>
      <c r="I1093" s="126"/>
    </row>
    <row r="1094" spans="2:9" hidden="1">
      <c r="B1094" s="126">
        <v>120005</v>
      </c>
      <c r="C1094" s="168">
        <v>200021</v>
      </c>
      <c r="D1094" s="126">
        <v>1</v>
      </c>
      <c r="E1094" s="126">
        <v>2</v>
      </c>
      <c r="F1094" s="126">
        <v>1</v>
      </c>
      <c r="G1094" s="126"/>
      <c r="H1094" s="126"/>
      <c r="I1094" s="126"/>
    </row>
    <row r="1095" spans="2:9" hidden="1">
      <c r="B1095" s="126">
        <v>120005</v>
      </c>
      <c r="C1095" s="168">
        <v>200024</v>
      </c>
      <c r="D1095" s="126">
        <v>1</v>
      </c>
      <c r="E1095" s="126">
        <v>2</v>
      </c>
      <c r="F1095" s="126">
        <v>1</v>
      </c>
      <c r="G1095" s="126"/>
      <c r="H1095" s="126"/>
      <c r="I1095" s="126"/>
    </row>
    <row r="1096" spans="2:9" hidden="1">
      <c r="B1096" s="126">
        <v>120005</v>
      </c>
      <c r="C1096" s="168">
        <v>200026</v>
      </c>
      <c r="D1096" s="126">
        <v>1</v>
      </c>
      <c r="E1096" s="126">
        <v>2</v>
      </c>
      <c r="F1096" s="126">
        <v>1</v>
      </c>
      <c r="G1096" s="126"/>
      <c r="H1096" s="126"/>
      <c r="I1096" s="126"/>
    </row>
    <row r="1097" spans="2:9" hidden="1">
      <c r="B1097" s="126">
        <v>120005</v>
      </c>
      <c r="C1097" s="168">
        <v>200028</v>
      </c>
      <c r="D1097" s="126">
        <v>1</v>
      </c>
      <c r="E1097" s="126">
        <v>2</v>
      </c>
      <c r="F1097" s="126">
        <v>1</v>
      </c>
      <c r="G1097" s="126"/>
      <c r="H1097" s="126"/>
      <c r="I1097" s="126"/>
    </row>
    <row r="1098" spans="2:9" hidden="1">
      <c r="B1098" s="126">
        <v>120005</v>
      </c>
      <c r="C1098" s="168">
        <v>200029</v>
      </c>
      <c r="D1098" s="126">
        <v>1</v>
      </c>
      <c r="E1098" s="126">
        <v>28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68">
        <v>200032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68">
        <v>200033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68">
        <v>200038</v>
      </c>
      <c r="D1101" s="126">
        <v>1</v>
      </c>
      <c r="E1101" s="126">
        <v>28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68">
        <v>200044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200046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t="13.5" hidden="1" customHeight="1">
      <c r="B1104" s="126">
        <v>120005</v>
      </c>
      <c r="C1104" s="168">
        <v>200048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t="13.5" hidden="1" customHeight="1">
      <c r="B1105" s="126">
        <v>120005</v>
      </c>
      <c r="C1105" s="168">
        <v>200053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t="13.5" hidden="1" customHeight="1">
      <c r="B1106" s="126">
        <v>120005</v>
      </c>
      <c r="C1106" s="168">
        <v>200059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26">
        <v>200066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26">
        <v>200067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26">
        <v>200068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26">
        <v>200069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120006</v>
      </c>
      <c r="C1111" s="167">
        <v>200003</v>
      </c>
      <c r="D1111" s="126">
        <v>1</v>
      </c>
      <c r="E1111" s="170">
        <v>470</v>
      </c>
      <c r="F1111" s="126">
        <v>1</v>
      </c>
      <c r="G1111" s="126"/>
      <c r="H1111" s="126"/>
      <c r="I1111" s="9" t="s">
        <v>1811</v>
      </c>
    </row>
    <row r="1112" spans="2:9" hidden="1">
      <c r="B1112" s="126">
        <v>120006</v>
      </c>
      <c r="C1112" s="167">
        <v>200004</v>
      </c>
      <c r="D1112" s="126">
        <v>1</v>
      </c>
      <c r="E1112" s="170">
        <v>470</v>
      </c>
      <c r="F1112" s="126">
        <v>1</v>
      </c>
      <c r="G1112" s="126"/>
      <c r="H1112" s="126"/>
      <c r="I1112" s="126"/>
    </row>
    <row r="1113" spans="2:9" hidden="1">
      <c r="B1113" s="126">
        <v>120006</v>
      </c>
      <c r="C1113" s="126">
        <v>200005</v>
      </c>
      <c r="D1113" s="126">
        <v>1</v>
      </c>
      <c r="E1113" s="170">
        <v>470</v>
      </c>
      <c r="F1113" s="126">
        <v>1</v>
      </c>
      <c r="G1113" s="126"/>
      <c r="H1113" s="126"/>
      <c r="I1113" s="126"/>
    </row>
    <row r="1114" spans="2:9" hidden="1">
      <c r="B1114" s="126">
        <v>120006</v>
      </c>
      <c r="C1114" s="126">
        <v>200006</v>
      </c>
      <c r="D1114" s="126">
        <v>1</v>
      </c>
      <c r="E1114" s="170">
        <v>470</v>
      </c>
      <c r="F1114" s="126">
        <v>1</v>
      </c>
      <c r="G1114" s="126"/>
      <c r="H1114" s="126"/>
      <c r="I1114" s="126"/>
    </row>
    <row r="1115" spans="2:9" hidden="1">
      <c r="B1115" s="126">
        <v>120006</v>
      </c>
      <c r="C1115" s="126">
        <v>200007</v>
      </c>
      <c r="D1115" s="126">
        <v>1</v>
      </c>
      <c r="E1115" s="170">
        <v>470</v>
      </c>
      <c r="F1115" s="126">
        <v>1</v>
      </c>
      <c r="G1115" s="126"/>
      <c r="H1115" s="126"/>
      <c r="I1115" s="126"/>
    </row>
    <row r="1116" spans="2:9" hidden="1">
      <c r="B1116" s="126">
        <v>120006</v>
      </c>
      <c r="C1116" s="126">
        <v>200008</v>
      </c>
      <c r="D1116" s="126">
        <v>1</v>
      </c>
      <c r="E1116" s="170">
        <v>470</v>
      </c>
      <c r="F1116" s="126">
        <v>1</v>
      </c>
      <c r="G1116" s="126"/>
      <c r="H1116" s="126"/>
      <c r="I1116" s="126"/>
    </row>
    <row r="1117" spans="2:9" hidden="1">
      <c r="B1117" s="126">
        <v>120006</v>
      </c>
      <c r="C1117" s="168">
        <v>200009</v>
      </c>
      <c r="D1117" s="126">
        <v>1</v>
      </c>
      <c r="E1117" s="170">
        <v>470</v>
      </c>
      <c r="F1117" s="126">
        <v>1</v>
      </c>
      <c r="G1117" s="126"/>
      <c r="H1117" s="126"/>
      <c r="I1117" s="126"/>
    </row>
    <row r="1118" spans="2:9" hidden="1">
      <c r="B1118" s="126">
        <v>120006</v>
      </c>
      <c r="C1118" s="168">
        <v>200010</v>
      </c>
      <c r="D1118" s="126">
        <v>1</v>
      </c>
      <c r="E1118" s="170">
        <v>470</v>
      </c>
      <c r="F1118" s="126">
        <v>1</v>
      </c>
      <c r="G1118" s="126"/>
      <c r="H1118" s="126"/>
      <c r="I1118" s="126"/>
    </row>
    <row r="1119" spans="2:9" hidden="1">
      <c r="B1119" s="126">
        <v>120006</v>
      </c>
      <c r="C1119" s="168">
        <v>200016</v>
      </c>
      <c r="D1119" s="126">
        <v>1</v>
      </c>
      <c r="E1119" s="170">
        <v>470</v>
      </c>
      <c r="F1119" s="126">
        <v>1</v>
      </c>
      <c r="G1119" s="126"/>
      <c r="H1119" s="126"/>
      <c r="I1119" s="126"/>
    </row>
    <row r="1120" spans="2:9" hidden="1">
      <c r="B1120" s="126">
        <v>120006</v>
      </c>
      <c r="C1120" s="168">
        <v>200017</v>
      </c>
      <c r="D1120" s="126">
        <v>1</v>
      </c>
      <c r="E1120" s="170">
        <v>470</v>
      </c>
      <c r="F1120" s="126">
        <v>1</v>
      </c>
      <c r="G1120" s="126"/>
      <c r="H1120" s="126"/>
      <c r="I1120" s="126"/>
    </row>
    <row r="1121" spans="2:9" hidden="1">
      <c r="B1121" s="126">
        <v>120006</v>
      </c>
      <c r="C1121" s="168">
        <v>200018</v>
      </c>
      <c r="D1121" s="126">
        <v>1</v>
      </c>
      <c r="E1121" s="170">
        <v>470</v>
      </c>
      <c r="F1121" s="126">
        <v>1</v>
      </c>
      <c r="G1121" s="126"/>
      <c r="H1121" s="126"/>
      <c r="I1121" s="126"/>
    </row>
    <row r="1122" spans="2:9" hidden="1">
      <c r="B1122" s="126">
        <v>120006</v>
      </c>
      <c r="C1122" s="168">
        <v>200019</v>
      </c>
      <c r="D1122" s="126">
        <v>1</v>
      </c>
      <c r="E1122" s="170">
        <v>470</v>
      </c>
      <c r="F1122" s="126">
        <v>1</v>
      </c>
      <c r="G1122" s="126"/>
      <c r="H1122" s="126"/>
      <c r="I1122" s="126"/>
    </row>
    <row r="1123" spans="2:9" hidden="1">
      <c r="B1123" s="126">
        <v>120006</v>
      </c>
      <c r="C1123" s="168">
        <v>200020</v>
      </c>
      <c r="D1123" s="126">
        <v>1</v>
      </c>
      <c r="E1123" s="170">
        <v>470</v>
      </c>
      <c r="F1123" s="126">
        <v>1</v>
      </c>
      <c r="G1123" s="126"/>
      <c r="H1123" s="126"/>
      <c r="I1123" s="126"/>
    </row>
    <row r="1124" spans="2:9" hidden="1">
      <c r="B1124" s="126">
        <v>120006</v>
      </c>
      <c r="C1124" s="168">
        <v>200021</v>
      </c>
      <c r="D1124" s="126">
        <v>1</v>
      </c>
      <c r="E1124" s="170">
        <v>470</v>
      </c>
      <c r="F1124" s="126">
        <v>1</v>
      </c>
      <c r="G1124" s="126"/>
      <c r="H1124" s="126"/>
      <c r="I1124" s="126"/>
    </row>
    <row r="1125" spans="2:9" hidden="1">
      <c r="B1125" s="126">
        <v>120006</v>
      </c>
      <c r="C1125" s="168">
        <v>200024</v>
      </c>
      <c r="D1125" s="126">
        <v>1</v>
      </c>
      <c r="E1125" s="170">
        <v>470</v>
      </c>
      <c r="F1125" s="126">
        <v>1</v>
      </c>
      <c r="G1125" s="126"/>
      <c r="H1125" s="126"/>
      <c r="I1125" s="126"/>
    </row>
    <row r="1126" spans="2:9" hidden="1">
      <c r="B1126" s="126">
        <v>120006</v>
      </c>
      <c r="C1126" s="168">
        <v>200026</v>
      </c>
      <c r="D1126" s="126">
        <v>1</v>
      </c>
      <c r="E1126" s="170">
        <v>470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8">
        <v>200028</v>
      </c>
      <c r="D1127" s="126">
        <v>1</v>
      </c>
      <c r="E1127" s="170">
        <v>470</v>
      </c>
      <c r="F1127" s="126">
        <v>1</v>
      </c>
      <c r="G1127" s="126"/>
      <c r="H1127" s="126"/>
      <c r="I1127" s="126"/>
    </row>
    <row r="1128" spans="2:9" hidden="1">
      <c r="B1128" s="126">
        <v>120006</v>
      </c>
      <c r="C1128" s="168">
        <v>200029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68">
        <v>200032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68">
        <v>200033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68">
        <v>200038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68">
        <v>200044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200046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t="13.5" hidden="1" customHeight="1">
      <c r="B1134" s="126">
        <v>120006</v>
      </c>
      <c r="C1134" s="168">
        <v>200048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t="13.5" hidden="1" customHeight="1">
      <c r="B1135" s="126">
        <v>120006</v>
      </c>
      <c r="C1135" s="168">
        <v>200053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t="13.5" hidden="1" customHeight="1">
      <c r="B1136" s="126">
        <v>120006</v>
      </c>
      <c r="C1136" s="168">
        <v>200059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26">
        <v>200066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26">
        <v>200067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26">
        <v>200068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26">
        <v>200069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26">
        <v>200070</v>
      </c>
      <c r="D1141" s="126">
        <v>1</v>
      </c>
      <c r="E1141" s="170">
        <v>3975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26">
        <v>200071</v>
      </c>
      <c r="D1142" s="126">
        <v>1</v>
      </c>
      <c r="E1142" s="170">
        <v>3975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26">
        <v>200072</v>
      </c>
      <c r="D1143" s="126">
        <v>1</v>
      </c>
      <c r="E1143" s="170">
        <v>3975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26">
        <v>200073</v>
      </c>
      <c r="D1144" s="126">
        <v>1</v>
      </c>
      <c r="E1144" s="170">
        <v>3975</v>
      </c>
      <c r="F1144" s="126">
        <v>1</v>
      </c>
      <c r="G1144" s="126"/>
      <c r="H1144" s="126"/>
      <c r="I1144" s="126"/>
    </row>
    <row r="1145" spans="2:9" hidden="1">
      <c r="B1145" s="213">
        <v>120007</v>
      </c>
      <c r="C1145" s="214">
        <v>200003</v>
      </c>
      <c r="D1145" s="213">
        <v>1</v>
      </c>
      <c r="E1145" s="233">
        <v>440</v>
      </c>
      <c r="F1145" s="213">
        <v>1</v>
      </c>
      <c r="G1145" s="213"/>
      <c r="H1145" s="213"/>
      <c r="I1145" s="214" t="s">
        <v>1818</v>
      </c>
    </row>
    <row r="1146" spans="2:9" hidden="1">
      <c r="B1146" s="213">
        <v>120007</v>
      </c>
      <c r="C1146" s="214">
        <v>200004</v>
      </c>
      <c r="D1146" s="213">
        <v>1</v>
      </c>
      <c r="E1146" s="233">
        <v>440</v>
      </c>
      <c r="F1146" s="213">
        <v>1</v>
      </c>
      <c r="G1146" s="213"/>
      <c r="H1146" s="213"/>
      <c r="I1146" s="213"/>
    </row>
    <row r="1147" spans="2:9" hidden="1">
      <c r="B1147" s="213">
        <v>120007</v>
      </c>
      <c r="C1147" s="213">
        <v>200005</v>
      </c>
      <c r="D1147" s="213">
        <v>1</v>
      </c>
      <c r="E1147" s="233">
        <v>440</v>
      </c>
      <c r="F1147" s="213">
        <v>1</v>
      </c>
      <c r="G1147" s="213"/>
      <c r="H1147" s="213"/>
      <c r="I1147" s="213"/>
    </row>
    <row r="1148" spans="2:9" hidden="1">
      <c r="B1148" s="213">
        <v>120007</v>
      </c>
      <c r="C1148" s="213">
        <v>200006</v>
      </c>
      <c r="D1148" s="213">
        <v>1</v>
      </c>
      <c r="E1148" s="233">
        <v>440</v>
      </c>
      <c r="F1148" s="213">
        <v>1</v>
      </c>
      <c r="G1148" s="213"/>
      <c r="H1148" s="213"/>
      <c r="I1148" s="213"/>
    </row>
    <row r="1149" spans="2:9" hidden="1">
      <c r="B1149" s="213">
        <v>120007</v>
      </c>
      <c r="C1149" s="213">
        <v>200007</v>
      </c>
      <c r="D1149" s="213">
        <v>1</v>
      </c>
      <c r="E1149" s="233">
        <v>440</v>
      </c>
      <c r="F1149" s="213">
        <v>1</v>
      </c>
      <c r="G1149" s="213"/>
      <c r="H1149" s="213"/>
      <c r="I1149" s="213"/>
    </row>
    <row r="1150" spans="2:9" hidden="1">
      <c r="B1150" s="213">
        <v>120007</v>
      </c>
      <c r="C1150" s="213">
        <v>200008</v>
      </c>
      <c r="D1150" s="213">
        <v>1</v>
      </c>
      <c r="E1150" s="233">
        <v>440</v>
      </c>
      <c r="F1150" s="213">
        <v>1</v>
      </c>
      <c r="G1150" s="213"/>
      <c r="H1150" s="213"/>
      <c r="I1150" s="213"/>
    </row>
    <row r="1151" spans="2:9" hidden="1">
      <c r="B1151" s="213">
        <v>120007</v>
      </c>
      <c r="C1151" s="215">
        <v>200009</v>
      </c>
      <c r="D1151" s="213">
        <v>1</v>
      </c>
      <c r="E1151" s="233">
        <v>440</v>
      </c>
      <c r="F1151" s="213">
        <v>1</v>
      </c>
      <c r="G1151" s="213"/>
      <c r="H1151" s="213"/>
      <c r="I1151" s="213"/>
    </row>
    <row r="1152" spans="2:9" hidden="1">
      <c r="B1152" s="213">
        <v>120007</v>
      </c>
      <c r="C1152" s="215">
        <v>200010</v>
      </c>
      <c r="D1152" s="213">
        <v>1</v>
      </c>
      <c r="E1152" s="233">
        <v>440</v>
      </c>
      <c r="F1152" s="213">
        <v>1</v>
      </c>
      <c r="G1152" s="213"/>
      <c r="H1152" s="213"/>
      <c r="I1152" s="213"/>
    </row>
    <row r="1153" spans="2:9" hidden="1">
      <c r="B1153" s="213">
        <v>120007</v>
      </c>
      <c r="C1153" s="215">
        <v>200016</v>
      </c>
      <c r="D1153" s="213">
        <v>1</v>
      </c>
      <c r="E1153" s="233">
        <v>440</v>
      </c>
      <c r="F1153" s="213">
        <v>1</v>
      </c>
      <c r="G1153" s="213"/>
      <c r="H1153" s="213"/>
      <c r="I1153" s="213"/>
    </row>
    <row r="1154" spans="2:9" hidden="1">
      <c r="B1154" s="213">
        <v>120007</v>
      </c>
      <c r="C1154" s="215">
        <v>200017</v>
      </c>
      <c r="D1154" s="213">
        <v>1</v>
      </c>
      <c r="E1154" s="233">
        <v>7840</v>
      </c>
      <c r="F1154" s="213">
        <v>1</v>
      </c>
      <c r="G1154" s="213"/>
      <c r="H1154" s="213"/>
      <c r="I1154" s="213"/>
    </row>
    <row r="1155" spans="2:9" hidden="1">
      <c r="B1155" s="213">
        <v>120007</v>
      </c>
      <c r="C1155" s="215">
        <v>200018</v>
      </c>
      <c r="D1155" s="213">
        <v>1</v>
      </c>
      <c r="E1155" s="233">
        <v>7840</v>
      </c>
      <c r="F1155" s="213">
        <v>1</v>
      </c>
      <c r="G1155" s="213"/>
      <c r="H1155" s="213"/>
      <c r="I1155" s="213"/>
    </row>
    <row r="1156" spans="2:9" hidden="1">
      <c r="B1156" s="213">
        <v>120007</v>
      </c>
      <c r="C1156" s="215">
        <v>200019</v>
      </c>
      <c r="D1156" s="213">
        <v>1</v>
      </c>
      <c r="E1156" s="233">
        <v>440</v>
      </c>
      <c r="F1156" s="213">
        <v>1</v>
      </c>
      <c r="G1156" s="213"/>
      <c r="H1156" s="213"/>
      <c r="I1156" s="213"/>
    </row>
    <row r="1157" spans="2:9" hidden="1">
      <c r="B1157" s="213">
        <v>120007</v>
      </c>
      <c r="C1157" s="215">
        <v>200020</v>
      </c>
      <c r="D1157" s="213">
        <v>1</v>
      </c>
      <c r="E1157" s="233">
        <v>440</v>
      </c>
      <c r="F1157" s="213">
        <v>1</v>
      </c>
      <c r="G1157" s="213"/>
      <c r="H1157" s="213"/>
      <c r="I1157" s="213"/>
    </row>
    <row r="1158" spans="2:9" hidden="1">
      <c r="B1158" s="213">
        <v>120007</v>
      </c>
      <c r="C1158" s="215">
        <v>200021</v>
      </c>
      <c r="D1158" s="213">
        <v>1</v>
      </c>
      <c r="E1158" s="233">
        <v>440</v>
      </c>
      <c r="F1158" s="213">
        <v>1</v>
      </c>
      <c r="G1158" s="213"/>
      <c r="H1158" s="213"/>
      <c r="I1158" s="213"/>
    </row>
    <row r="1159" spans="2:9" hidden="1">
      <c r="B1159" s="213">
        <v>120007</v>
      </c>
      <c r="C1159" s="215">
        <v>200024</v>
      </c>
      <c r="D1159" s="213">
        <v>1</v>
      </c>
      <c r="E1159" s="233">
        <v>440</v>
      </c>
      <c r="F1159" s="213">
        <v>1</v>
      </c>
      <c r="G1159" s="213"/>
      <c r="H1159" s="213"/>
      <c r="I1159" s="213"/>
    </row>
    <row r="1160" spans="2:9" hidden="1">
      <c r="B1160" s="213">
        <v>120007</v>
      </c>
      <c r="C1160" s="215">
        <v>200026</v>
      </c>
      <c r="D1160" s="213">
        <v>1</v>
      </c>
      <c r="E1160" s="233">
        <v>440</v>
      </c>
      <c r="F1160" s="213">
        <v>1</v>
      </c>
      <c r="G1160" s="213"/>
      <c r="H1160" s="213"/>
      <c r="I1160" s="213"/>
    </row>
    <row r="1161" spans="2:9" hidden="1">
      <c r="B1161" s="213">
        <v>120007</v>
      </c>
      <c r="C1161" s="215">
        <v>200028</v>
      </c>
      <c r="D1161" s="213">
        <v>1</v>
      </c>
      <c r="E1161" s="233">
        <v>440</v>
      </c>
      <c r="F1161" s="213">
        <v>1</v>
      </c>
      <c r="G1161" s="213"/>
      <c r="H1161" s="213"/>
      <c r="I1161" s="213"/>
    </row>
    <row r="1162" spans="2:9" hidden="1">
      <c r="B1162" s="213">
        <v>120007</v>
      </c>
      <c r="C1162" s="215">
        <v>200029</v>
      </c>
      <c r="D1162" s="213">
        <v>1</v>
      </c>
      <c r="E1162" s="233">
        <v>440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5">
        <v>200032</v>
      </c>
      <c r="D1163" s="213">
        <v>1</v>
      </c>
      <c r="E1163" s="233">
        <v>440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5">
        <v>200033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5">
        <v>200038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5">
        <v>200044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200046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t="13.5" hidden="1" customHeight="1">
      <c r="B1168" s="213">
        <v>120007</v>
      </c>
      <c r="C1168" s="215">
        <v>200048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t="13.5" hidden="1" customHeight="1">
      <c r="B1169" s="213">
        <v>120007</v>
      </c>
      <c r="C1169" s="215">
        <v>200053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t="13.5" hidden="1" customHeight="1">
      <c r="B1170" s="213">
        <v>120007</v>
      </c>
      <c r="C1170" s="215">
        <v>200059</v>
      </c>
      <c r="D1170" s="213">
        <v>1</v>
      </c>
      <c r="E1170" s="233">
        <v>440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3">
        <v>200066</v>
      </c>
      <c r="D1171" s="213">
        <v>1</v>
      </c>
      <c r="E1171" s="233">
        <v>440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3">
        <v>200067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3">
        <v>200068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3">
        <v>200069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120008</v>
      </c>
      <c r="C1175" s="214">
        <v>200003</v>
      </c>
      <c r="D1175" s="213">
        <v>1</v>
      </c>
      <c r="E1175" s="233">
        <v>440</v>
      </c>
      <c r="F1175" s="213">
        <v>1</v>
      </c>
      <c r="G1175" s="213"/>
      <c r="H1175" s="213"/>
      <c r="I1175" s="9" t="s">
        <v>1825</v>
      </c>
    </row>
    <row r="1176" spans="2:9" hidden="1">
      <c r="B1176" s="213">
        <v>120008</v>
      </c>
      <c r="C1176" s="214">
        <v>200004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idden="1">
      <c r="B1177" s="213">
        <v>120008</v>
      </c>
      <c r="C1177" s="213">
        <v>200005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idden="1">
      <c r="B1178" s="213">
        <v>120008</v>
      </c>
      <c r="C1178" s="213">
        <v>200006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120008</v>
      </c>
      <c r="C1179" s="213">
        <v>200007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120008</v>
      </c>
      <c r="C1180" s="213">
        <v>200008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120008</v>
      </c>
      <c r="C1181" s="215">
        <v>200009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120008</v>
      </c>
      <c r="C1182" s="215">
        <v>200010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120008</v>
      </c>
      <c r="C1183" s="215">
        <v>200016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idden="1">
      <c r="B1184" s="213">
        <v>120008</v>
      </c>
      <c r="C1184" s="215">
        <v>200017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idden="1">
      <c r="B1185" s="213">
        <v>120008</v>
      </c>
      <c r="C1185" s="215">
        <v>200018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idden="1">
      <c r="B1186" s="213">
        <v>120008</v>
      </c>
      <c r="C1186" s="215">
        <v>200019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120008</v>
      </c>
      <c r="C1187" s="215">
        <v>200020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120008</v>
      </c>
      <c r="C1188" s="215">
        <v>200021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120008</v>
      </c>
      <c r="C1189" s="215">
        <v>200024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120008</v>
      </c>
      <c r="C1190" s="215">
        <v>200026</v>
      </c>
      <c r="D1190" s="213">
        <v>1</v>
      </c>
      <c r="E1190" s="233">
        <v>7840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5">
        <v>200028</v>
      </c>
      <c r="D1191" s="213">
        <v>1</v>
      </c>
      <c r="E1191" s="233">
        <v>440</v>
      </c>
      <c r="F1191" s="213">
        <v>1</v>
      </c>
      <c r="G1191" s="213"/>
      <c r="H1191" s="213"/>
      <c r="I1191" s="213"/>
    </row>
    <row r="1192" spans="2:9" hidden="1">
      <c r="B1192" s="213">
        <v>120008</v>
      </c>
      <c r="C1192" s="215">
        <v>200029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5">
        <v>200032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5">
        <v>200033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5">
        <v>200038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5">
        <v>200044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200046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t="13.5" hidden="1" customHeight="1">
      <c r="B1198" s="213">
        <v>120008</v>
      </c>
      <c r="C1198" s="215">
        <v>200048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t="13.5" hidden="1" customHeight="1">
      <c r="B1199" s="213">
        <v>120008</v>
      </c>
      <c r="C1199" s="215">
        <v>200053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t="13.5" hidden="1" customHeight="1">
      <c r="B1200" s="213">
        <v>120008</v>
      </c>
      <c r="C1200" s="215">
        <v>200059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3">
        <v>200066</v>
      </c>
      <c r="D1201" s="213">
        <v>1</v>
      </c>
      <c r="E1201" s="233">
        <v>7840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3">
        <v>200067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3">
        <v>200068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3">
        <v>200069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0">
        <v>120009</v>
      </c>
      <c r="C1205" s="209">
        <v>200003</v>
      </c>
      <c r="D1205" s="210">
        <v>1</v>
      </c>
      <c r="E1205" s="211">
        <v>410</v>
      </c>
      <c r="F1205" s="210">
        <v>1</v>
      </c>
      <c r="G1205" s="210"/>
      <c r="H1205" s="210"/>
      <c r="I1205" s="209" t="s">
        <v>1843</v>
      </c>
    </row>
    <row r="1206" spans="2:9" hidden="1">
      <c r="B1206" s="210">
        <v>120009</v>
      </c>
      <c r="C1206" s="209">
        <v>200004</v>
      </c>
      <c r="D1206" s="210">
        <v>1</v>
      </c>
      <c r="E1206" s="211">
        <v>410</v>
      </c>
      <c r="F1206" s="210">
        <v>1</v>
      </c>
      <c r="G1206" s="210"/>
      <c r="H1206" s="210"/>
      <c r="I1206" s="210"/>
    </row>
    <row r="1207" spans="2:9" hidden="1">
      <c r="B1207" s="210">
        <v>120009</v>
      </c>
      <c r="C1207" s="210">
        <v>200005</v>
      </c>
      <c r="D1207" s="210">
        <v>1</v>
      </c>
      <c r="E1207" s="211">
        <v>410</v>
      </c>
      <c r="F1207" s="210">
        <v>1</v>
      </c>
      <c r="G1207" s="210"/>
      <c r="H1207" s="210"/>
      <c r="I1207" s="210"/>
    </row>
    <row r="1208" spans="2:9" hidden="1">
      <c r="B1208" s="210">
        <v>120009</v>
      </c>
      <c r="C1208" s="210">
        <v>200006</v>
      </c>
      <c r="D1208" s="210">
        <v>1</v>
      </c>
      <c r="E1208" s="211">
        <v>410</v>
      </c>
      <c r="F1208" s="210">
        <v>1</v>
      </c>
      <c r="G1208" s="210"/>
      <c r="H1208" s="210"/>
      <c r="I1208" s="210"/>
    </row>
    <row r="1209" spans="2:9" hidden="1">
      <c r="B1209" s="210">
        <v>120009</v>
      </c>
      <c r="C1209" s="210">
        <v>200007</v>
      </c>
      <c r="D1209" s="210">
        <v>1</v>
      </c>
      <c r="E1209" s="211">
        <v>410</v>
      </c>
      <c r="F1209" s="210">
        <v>1</v>
      </c>
      <c r="G1209" s="210"/>
      <c r="H1209" s="210"/>
      <c r="I1209" s="210"/>
    </row>
    <row r="1210" spans="2:9" hidden="1">
      <c r="B1210" s="210">
        <v>120009</v>
      </c>
      <c r="C1210" s="210">
        <v>200008</v>
      </c>
      <c r="D1210" s="210">
        <v>1</v>
      </c>
      <c r="E1210" s="211">
        <v>410</v>
      </c>
      <c r="F1210" s="210">
        <v>1</v>
      </c>
      <c r="G1210" s="210"/>
      <c r="H1210" s="210"/>
      <c r="I1210" s="210"/>
    </row>
    <row r="1211" spans="2:9" hidden="1">
      <c r="B1211" s="210">
        <v>120009</v>
      </c>
      <c r="C1211" s="237">
        <v>200009</v>
      </c>
      <c r="D1211" s="210">
        <v>1</v>
      </c>
      <c r="E1211" s="211">
        <v>410</v>
      </c>
      <c r="F1211" s="210">
        <v>1</v>
      </c>
      <c r="G1211" s="210"/>
      <c r="H1211" s="210"/>
      <c r="I1211" s="210"/>
    </row>
    <row r="1212" spans="2:9" hidden="1">
      <c r="B1212" s="210">
        <v>120009</v>
      </c>
      <c r="C1212" s="237">
        <v>200010</v>
      </c>
      <c r="D1212" s="210">
        <v>1</v>
      </c>
      <c r="E1212" s="211">
        <v>410</v>
      </c>
      <c r="F1212" s="210">
        <v>1</v>
      </c>
      <c r="G1212" s="210"/>
      <c r="H1212" s="210"/>
      <c r="I1212" s="210"/>
    </row>
    <row r="1213" spans="2:9" hidden="1">
      <c r="B1213" s="210">
        <v>120009</v>
      </c>
      <c r="C1213" s="237">
        <v>200016</v>
      </c>
      <c r="D1213" s="210">
        <v>1</v>
      </c>
      <c r="E1213" s="211">
        <v>410</v>
      </c>
      <c r="F1213" s="210">
        <v>1</v>
      </c>
      <c r="G1213" s="210"/>
      <c r="H1213" s="210"/>
      <c r="I1213" s="210"/>
    </row>
    <row r="1214" spans="2:9" hidden="1">
      <c r="B1214" s="210">
        <v>120009</v>
      </c>
      <c r="C1214" s="237">
        <v>200017</v>
      </c>
      <c r="D1214" s="210">
        <v>1</v>
      </c>
      <c r="E1214" s="211">
        <v>410</v>
      </c>
      <c r="F1214" s="210">
        <v>1</v>
      </c>
      <c r="G1214" s="210"/>
      <c r="H1214" s="210"/>
      <c r="I1214" s="210"/>
    </row>
    <row r="1215" spans="2:9" hidden="1">
      <c r="B1215" s="210">
        <v>120009</v>
      </c>
      <c r="C1215" s="237">
        <v>200018</v>
      </c>
      <c r="D1215" s="210">
        <v>1</v>
      </c>
      <c r="E1215" s="211">
        <v>410</v>
      </c>
      <c r="F1215" s="210">
        <v>1</v>
      </c>
      <c r="G1215" s="210"/>
      <c r="H1215" s="210"/>
      <c r="I1215" s="210"/>
    </row>
    <row r="1216" spans="2:9" hidden="1">
      <c r="B1216" s="210">
        <v>120009</v>
      </c>
      <c r="C1216" s="237">
        <v>200019</v>
      </c>
      <c r="D1216" s="210">
        <v>1</v>
      </c>
      <c r="E1216" s="211">
        <v>410</v>
      </c>
      <c r="F1216" s="210">
        <v>1</v>
      </c>
      <c r="G1216" s="210"/>
      <c r="H1216" s="210"/>
      <c r="I1216" s="210"/>
    </row>
    <row r="1217" spans="2:9" hidden="1">
      <c r="B1217" s="210">
        <v>120009</v>
      </c>
      <c r="C1217" s="237">
        <v>200020</v>
      </c>
      <c r="D1217" s="210">
        <v>1</v>
      </c>
      <c r="E1217" s="211">
        <v>410</v>
      </c>
      <c r="F1217" s="210">
        <v>1</v>
      </c>
      <c r="G1217" s="210"/>
      <c r="H1217" s="210"/>
      <c r="I1217" s="210"/>
    </row>
    <row r="1218" spans="2:9" hidden="1">
      <c r="B1218" s="210">
        <v>120009</v>
      </c>
      <c r="C1218" s="237">
        <v>200021</v>
      </c>
      <c r="D1218" s="210">
        <v>1</v>
      </c>
      <c r="E1218" s="211">
        <v>410</v>
      </c>
      <c r="F1218" s="210">
        <v>1</v>
      </c>
      <c r="G1218" s="210"/>
      <c r="H1218" s="210"/>
      <c r="I1218" s="210"/>
    </row>
    <row r="1219" spans="2:9" hidden="1">
      <c r="B1219" s="210">
        <v>120009</v>
      </c>
      <c r="C1219" s="237">
        <v>200024</v>
      </c>
      <c r="D1219" s="210">
        <v>1</v>
      </c>
      <c r="E1219" s="211">
        <v>410</v>
      </c>
      <c r="F1219" s="210">
        <v>1</v>
      </c>
      <c r="G1219" s="210"/>
      <c r="H1219" s="210"/>
      <c r="I1219" s="210"/>
    </row>
    <row r="1220" spans="2:9" hidden="1">
      <c r="B1220" s="210">
        <v>120009</v>
      </c>
      <c r="C1220" s="237">
        <v>200026</v>
      </c>
      <c r="D1220" s="210">
        <v>1</v>
      </c>
      <c r="E1220" s="211">
        <v>410</v>
      </c>
      <c r="F1220" s="210">
        <v>1</v>
      </c>
      <c r="G1220" s="210"/>
      <c r="H1220" s="210"/>
      <c r="I1220" s="210"/>
    </row>
    <row r="1221" spans="2:9" hidden="1">
      <c r="B1221" s="210">
        <v>120009</v>
      </c>
      <c r="C1221" s="237">
        <v>200028</v>
      </c>
      <c r="D1221" s="210">
        <v>1</v>
      </c>
      <c r="E1221" s="211">
        <v>410</v>
      </c>
      <c r="F1221" s="210">
        <v>1</v>
      </c>
      <c r="G1221" s="210"/>
      <c r="H1221" s="210"/>
      <c r="I1221" s="210"/>
    </row>
    <row r="1222" spans="2:9" hidden="1">
      <c r="B1222" s="210">
        <v>120009</v>
      </c>
      <c r="C1222" s="237">
        <v>200029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37">
        <v>200032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37">
        <v>200033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37">
        <v>200038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37">
        <v>200044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200046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t="13.5" hidden="1" customHeight="1">
      <c r="B1228" s="210">
        <v>120009</v>
      </c>
      <c r="C1228" s="237">
        <v>200048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t="13.5" hidden="1" customHeight="1">
      <c r="B1229" s="210">
        <v>120009</v>
      </c>
      <c r="C1229" s="237">
        <v>200053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t="13.5" hidden="1" customHeight="1">
      <c r="B1230" s="210">
        <v>120009</v>
      </c>
      <c r="C1230" s="237">
        <v>200059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10">
        <v>200066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10">
        <v>200067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10">
        <v>200068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10">
        <v>200069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10">
        <v>200074</v>
      </c>
      <c r="D1235" s="210">
        <v>1</v>
      </c>
      <c r="E1235" s="211">
        <v>17700</v>
      </c>
      <c r="F1235" s="210">
        <v>1</v>
      </c>
      <c r="G1235" s="210"/>
      <c r="H1235" s="210"/>
      <c r="I1235" s="210"/>
    </row>
    <row r="1236" spans="2:9" hidden="1">
      <c r="B1236" s="210">
        <v>120010</v>
      </c>
      <c r="C1236" s="209">
        <v>200003</v>
      </c>
      <c r="D1236" s="210">
        <v>1</v>
      </c>
      <c r="E1236" s="211">
        <v>410</v>
      </c>
      <c r="F1236" s="210">
        <v>1</v>
      </c>
      <c r="G1236" s="210"/>
      <c r="H1236" s="210"/>
      <c r="I1236" s="209" t="s">
        <v>1844</v>
      </c>
    </row>
    <row r="1237" spans="2:9" hidden="1">
      <c r="B1237" s="210">
        <v>120010</v>
      </c>
      <c r="C1237" s="209">
        <v>200004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120010</v>
      </c>
      <c r="C1238" s="210">
        <v>200005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120010</v>
      </c>
      <c r="C1239" s="210">
        <v>200006</v>
      </c>
      <c r="D1239" s="210">
        <v>1</v>
      </c>
      <c r="E1239" s="211">
        <v>8555</v>
      </c>
      <c r="F1239" s="210">
        <v>1</v>
      </c>
      <c r="G1239" s="210"/>
      <c r="H1239" s="210"/>
      <c r="I1239" s="210"/>
    </row>
    <row r="1240" spans="2:9" hidden="1">
      <c r="B1240" s="210">
        <v>120010</v>
      </c>
      <c r="C1240" s="210">
        <v>200007</v>
      </c>
      <c r="D1240" s="210">
        <v>1</v>
      </c>
      <c r="E1240" s="211">
        <v>8555</v>
      </c>
      <c r="F1240" s="210">
        <v>1</v>
      </c>
      <c r="G1240" s="210"/>
      <c r="H1240" s="210"/>
      <c r="I1240" s="210"/>
    </row>
    <row r="1241" spans="2:9" hidden="1">
      <c r="B1241" s="210">
        <v>120010</v>
      </c>
      <c r="C1241" s="210">
        <v>200008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120010</v>
      </c>
      <c r="C1242" s="237">
        <v>200009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120010</v>
      </c>
      <c r="C1243" s="237">
        <v>200010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idden="1">
      <c r="B1244" s="210">
        <v>120010</v>
      </c>
      <c r="C1244" s="237">
        <v>200016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idden="1">
      <c r="B1245" s="210">
        <v>120010</v>
      </c>
      <c r="C1245" s="237">
        <v>200017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idden="1">
      <c r="B1246" s="210">
        <v>120010</v>
      </c>
      <c r="C1246" s="237">
        <v>200018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120010</v>
      </c>
      <c r="C1247" s="237">
        <v>200019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120010</v>
      </c>
      <c r="C1248" s="237">
        <v>200020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120010</v>
      </c>
      <c r="C1249" s="237">
        <v>200021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120010</v>
      </c>
      <c r="C1250" s="237">
        <v>200024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120010</v>
      </c>
      <c r="C1251" s="237">
        <v>200026</v>
      </c>
      <c r="D1251" s="210">
        <v>1</v>
      </c>
      <c r="E1251" s="211">
        <v>410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37">
        <v>200028</v>
      </c>
      <c r="D1252" s="210">
        <v>1</v>
      </c>
      <c r="E1252" s="211">
        <v>410</v>
      </c>
      <c r="F1252" s="210">
        <v>1</v>
      </c>
      <c r="G1252" s="210"/>
      <c r="H1252" s="210"/>
      <c r="I1252" s="210"/>
    </row>
    <row r="1253" spans="2:9" hidden="1">
      <c r="B1253" s="210">
        <v>120010</v>
      </c>
      <c r="C1253" s="237">
        <v>200029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37">
        <v>200032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37">
        <v>200033</v>
      </c>
      <c r="D1255" s="210">
        <v>1</v>
      </c>
      <c r="E1255" s="211">
        <v>410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37">
        <v>200038</v>
      </c>
      <c r="D1256" s="210">
        <v>1</v>
      </c>
      <c r="E1256" s="211">
        <v>410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37">
        <v>200044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200046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t="13.5" hidden="1" customHeight="1">
      <c r="B1259" s="210">
        <v>120010</v>
      </c>
      <c r="C1259" s="237">
        <v>200048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t="13.5" hidden="1" customHeight="1">
      <c r="B1260" s="210">
        <v>120010</v>
      </c>
      <c r="C1260" s="237">
        <v>200053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t="13.5" hidden="1" customHeight="1">
      <c r="B1261" s="210">
        <v>120010</v>
      </c>
      <c r="C1261" s="237">
        <v>200059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10">
        <v>200066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10">
        <v>200067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10">
        <v>200068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10">
        <v>200069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10">
        <v>200074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120011</v>
      </c>
      <c r="C1267" s="209">
        <v>200003</v>
      </c>
      <c r="D1267" s="210">
        <v>1</v>
      </c>
      <c r="E1267" s="211">
        <v>410</v>
      </c>
      <c r="F1267" s="210">
        <v>1</v>
      </c>
      <c r="G1267" s="210"/>
      <c r="H1267" s="210"/>
      <c r="I1267" s="209" t="s">
        <v>1845</v>
      </c>
    </row>
    <row r="1268" spans="2:9" hidden="1">
      <c r="B1268" s="210">
        <v>120011</v>
      </c>
      <c r="C1268" s="209">
        <v>200004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120011</v>
      </c>
      <c r="C1269" s="210">
        <v>200005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120011</v>
      </c>
      <c r="C1270" s="210">
        <v>200006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120011</v>
      </c>
      <c r="C1271" s="210">
        <v>200007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120011</v>
      </c>
      <c r="C1272" s="210">
        <v>200008</v>
      </c>
      <c r="D1272" s="210">
        <v>1</v>
      </c>
      <c r="E1272" s="211">
        <v>8555</v>
      </c>
      <c r="F1272" s="210">
        <v>1</v>
      </c>
      <c r="G1272" s="210"/>
      <c r="H1272" s="210"/>
      <c r="I1272" s="210"/>
    </row>
    <row r="1273" spans="2:9" hidden="1">
      <c r="B1273" s="210">
        <v>120011</v>
      </c>
      <c r="C1273" s="237">
        <v>200009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120011</v>
      </c>
      <c r="C1274" s="237">
        <v>200010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idden="1">
      <c r="B1275" s="210">
        <v>120011</v>
      </c>
      <c r="C1275" s="237">
        <v>200016</v>
      </c>
      <c r="D1275" s="210">
        <v>1</v>
      </c>
      <c r="E1275" s="211">
        <v>8555</v>
      </c>
      <c r="F1275" s="210">
        <v>1</v>
      </c>
      <c r="G1275" s="210"/>
      <c r="H1275" s="210"/>
      <c r="I1275" s="210"/>
    </row>
    <row r="1276" spans="2:9" hidden="1">
      <c r="B1276" s="210">
        <v>120011</v>
      </c>
      <c r="C1276" s="237">
        <v>200017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idden="1">
      <c r="B1277" s="210">
        <v>120011</v>
      </c>
      <c r="C1277" s="237">
        <v>200018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120011</v>
      </c>
      <c r="C1278" s="237">
        <v>200019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120011</v>
      </c>
      <c r="C1279" s="237">
        <v>200020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120011</v>
      </c>
      <c r="C1280" s="237">
        <v>200021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idden="1">
      <c r="B1281" s="210">
        <v>120011</v>
      </c>
      <c r="C1281" s="237">
        <v>200024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120011</v>
      </c>
      <c r="C1282" s="237">
        <v>200026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37">
        <v>200028</v>
      </c>
      <c r="D1283" s="210">
        <v>1</v>
      </c>
      <c r="E1283" s="211">
        <v>410</v>
      </c>
      <c r="F1283" s="210">
        <v>1</v>
      </c>
      <c r="G1283" s="210"/>
      <c r="H1283" s="210"/>
      <c r="I1283" s="210"/>
    </row>
    <row r="1284" spans="2:9" hidden="1">
      <c r="B1284" s="210">
        <v>120011</v>
      </c>
      <c r="C1284" s="237">
        <v>200029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37">
        <v>200032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37">
        <v>200033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37">
        <v>200038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37">
        <v>200044</v>
      </c>
      <c r="D1288" s="210">
        <v>1</v>
      </c>
      <c r="E1288" s="211">
        <v>410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200046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t="13.5" hidden="1" customHeight="1">
      <c r="B1290" s="210">
        <v>120011</v>
      </c>
      <c r="C1290" s="237">
        <v>200048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t="13.5" hidden="1" customHeight="1">
      <c r="B1291" s="210">
        <v>120011</v>
      </c>
      <c r="C1291" s="237">
        <v>200053</v>
      </c>
      <c r="D1291" s="210">
        <v>1</v>
      </c>
      <c r="E1291" s="211">
        <v>410</v>
      </c>
      <c r="F1291" s="210">
        <v>1</v>
      </c>
      <c r="G1291" s="210"/>
      <c r="H1291" s="210"/>
      <c r="I1291" s="210"/>
    </row>
    <row r="1292" spans="2:9" ht="13.5" hidden="1" customHeight="1">
      <c r="B1292" s="210">
        <v>120011</v>
      </c>
      <c r="C1292" s="237">
        <v>200059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10">
        <v>200066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10">
        <v>200067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10">
        <v>200068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10">
        <v>200069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10">
        <v>200074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idden="1">
      <c r="B1298" s="216">
        <v>120012</v>
      </c>
      <c r="C1298" s="217">
        <v>200003</v>
      </c>
      <c r="D1298" s="216">
        <v>1</v>
      </c>
      <c r="E1298" s="231">
        <v>410</v>
      </c>
      <c r="F1298" s="216">
        <v>1</v>
      </c>
      <c r="G1298" s="216"/>
      <c r="H1298" s="216"/>
      <c r="I1298" s="217" t="s">
        <v>1854</v>
      </c>
    </row>
    <row r="1299" spans="2:9" hidden="1">
      <c r="B1299" s="216">
        <v>120012</v>
      </c>
      <c r="C1299" s="217">
        <v>200004</v>
      </c>
      <c r="D1299" s="216">
        <v>1</v>
      </c>
      <c r="E1299" s="231">
        <v>410</v>
      </c>
      <c r="F1299" s="216">
        <v>1</v>
      </c>
      <c r="G1299" s="216"/>
      <c r="H1299" s="216"/>
      <c r="I1299" s="216"/>
    </row>
    <row r="1300" spans="2:9" hidden="1">
      <c r="B1300" s="216">
        <v>120012</v>
      </c>
      <c r="C1300" s="216">
        <v>200005</v>
      </c>
      <c r="D1300" s="216">
        <v>1</v>
      </c>
      <c r="E1300" s="231">
        <v>410</v>
      </c>
      <c r="F1300" s="216">
        <v>1</v>
      </c>
      <c r="G1300" s="216"/>
      <c r="H1300" s="216"/>
      <c r="I1300" s="216"/>
    </row>
    <row r="1301" spans="2:9" hidden="1">
      <c r="B1301" s="216">
        <v>120012</v>
      </c>
      <c r="C1301" s="216">
        <v>200006</v>
      </c>
      <c r="D1301" s="216">
        <v>1</v>
      </c>
      <c r="E1301" s="231">
        <v>410</v>
      </c>
      <c r="F1301" s="216">
        <v>1</v>
      </c>
      <c r="G1301" s="216"/>
      <c r="H1301" s="216"/>
      <c r="I1301" s="216"/>
    </row>
    <row r="1302" spans="2:9" hidden="1">
      <c r="B1302" s="216">
        <v>120012</v>
      </c>
      <c r="C1302" s="216">
        <v>200007</v>
      </c>
      <c r="D1302" s="216">
        <v>1</v>
      </c>
      <c r="E1302" s="231">
        <v>410</v>
      </c>
      <c r="F1302" s="216">
        <v>1</v>
      </c>
      <c r="G1302" s="216"/>
      <c r="H1302" s="216"/>
      <c r="I1302" s="216"/>
    </row>
    <row r="1303" spans="2:9" hidden="1">
      <c r="B1303" s="216">
        <v>120012</v>
      </c>
      <c r="C1303" s="216">
        <v>200008</v>
      </c>
      <c r="D1303" s="216">
        <v>1</v>
      </c>
      <c r="E1303" s="231">
        <v>410</v>
      </c>
      <c r="F1303" s="216">
        <v>1</v>
      </c>
      <c r="G1303" s="216"/>
      <c r="H1303" s="216"/>
      <c r="I1303" s="216"/>
    </row>
    <row r="1304" spans="2:9" hidden="1">
      <c r="B1304" s="216">
        <v>120012</v>
      </c>
      <c r="C1304" s="222">
        <v>200009</v>
      </c>
      <c r="D1304" s="216">
        <v>1</v>
      </c>
      <c r="E1304" s="231">
        <v>410</v>
      </c>
      <c r="F1304" s="216">
        <v>1</v>
      </c>
      <c r="G1304" s="216"/>
      <c r="H1304" s="216"/>
      <c r="I1304" s="216"/>
    </row>
    <row r="1305" spans="2:9" hidden="1">
      <c r="B1305" s="216">
        <v>120012</v>
      </c>
      <c r="C1305" s="222">
        <v>200010</v>
      </c>
      <c r="D1305" s="216">
        <v>1</v>
      </c>
      <c r="E1305" s="231">
        <v>410</v>
      </c>
      <c r="F1305" s="216">
        <v>1</v>
      </c>
      <c r="G1305" s="216"/>
      <c r="H1305" s="216"/>
      <c r="I1305" s="216"/>
    </row>
    <row r="1306" spans="2:9" hidden="1">
      <c r="B1306" s="216">
        <v>120012</v>
      </c>
      <c r="C1306" s="222">
        <v>200016</v>
      </c>
      <c r="D1306" s="216">
        <v>1</v>
      </c>
      <c r="E1306" s="231">
        <v>410</v>
      </c>
      <c r="F1306" s="216">
        <v>1</v>
      </c>
      <c r="G1306" s="216"/>
      <c r="H1306" s="216"/>
      <c r="I1306" s="216"/>
    </row>
    <row r="1307" spans="2:9" hidden="1">
      <c r="B1307" s="216">
        <v>120012</v>
      </c>
      <c r="C1307" s="222">
        <v>200017</v>
      </c>
      <c r="D1307" s="216">
        <v>1</v>
      </c>
      <c r="E1307" s="231">
        <v>410</v>
      </c>
      <c r="F1307" s="216">
        <v>1</v>
      </c>
      <c r="G1307" s="216"/>
      <c r="H1307" s="216"/>
      <c r="I1307" s="216"/>
    </row>
    <row r="1308" spans="2:9" hidden="1">
      <c r="B1308" s="216">
        <v>120012</v>
      </c>
      <c r="C1308" s="222">
        <v>200018</v>
      </c>
      <c r="D1308" s="216">
        <v>1</v>
      </c>
      <c r="E1308" s="231">
        <v>410</v>
      </c>
      <c r="F1308" s="216">
        <v>1</v>
      </c>
      <c r="G1308" s="216"/>
      <c r="H1308" s="216"/>
      <c r="I1308" s="216"/>
    </row>
    <row r="1309" spans="2:9" hidden="1">
      <c r="B1309" s="216">
        <v>120012</v>
      </c>
      <c r="C1309" s="222">
        <v>200019</v>
      </c>
      <c r="D1309" s="216">
        <v>1</v>
      </c>
      <c r="E1309" s="231">
        <v>410</v>
      </c>
      <c r="F1309" s="216">
        <v>1</v>
      </c>
      <c r="G1309" s="216"/>
      <c r="H1309" s="216"/>
      <c r="I1309" s="216"/>
    </row>
    <row r="1310" spans="2:9" hidden="1">
      <c r="B1310" s="216">
        <v>120012</v>
      </c>
      <c r="C1310" s="222">
        <v>200020</v>
      </c>
      <c r="D1310" s="216">
        <v>1</v>
      </c>
      <c r="E1310" s="231">
        <v>410</v>
      </c>
      <c r="F1310" s="216">
        <v>1</v>
      </c>
      <c r="G1310" s="216"/>
      <c r="H1310" s="216"/>
      <c r="I1310" s="216"/>
    </row>
    <row r="1311" spans="2:9" hidden="1">
      <c r="B1311" s="216">
        <v>120012</v>
      </c>
      <c r="C1311" s="222">
        <v>200021</v>
      </c>
      <c r="D1311" s="216">
        <v>1</v>
      </c>
      <c r="E1311" s="231">
        <v>410</v>
      </c>
      <c r="F1311" s="216">
        <v>1</v>
      </c>
      <c r="G1311" s="216"/>
      <c r="H1311" s="216"/>
      <c r="I1311" s="216"/>
    </row>
    <row r="1312" spans="2:9" hidden="1">
      <c r="B1312" s="216">
        <v>120012</v>
      </c>
      <c r="C1312" s="222">
        <v>200024</v>
      </c>
      <c r="D1312" s="216">
        <v>1</v>
      </c>
      <c r="E1312" s="231">
        <v>8555</v>
      </c>
      <c r="F1312" s="216">
        <v>1</v>
      </c>
      <c r="G1312" s="216"/>
      <c r="H1312" s="216"/>
      <c r="I1312" s="216"/>
    </row>
    <row r="1313" spans="2:9" hidden="1">
      <c r="B1313" s="216">
        <v>120012</v>
      </c>
      <c r="C1313" s="222">
        <v>200026</v>
      </c>
      <c r="D1313" s="216">
        <v>1</v>
      </c>
      <c r="E1313" s="231">
        <v>410</v>
      </c>
      <c r="F1313" s="216">
        <v>1</v>
      </c>
      <c r="G1313" s="216"/>
      <c r="H1313" s="216"/>
      <c r="I1313" s="216"/>
    </row>
    <row r="1314" spans="2:9" hidden="1">
      <c r="B1314" s="216">
        <v>120012</v>
      </c>
      <c r="C1314" s="222">
        <v>200028</v>
      </c>
      <c r="D1314" s="216">
        <v>1</v>
      </c>
      <c r="E1314" s="231">
        <v>410</v>
      </c>
      <c r="F1314" s="216">
        <v>1</v>
      </c>
      <c r="G1314" s="216"/>
      <c r="H1314" s="216"/>
      <c r="I1314" s="216"/>
    </row>
    <row r="1315" spans="2:9" hidden="1">
      <c r="B1315" s="216">
        <v>120012</v>
      </c>
      <c r="C1315" s="222">
        <v>200029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22">
        <v>200032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22">
        <v>200033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22">
        <v>200038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22">
        <v>200044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200046</v>
      </c>
      <c r="D1320" s="216">
        <v>1</v>
      </c>
      <c r="E1320" s="231">
        <v>410</v>
      </c>
      <c r="F1320" s="216">
        <v>1</v>
      </c>
      <c r="G1320" s="216"/>
      <c r="H1320" s="216"/>
      <c r="I1320" s="216"/>
    </row>
    <row r="1321" spans="2:9" ht="13.5" hidden="1" customHeight="1">
      <c r="B1321" s="216">
        <v>120012</v>
      </c>
      <c r="C1321" s="222">
        <v>200048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t="13.5" hidden="1" customHeight="1">
      <c r="B1322" s="216">
        <v>120012</v>
      </c>
      <c r="C1322" s="222">
        <v>200053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t="13.5" hidden="1" customHeight="1">
      <c r="B1323" s="216">
        <v>120012</v>
      </c>
      <c r="C1323" s="222">
        <v>200059</v>
      </c>
      <c r="D1323" s="216">
        <v>1</v>
      </c>
      <c r="E1323" s="231">
        <v>8555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16">
        <v>200066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16">
        <v>200067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16">
        <v>200068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16">
        <v>200069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16">
        <v>200074</v>
      </c>
      <c r="D1328" s="216">
        <v>1</v>
      </c>
      <c r="E1328" s="231">
        <v>410</v>
      </c>
      <c r="F1328" s="216">
        <v>1</v>
      </c>
      <c r="G1328" s="216"/>
      <c r="H1328" s="216"/>
      <c r="I1328" s="216"/>
    </row>
    <row r="1329" spans="2:9" hidden="1">
      <c r="B1329" s="216">
        <v>120013</v>
      </c>
      <c r="C1329" s="217">
        <v>200003</v>
      </c>
      <c r="D1329" s="216">
        <v>1</v>
      </c>
      <c r="E1329" s="231">
        <v>410</v>
      </c>
      <c r="F1329" s="216">
        <v>1</v>
      </c>
      <c r="G1329" s="216"/>
      <c r="H1329" s="216"/>
      <c r="I1329" s="217" t="s">
        <v>1855</v>
      </c>
    </row>
    <row r="1330" spans="2:9" hidden="1">
      <c r="B1330" s="216">
        <v>120013</v>
      </c>
      <c r="C1330" s="217">
        <v>200004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120013</v>
      </c>
      <c r="C1331" s="216">
        <v>200005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120013</v>
      </c>
      <c r="C1332" s="216">
        <v>200006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120013</v>
      </c>
      <c r="C1333" s="216">
        <v>200007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120013</v>
      </c>
      <c r="C1334" s="216">
        <v>200008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120013</v>
      </c>
      <c r="C1335" s="222">
        <v>200009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120013</v>
      </c>
      <c r="C1336" s="222">
        <v>200010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idden="1">
      <c r="B1337" s="216">
        <v>120013</v>
      </c>
      <c r="C1337" s="222">
        <v>200016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idden="1">
      <c r="B1338" s="216">
        <v>120013</v>
      </c>
      <c r="C1338" s="222">
        <v>200017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idden="1">
      <c r="B1339" s="216">
        <v>120013</v>
      </c>
      <c r="C1339" s="222">
        <v>200018</v>
      </c>
      <c r="D1339" s="216">
        <v>1</v>
      </c>
      <c r="E1339" s="231">
        <v>410</v>
      </c>
      <c r="F1339" s="216">
        <v>1</v>
      </c>
      <c r="G1339" s="216"/>
      <c r="H1339" s="216"/>
      <c r="I1339" s="216"/>
    </row>
    <row r="1340" spans="2:9" hidden="1">
      <c r="B1340" s="216">
        <v>120013</v>
      </c>
      <c r="C1340" s="222">
        <v>200019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120013</v>
      </c>
      <c r="C1341" s="222">
        <v>200020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120013</v>
      </c>
      <c r="C1342" s="222">
        <v>200021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120013</v>
      </c>
      <c r="C1343" s="222">
        <v>200024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120013</v>
      </c>
      <c r="C1344" s="222">
        <v>200026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22">
        <v>200028</v>
      </c>
      <c r="D1345" s="216">
        <v>1</v>
      </c>
      <c r="E1345" s="231">
        <v>410</v>
      </c>
      <c r="F1345" s="216">
        <v>1</v>
      </c>
      <c r="G1345" s="216"/>
      <c r="H1345" s="216"/>
      <c r="I1345" s="216"/>
    </row>
    <row r="1346" spans="2:9" hidden="1">
      <c r="B1346" s="216">
        <v>120013</v>
      </c>
      <c r="C1346" s="222">
        <v>200029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22">
        <v>200032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22">
        <v>200033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22">
        <v>200038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22">
        <v>200044</v>
      </c>
      <c r="D1350" s="216">
        <v>1</v>
      </c>
      <c r="E1350" s="231">
        <v>8555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200046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t="13.5" hidden="1" customHeight="1">
      <c r="B1352" s="216">
        <v>120013</v>
      </c>
      <c r="C1352" s="222">
        <v>200048</v>
      </c>
      <c r="D1352" s="216">
        <v>1</v>
      </c>
      <c r="E1352" s="231">
        <v>8555</v>
      </c>
      <c r="F1352" s="216">
        <v>1</v>
      </c>
      <c r="G1352" s="216"/>
      <c r="H1352" s="216"/>
      <c r="I1352" s="216"/>
    </row>
    <row r="1353" spans="2:9" ht="13.5" hidden="1" customHeight="1">
      <c r="B1353" s="216">
        <v>120013</v>
      </c>
      <c r="C1353" s="222">
        <v>200053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t="13.5" hidden="1" customHeight="1">
      <c r="B1354" s="216">
        <v>120013</v>
      </c>
      <c r="C1354" s="222">
        <v>200059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16">
        <v>200066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16">
        <v>200067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16">
        <v>200068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16">
        <v>200069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16">
        <v>200074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29">
        <v>120014</v>
      </c>
      <c r="C1360" s="230">
        <v>200003</v>
      </c>
      <c r="D1360" s="229">
        <v>1</v>
      </c>
      <c r="E1360" s="218">
        <v>80</v>
      </c>
      <c r="F1360" s="229">
        <v>1</v>
      </c>
      <c r="G1360" s="229"/>
      <c r="H1360" s="229"/>
      <c r="I1360" s="230" t="s">
        <v>1860</v>
      </c>
    </row>
    <row r="1361" spans="2:9" hidden="1">
      <c r="B1361" s="229">
        <v>120014</v>
      </c>
      <c r="C1361" s="230">
        <v>200004</v>
      </c>
      <c r="D1361" s="229">
        <v>1</v>
      </c>
      <c r="E1361" s="218">
        <v>80</v>
      </c>
      <c r="F1361" s="229">
        <v>1</v>
      </c>
      <c r="G1361" s="229"/>
      <c r="H1361" s="229"/>
      <c r="I1361" s="229"/>
    </row>
    <row r="1362" spans="2:9" hidden="1">
      <c r="B1362" s="229">
        <v>120014</v>
      </c>
      <c r="C1362" s="229">
        <v>200005</v>
      </c>
      <c r="D1362" s="229">
        <v>1</v>
      </c>
      <c r="E1362" s="218">
        <v>80</v>
      </c>
      <c r="F1362" s="229">
        <v>1</v>
      </c>
      <c r="G1362" s="229"/>
      <c r="H1362" s="229"/>
      <c r="I1362" s="229"/>
    </row>
    <row r="1363" spans="2:9" hidden="1">
      <c r="B1363" s="229">
        <v>120014</v>
      </c>
      <c r="C1363" s="229">
        <v>200006</v>
      </c>
      <c r="D1363" s="229">
        <v>1</v>
      </c>
      <c r="E1363" s="218">
        <v>80</v>
      </c>
      <c r="F1363" s="229">
        <v>1</v>
      </c>
      <c r="G1363" s="229"/>
      <c r="H1363" s="229"/>
      <c r="I1363" s="229"/>
    </row>
    <row r="1364" spans="2:9" hidden="1">
      <c r="B1364" s="229">
        <v>120014</v>
      </c>
      <c r="C1364" s="229">
        <v>200007</v>
      </c>
      <c r="D1364" s="229">
        <v>1</v>
      </c>
      <c r="E1364" s="218">
        <v>80</v>
      </c>
      <c r="F1364" s="229">
        <v>1</v>
      </c>
      <c r="G1364" s="229"/>
      <c r="H1364" s="229"/>
      <c r="I1364" s="229"/>
    </row>
    <row r="1365" spans="2:9" hidden="1">
      <c r="B1365" s="229">
        <v>120014</v>
      </c>
      <c r="C1365" s="229">
        <v>200008</v>
      </c>
      <c r="D1365" s="229">
        <v>1</v>
      </c>
      <c r="E1365" s="218">
        <v>80</v>
      </c>
      <c r="F1365" s="229">
        <v>1</v>
      </c>
      <c r="G1365" s="229"/>
      <c r="H1365" s="229"/>
      <c r="I1365" s="229"/>
    </row>
    <row r="1366" spans="2:9" hidden="1">
      <c r="B1366" s="229">
        <v>120014</v>
      </c>
      <c r="C1366" s="253">
        <v>200009</v>
      </c>
      <c r="D1366" s="229">
        <v>1</v>
      </c>
      <c r="E1366" s="218">
        <v>80</v>
      </c>
      <c r="F1366" s="229">
        <v>1</v>
      </c>
      <c r="G1366" s="229"/>
      <c r="H1366" s="229"/>
      <c r="I1366" s="229"/>
    </row>
    <row r="1367" spans="2:9" hidden="1">
      <c r="B1367" s="229">
        <v>120014</v>
      </c>
      <c r="C1367" s="253">
        <v>200010</v>
      </c>
      <c r="D1367" s="229">
        <v>1</v>
      </c>
      <c r="E1367" s="218">
        <v>80</v>
      </c>
      <c r="F1367" s="229">
        <v>1</v>
      </c>
      <c r="G1367" s="229"/>
      <c r="H1367" s="229"/>
      <c r="I1367" s="229"/>
    </row>
    <row r="1368" spans="2:9" hidden="1">
      <c r="B1368" s="229">
        <v>120014</v>
      </c>
      <c r="C1368" s="253">
        <v>200016</v>
      </c>
      <c r="D1368" s="229">
        <v>1</v>
      </c>
      <c r="E1368" s="218">
        <v>80</v>
      </c>
      <c r="F1368" s="229">
        <v>1</v>
      </c>
      <c r="G1368" s="229"/>
      <c r="H1368" s="229"/>
      <c r="I1368" s="229"/>
    </row>
    <row r="1369" spans="2:9" hidden="1">
      <c r="B1369" s="229">
        <v>120014</v>
      </c>
      <c r="C1369" s="253">
        <v>200017</v>
      </c>
      <c r="D1369" s="229">
        <v>1</v>
      </c>
      <c r="E1369" s="218">
        <v>80</v>
      </c>
      <c r="F1369" s="229">
        <v>1</v>
      </c>
      <c r="G1369" s="229"/>
      <c r="H1369" s="229"/>
      <c r="I1369" s="229"/>
    </row>
    <row r="1370" spans="2:9" hidden="1">
      <c r="B1370" s="229">
        <v>120014</v>
      </c>
      <c r="C1370" s="253">
        <v>200018</v>
      </c>
      <c r="D1370" s="229">
        <v>1</v>
      </c>
      <c r="E1370" s="218">
        <v>80</v>
      </c>
      <c r="F1370" s="229">
        <v>1</v>
      </c>
      <c r="G1370" s="229"/>
      <c r="H1370" s="229"/>
      <c r="I1370" s="229"/>
    </row>
    <row r="1371" spans="2:9" hidden="1">
      <c r="B1371" s="229">
        <v>120014</v>
      </c>
      <c r="C1371" s="253">
        <v>200019</v>
      </c>
      <c r="D1371" s="229">
        <v>1</v>
      </c>
      <c r="E1371" s="218">
        <v>80</v>
      </c>
      <c r="F1371" s="229">
        <v>1</v>
      </c>
      <c r="G1371" s="229"/>
      <c r="H1371" s="229"/>
      <c r="I1371" s="229"/>
    </row>
    <row r="1372" spans="2:9" hidden="1">
      <c r="B1372" s="229">
        <v>120014</v>
      </c>
      <c r="C1372" s="253">
        <v>200020</v>
      </c>
      <c r="D1372" s="229">
        <v>1</v>
      </c>
      <c r="E1372" s="218">
        <v>80</v>
      </c>
      <c r="F1372" s="229">
        <v>1</v>
      </c>
      <c r="G1372" s="229"/>
      <c r="H1372" s="229"/>
      <c r="I1372" s="229"/>
    </row>
    <row r="1373" spans="2:9" hidden="1">
      <c r="B1373" s="229">
        <v>120014</v>
      </c>
      <c r="C1373" s="253">
        <v>200021</v>
      </c>
      <c r="D1373" s="229">
        <v>1</v>
      </c>
      <c r="E1373" s="218">
        <v>80</v>
      </c>
      <c r="F1373" s="229">
        <v>1</v>
      </c>
      <c r="G1373" s="229"/>
      <c r="H1373" s="229"/>
      <c r="I1373" s="229"/>
    </row>
    <row r="1374" spans="2:9" hidden="1">
      <c r="B1374" s="229">
        <v>120014</v>
      </c>
      <c r="C1374" s="253">
        <v>200024</v>
      </c>
      <c r="D1374" s="229">
        <v>1</v>
      </c>
      <c r="E1374" s="218">
        <v>80</v>
      </c>
      <c r="F1374" s="229">
        <v>1</v>
      </c>
      <c r="G1374" s="229"/>
      <c r="H1374" s="229"/>
      <c r="I1374" s="229"/>
    </row>
    <row r="1375" spans="2:9" hidden="1">
      <c r="B1375" s="229">
        <v>120014</v>
      </c>
      <c r="C1375" s="253">
        <v>200026</v>
      </c>
      <c r="D1375" s="229">
        <v>1</v>
      </c>
      <c r="E1375" s="218">
        <v>80</v>
      </c>
      <c r="F1375" s="229">
        <v>1</v>
      </c>
      <c r="G1375" s="229"/>
      <c r="H1375" s="229"/>
      <c r="I1375" s="229"/>
    </row>
    <row r="1376" spans="2:9" hidden="1">
      <c r="B1376" s="229">
        <v>120014</v>
      </c>
      <c r="C1376" s="253">
        <v>200028</v>
      </c>
      <c r="D1376" s="229">
        <v>1</v>
      </c>
      <c r="E1376" s="218">
        <v>80</v>
      </c>
      <c r="F1376" s="229">
        <v>1</v>
      </c>
      <c r="G1376" s="229"/>
      <c r="H1376" s="229"/>
      <c r="I1376" s="229"/>
    </row>
    <row r="1377" spans="2:9" hidden="1">
      <c r="B1377" s="229">
        <v>120014</v>
      </c>
      <c r="C1377" s="253">
        <v>200029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53">
        <v>200032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53">
        <v>200033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53">
        <v>200038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53">
        <v>200044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200046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t="13.5" hidden="1" customHeight="1">
      <c r="B1383" s="229">
        <v>120014</v>
      </c>
      <c r="C1383" s="253">
        <v>200048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t="13.5" hidden="1" customHeight="1">
      <c r="B1384" s="229">
        <v>120014</v>
      </c>
      <c r="C1384" s="253">
        <v>200053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t="13.5" hidden="1" customHeight="1">
      <c r="B1385" s="229">
        <v>120014</v>
      </c>
      <c r="C1385" s="253">
        <v>200059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29">
        <v>200066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29">
        <v>200067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29">
        <v>200068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29">
        <v>200069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29">
        <v>200074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29">
        <v>200076</v>
      </c>
      <c r="D1391" s="229">
        <v>1</v>
      </c>
      <c r="E1391" s="218">
        <v>620</v>
      </c>
      <c r="F1391" s="229">
        <v>1</v>
      </c>
      <c r="G1391" s="229"/>
      <c r="H1391" s="229"/>
      <c r="I1391" s="229"/>
    </row>
    <row r="1392" spans="2:9" hidden="1">
      <c r="B1392" s="216">
        <v>120015</v>
      </c>
      <c r="C1392" s="217">
        <v>200003</v>
      </c>
      <c r="D1392" s="216">
        <v>1</v>
      </c>
      <c r="E1392" s="231">
        <v>8555</v>
      </c>
      <c r="F1392" s="216">
        <v>1</v>
      </c>
      <c r="G1392" s="216"/>
      <c r="H1392" s="216"/>
      <c r="I1392" s="217" t="s">
        <v>1861</v>
      </c>
    </row>
    <row r="1393" spans="2:9" hidden="1">
      <c r="B1393" s="216">
        <v>120015</v>
      </c>
      <c r="C1393" s="217">
        <v>200004</v>
      </c>
      <c r="D1393" s="216">
        <v>1</v>
      </c>
      <c r="E1393" s="231">
        <v>410</v>
      </c>
      <c r="F1393" s="216">
        <v>1</v>
      </c>
      <c r="G1393" s="216"/>
      <c r="H1393" s="216"/>
      <c r="I1393" s="216"/>
    </row>
    <row r="1394" spans="2:9" hidden="1">
      <c r="B1394" s="216">
        <v>120015</v>
      </c>
      <c r="C1394" s="216">
        <v>200005</v>
      </c>
      <c r="D1394" s="216">
        <v>1</v>
      </c>
      <c r="E1394" s="231">
        <v>410</v>
      </c>
      <c r="F1394" s="216">
        <v>1</v>
      </c>
      <c r="G1394" s="216"/>
      <c r="H1394" s="216"/>
      <c r="I1394" s="216"/>
    </row>
    <row r="1395" spans="2:9" hidden="1">
      <c r="B1395" s="216">
        <v>120015</v>
      </c>
      <c r="C1395" s="216">
        <v>200006</v>
      </c>
      <c r="D1395" s="216">
        <v>1</v>
      </c>
      <c r="E1395" s="231">
        <v>410</v>
      </c>
      <c r="F1395" s="216">
        <v>1</v>
      </c>
      <c r="G1395" s="216"/>
      <c r="H1395" s="216"/>
      <c r="I1395" s="216"/>
    </row>
    <row r="1396" spans="2:9" hidden="1">
      <c r="B1396" s="216">
        <v>120015</v>
      </c>
      <c r="C1396" s="216">
        <v>200007</v>
      </c>
      <c r="D1396" s="216">
        <v>1</v>
      </c>
      <c r="E1396" s="231">
        <v>410</v>
      </c>
      <c r="F1396" s="216">
        <v>1</v>
      </c>
      <c r="G1396" s="216"/>
      <c r="H1396" s="216"/>
      <c r="I1396" s="216"/>
    </row>
    <row r="1397" spans="2:9" hidden="1">
      <c r="B1397" s="216">
        <v>120015</v>
      </c>
      <c r="C1397" s="216">
        <v>200008</v>
      </c>
      <c r="D1397" s="216">
        <v>1</v>
      </c>
      <c r="E1397" s="231">
        <v>410</v>
      </c>
      <c r="F1397" s="216">
        <v>1</v>
      </c>
      <c r="G1397" s="216"/>
      <c r="H1397" s="216"/>
      <c r="I1397" s="216"/>
    </row>
    <row r="1398" spans="2:9" hidden="1">
      <c r="B1398" s="216">
        <v>120015</v>
      </c>
      <c r="C1398" s="222">
        <v>200009</v>
      </c>
      <c r="D1398" s="216">
        <v>1</v>
      </c>
      <c r="E1398" s="231">
        <v>410</v>
      </c>
      <c r="F1398" s="216">
        <v>1</v>
      </c>
      <c r="G1398" s="216"/>
      <c r="H1398" s="216"/>
      <c r="I1398" s="216"/>
    </row>
    <row r="1399" spans="2:9" hidden="1">
      <c r="B1399" s="216">
        <v>120015</v>
      </c>
      <c r="C1399" s="222">
        <v>200010</v>
      </c>
      <c r="D1399" s="216">
        <v>1</v>
      </c>
      <c r="E1399" s="231">
        <v>410</v>
      </c>
      <c r="F1399" s="216">
        <v>1</v>
      </c>
      <c r="G1399" s="216"/>
      <c r="H1399" s="216"/>
      <c r="I1399" s="216"/>
    </row>
    <row r="1400" spans="2:9" hidden="1">
      <c r="B1400" s="216">
        <v>120015</v>
      </c>
      <c r="C1400" s="222">
        <v>200016</v>
      </c>
      <c r="D1400" s="216">
        <v>1</v>
      </c>
      <c r="E1400" s="231">
        <v>410</v>
      </c>
      <c r="F1400" s="216">
        <v>1</v>
      </c>
      <c r="G1400" s="216"/>
      <c r="H1400" s="216"/>
      <c r="I1400" s="216"/>
    </row>
    <row r="1401" spans="2:9" hidden="1">
      <c r="B1401" s="216">
        <v>120015</v>
      </c>
      <c r="C1401" s="222">
        <v>200017</v>
      </c>
      <c r="D1401" s="216">
        <v>1</v>
      </c>
      <c r="E1401" s="231">
        <v>410</v>
      </c>
      <c r="F1401" s="216">
        <v>1</v>
      </c>
      <c r="G1401" s="216"/>
      <c r="H1401" s="216"/>
      <c r="I1401" s="216"/>
    </row>
    <row r="1402" spans="2:9" hidden="1">
      <c r="B1402" s="216">
        <v>120015</v>
      </c>
      <c r="C1402" s="222">
        <v>200018</v>
      </c>
      <c r="D1402" s="216">
        <v>1</v>
      </c>
      <c r="E1402" s="231">
        <v>410</v>
      </c>
      <c r="F1402" s="216">
        <v>1</v>
      </c>
      <c r="G1402" s="216"/>
      <c r="H1402" s="216"/>
      <c r="I1402" s="216"/>
    </row>
    <row r="1403" spans="2:9" hidden="1">
      <c r="B1403" s="216">
        <v>120015</v>
      </c>
      <c r="C1403" s="222">
        <v>200019</v>
      </c>
      <c r="D1403" s="216">
        <v>1</v>
      </c>
      <c r="E1403" s="231">
        <v>410</v>
      </c>
      <c r="F1403" s="216">
        <v>1</v>
      </c>
      <c r="G1403" s="216"/>
      <c r="H1403" s="216"/>
      <c r="I1403" s="216"/>
    </row>
    <row r="1404" spans="2:9" hidden="1">
      <c r="B1404" s="216">
        <v>120015</v>
      </c>
      <c r="C1404" s="222">
        <v>200020</v>
      </c>
      <c r="D1404" s="216">
        <v>1</v>
      </c>
      <c r="E1404" s="231">
        <v>410</v>
      </c>
      <c r="F1404" s="216">
        <v>1</v>
      </c>
      <c r="G1404" s="216"/>
      <c r="H1404" s="216"/>
      <c r="I1404" s="216"/>
    </row>
    <row r="1405" spans="2:9" hidden="1">
      <c r="B1405" s="216">
        <v>120015</v>
      </c>
      <c r="C1405" s="222">
        <v>200021</v>
      </c>
      <c r="D1405" s="216">
        <v>1</v>
      </c>
      <c r="E1405" s="231">
        <v>410</v>
      </c>
      <c r="F1405" s="216">
        <v>1</v>
      </c>
      <c r="G1405" s="216"/>
      <c r="H1405" s="216"/>
      <c r="I1405" s="216"/>
    </row>
    <row r="1406" spans="2:9" hidden="1">
      <c r="B1406" s="216">
        <v>120015</v>
      </c>
      <c r="C1406" s="222">
        <v>200024</v>
      </c>
      <c r="D1406" s="216">
        <v>1</v>
      </c>
      <c r="E1406" s="231">
        <v>410</v>
      </c>
      <c r="F1406" s="216">
        <v>1</v>
      </c>
      <c r="G1406" s="216"/>
      <c r="H1406" s="216"/>
      <c r="I1406" s="216"/>
    </row>
    <row r="1407" spans="2:9" hidden="1">
      <c r="B1407" s="216">
        <v>120015</v>
      </c>
      <c r="C1407" s="222">
        <v>200026</v>
      </c>
      <c r="D1407" s="216">
        <v>1</v>
      </c>
      <c r="E1407" s="231">
        <v>410</v>
      </c>
      <c r="F1407" s="216">
        <v>1</v>
      </c>
      <c r="G1407" s="216"/>
      <c r="H1407" s="216"/>
      <c r="I1407" s="216"/>
    </row>
    <row r="1408" spans="2:9" hidden="1">
      <c r="B1408" s="216">
        <v>120015</v>
      </c>
      <c r="C1408" s="222">
        <v>200028</v>
      </c>
      <c r="D1408" s="216">
        <v>1</v>
      </c>
      <c r="E1408" s="231">
        <v>410</v>
      </c>
      <c r="F1408" s="216">
        <v>1</v>
      </c>
      <c r="G1408" s="216"/>
      <c r="H1408" s="216"/>
      <c r="I1408" s="216"/>
    </row>
    <row r="1409" spans="2:9" hidden="1">
      <c r="B1409" s="216">
        <v>120015</v>
      </c>
      <c r="C1409" s="222">
        <v>200029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22">
        <v>200032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22">
        <v>200033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22">
        <v>200038</v>
      </c>
      <c r="D1412" s="216">
        <v>1</v>
      </c>
      <c r="E1412" s="231">
        <v>8555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22">
        <v>200044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200046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t="13.5" hidden="1" customHeight="1">
      <c r="B1415" s="216">
        <v>120015</v>
      </c>
      <c r="C1415" s="222">
        <v>200048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t="13.5" hidden="1" customHeight="1">
      <c r="B1416" s="216">
        <v>120015</v>
      </c>
      <c r="C1416" s="222">
        <v>200053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t="13.5" hidden="1" customHeight="1">
      <c r="B1417" s="216">
        <v>120015</v>
      </c>
      <c r="C1417" s="222">
        <v>200059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16">
        <v>200066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16">
        <v>200067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16">
        <v>200068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16">
        <v>200069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16">
        <v>200074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120016</v>
      </c>
      <c r="C1423" s="217">
        <v>200003</v>
      </c>
      <c r="D1423" s="216">
        <v>1</v>
      </c>
      <c r="E1423" s="231">
        <v>410</v>
      </c>
      <c r="F1423" s="216">
        <v>1</v>
      </c>
      <c r="G1423" s="216"/>
      <c r="H1423" s="216"/>
      <c r="I1423" s="217" t="s">
        <v>1861</v>
      </c>
    </row>
    <row r="1424" spans="2:9" hidden="1">
      <c r="B1424" s="216">
        <v>120016</v>
      </c>
      <c r="C1424" s="217">
        <v>200004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120016</v>
      </c>
      <c r="C1425" s="216">
        <v>200005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120016</v>
      </c>
      <c r="C1426" s="216">
        <v>200006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120016</v>
      </c>
      <c r="C1427" s="216">
        <v>200007</v>
      </c>
      <c r="D1427" s="216">
        <v>1</v>
      </c>
      <c r="E1427" s="231">
        <v>8555</v>
      </c>
      <c r="F1427" s="216">
        <v>1</v>
      </c>
      <c r="G1427" s="216"/>
      <c r="H1427" s="216"/>
      <c r="I1427" s="216"/>
    </row>
    <row r="1428" spans="2:9" hidden="1">
      <c r="B1428" s="216">
        <v>120016</v>
      </c>
      <c r="C1428" s="216">
        <v>200008</v>
      </c>
      <c r="D1428" s="216">
        <v>1</v>
      </c>
      <c r="E1428" s="231">
        <v>410</v>
      </c>
      <c r="F1428" s="216">
        <v>1</v>
      </c>
      <c r="G1428" s="216"/>
      <c r="H1428" s="216"/>
      <c r="I1428" s="216"/>
    </row>
    <row r="1429" spans="2:9" hidden="1">
      <c r="B1429" s="216">
        <v>120016</v>
      </c>
      <c r="C1429" s="222">
        <v>200009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120016</v>
      </c>
      <c r="C1430" s="222">
        <v>200010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idden="1">
      <c r="B1431" s="216">
        <v>120016</v>
      </c>
      <c r="C1431" s="222">
        <v>200016</v>
      </c>
      <c r="D1431" s="216">
        <v>1</v>
      </c>
      <c r="E1431" s="231">
        <v>8555</v>
      </c>
      <c r="F1431" s="216">
        <v>1</v>
      </c>
      <c r="G1431" s="216"/>
      <c r="H1431" s="216"/>
      <c r="I1431" s="216"/>
    </row>
    <row r="1432" spans="2:9" hidden="1">
      <c r="B1432" s="216">
        <v>120016</v>
      </c>
      <c r="C1432" s="222">
        <v>200017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idden="1">
      <c r="B1433" s="216">
        <v>120016</v>
      </c>
      <c r="C1433" s="222">
        <v>200018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120016</v>
      </c>
      <c r="C1434" s="222">
        <v>200019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120016</v>
      </c>
      <c r="C1435" s="222">
        <v>200020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120016</v>
      </c>
      <c r="C1436" s="222">
        <v>200021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120016</v>
      </c>
      <c r="C1437" s="222">
        <v>200024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120016</v>
      </c>
      <c r="C1438" s="222">
        <v>200026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22">
        <v>200028</v>
      </c>
      <c r="D1439" s="216">
        <v>1</v>
      </c>
      <c r="E1439" s="231">
        <v>410</v>
      </c>
      <c r="F1439" s="216">
        <v>1</v>
      </c>
      <c r="G1439" s="216"/>
      <c r="H1439" s="216"/>
      <c r="I1439" s="216"/>
    </row>
    <row r="1440" spans="2:9" hidden="1">
      <c r="B1440" s="216">
        <v>120016</v>
      </c>
      <c r="C1440" s="222">
        <v>200029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1:9" hidden="1">
      <c r="B1441" s="216">
        <v>120016</v>
      </c>
      <c r="C1441" s="222">
        <v>200032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1:9" hidden="1">
      <c r="B1442" s="216">
        <v>120016</v>
      </c>
      <c r="C1442" s="222">
        <v>200033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1:9" hidden="1">
      <c r="B1443" s="216">
        <v>120016</v>
      </c>
      <c r="C1443" s="222">
        <v>200038</v>
      </c>
      <c r="D1443" s="216">
        <v>1</v>
      </c>
      <c r="E1443" s="231">
        <v>410</v>
      </c>
      <c r="F1443" s="216">
        <v>1</v>
      </c>
      <c r="G1443" s="216"/>
      <c r="H1443" s="216"/>
      <c r="I1443" s="216"/>
    </row>
    <row r="1444" spans="1:9" hidden="1">
      <c r="B1444" s="216">
        <v>120016</v>
      </c>
      <c r="C1444" s="222">
        <v>200044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1:9" hidden="1">
      <c r="B1445" s="216">
        <v>120016</v>
      </c>
      <c r="C1445" s="222">
        <v>200046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1:9" ht="13.5" hidden="1" customHeight="1">
      <c r="B1446" s="216">
        <v>120016</v>
      </c>
      <c r="C1446" s="222">
        <v>200048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1:9" ht="13.5" hidden="1" customHeight="1">
      <c r="B1447" s="216">
        <v>120016</v>
      </c>
      <c r="C1447" s="222">
        <v>200053</v>
      </c>
      <c r="D1447" s="216">
        <v>1</v>
      </c>
      <c r="E1447" s="231">
        <v>410</v>
      </c>
      <c r="F1447" s="216">
        <v>1</v>
      </c>
      <c r="G1447" s="216"/>
      <c r="H1447" s="216"/>
      <c r="I1447" s="216"/>
    </row>
    <row r="1448" spans="1:9" ht="13.5" hidden="1" customHeight="1">
      <c r="B1448" s="216">
        <v>120016</v>
      </c>
      <c r="C1448" s="222">
        <v>200059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1:9" hidden="1">
      <c r="B1449" s="216">
        <v>120016</v>
      </c>
      <c r="C1449" s="216">
        <v>200066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1:9" hidden="1">
      <c r="B1450" s="216">
        <v>120016</v>
      </c>
      <c r="C1450" s="216">
        <v>200067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1:9" hidden="1">
      <c r="B1451" s="216">
        <v>120016</v>
      </c>
      <c r="C1451" s="216">
        <v>200068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1:9" hidden="1">
      <c r="B1452" s="216">
        <v>120016</v>
      </c>
      <c r="C1452" s="216">
        <v>200069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1:9" hidden="1">
      <c r="B1453" s="216">
        <v>120016</v>
      </c>
      <c r="C1453" s="216">
        <v>200074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1:9" hidden="1">
      <c r="A1454">
        <v>2307</v>
      </c>
      <c r="B1454" s="126">
        <v>120017</v>
      </c>
      <c r="C1454" s="167">
        <v>200003</v>
      </c>
      <c r="D1454" s="126">
        <v>1</v>
      </c>
      <c r="E1454" s="170">
        <v>410</v>
      </c>
      <c r="F1454" s="126">
        <v>1</v>
      </c>
      <c r="G1454" s="126"/>
      <c r="H1454" s="126"/>
      <c r="I1454" s="167" t="s">
        <v>1902</v>
      </c>
    </row>
    <row r="1455" spans="1:9" hidden="1">
      <c r="B1455" s="126">
        <v>120017</v>
      </c>
      <c r="C1455" s="167">
        <v>200004</v>
      </c>
      <c r="D1455" s="126">
        <v>1</v>
      </c>
      <c r="E1455" s="170">
        <v>410</v>
      </c>
      <c r="F1455" s="126">
        <v>1</v>
      </c>
      <c r="G1455" s="126"/>
      <c r="H1455" s="126"/>
      <c r="I1455" s="126"/>
    </row>
    <row r="1456" spans="1:9" hidden="1">
      <c r="B1456" s="126">
        <v>120017</v>
      </c>
      <c r="C1456" s="126">
        <v>200005</v>
      </c>
      <c r="D1456" s="126">
        <v>1</v>
      </c>
      <c r="E1456" s="170">
        <v>410</v>
      </c>
      <c r="F1456" s="126">
        <v>1</v>
      </c>
      <c r="G1456" s="126"/>
      <c r="H1456" s="126"/>
      <c r="I1456" s="126"/>
    </row>
    <row r="1457" spans="2:9" hidden="1">
      <c r="B1457" s="126">
        <v>120017</v>
      </c>
      <c r="C1457" s="126">
        <v>200006</v>
      </c>
      <c r="D1457" s="126">
        <v>1</v>
      </c>
      <c r="E1457" s="170">
        <v>410</v>
      </c>
      <c r="F1457" s="126">
        <v>1</v>
      </c>
      <c r="G1457" s="126"/>
      <c r="H1457" s="126"/>
      <c r="I1457" s="126"/>
    </row>
    <row r="1458" spans="2:9" hidden="1">
      <c r="B1458" s="126">
        <v>120017</v>
      </c>
      <c r="C1458" s="126">
        <v>200007</v>
      </c>
      <c r="D1458" s="126">
        <v>1</v>
      </c>
      <c r="E1458" s="170">
        <v>410</v>
      </c>
      <c r="F1458" s="126">
        <v>1</v>
      </c>
      <c r="G1458" s="126"/>
      <c r="H1458" s="126"/>
      <c r="I1458" s="126"/>
    </row>
    <row r="1459" spans="2:9" hidden="1">
      <c r="B1459" s="126">
        <v>120017</v>
      </c>
      <c r="C1459" s="126">
        <v>200008</v>
      </c>
      <c r="D1459" s="126">
        <v>1</v>
      </c>
      <c r="E1459" s="170">
        <v>410</v>
      </c>
      <c r="F1459" s="126">
        <v>1</v>
      </c>
      <c r="G1459" s="126"/>
      <c r="H1459" s="126"/>
      <c r="I1459" s="126"/>
    </row>
    <row r="1460" spans="2:9" hidden="1">
      <c r="B1460" s="126">
        <v>120017</v>
      </c>
      <c r="C1460" s="168">
        <v>200009</v>
      </c>
      <c r="D1460" s="126">
        <v>1</v>
      </c>
      <c r="E1460" s="170">
        <v>410</v>
      </c>
      <c r="F1460" s="126">
        <v>1</v>
      </c>
      <c r="G1460" s="126"/>
      <c r="H1460" s="126"/>
      <c r="I1460" s="126"/>
    </row>
    <row r="1461" spans="2:9" hidden="1">
      <c r="B1461" s="126">
        <v>120017</v>
      </c>
      <c r="C1461" s="168">
        <v>200010</v>
      </c>
      <c r="D1461" s="126">
        <v>1</v>
      </c>
      <c r="E1461" s="170">
        <v>410</v>
      </c>
      <c r="F1461" s="126">
        <v>1</v>
      </c>
      <c r="G1461" s="126"/>
      <c r="H1461" s="126"/>
      <c r="I1461" s="126"/>
    </row>
    <row r="1462" spans="2:9" hidden="1">
      <c r="B1462" s="126">
        <v>120017</v>
      </c>
      <c r="C1462" s="168">
        <v>200016</v>
      </c>
      <c r="D1462" s="126">
        <v>1</v>
      </c>
      <c r="E1462" s="170">
        <v>410</v>
      </c>
      <c r="F1462" s="126">
        <v>1</v>
      </c>
      <c r="G1462" s="126"/>
      <c r="H1462" s="126"/>
      <c r="I1462" s="126"/>
    </row>
    <row r="1463" spans="2:9" hidden="1">
      <c r="B1463" s="126">
        <v>120017</v>
      </c>
      <c r="C1463" s="168">
        <v>200017</v>
      </c>
      <c r="D1463" s="126">
        <v>1</v>
      </c>
      <c r="E1463" s="170">
        <v>410</v>
      </c>
      <c r="F1463" s="126">
        <v>1</v>
      </c>
      <c r="G1463" s="126"/>
      <c r="H1463" s="126"/>
      <c r="I1463" s="126"/>
    </row>
    <row r="1464" spans="2:9" hidden="1">
      <c r="B1464" s="126">
        <v>120017</v>
      </c>
      <c r="C1464" s="168">
        <v>200018</v>
      </c>
      <c r="D1464" s="126">
        <v>1</v>
      </c>
      <c r="E1464" s="170">
        <v>410</v>
      </c>
      <c r="F1464" s="126">
        <v>1</v>
      </c>
      <c r="G1464" s="126"/>
      <c r="H1464" s="126"/>
      <c r="I1464" s="126"/>
    </row>
    <row r="1465" spans="2:9" hidden="1">
      <c r="B1465" s="126">
        <v>120017</v>
      </c>
      <c r="C1465" s="168">
        <v>200019</v>
      </c>
      <c r="D1465" s="126">
        <v>1</v>
      </c>
      <c r="E1465" s="170">
        <v>410</v>
      </c>
      <c r="F1465" s="126">
        <v>1</v>
      </c>
      <c r="G1465" s="126"/>
      <c r="H1465" s="126"/>
      <c r="I1465" s="126"/>
    </row>
    <row r="1466" spans="2:9" hidden="1">
      <c r="B1466" s="126">
        <v>120017</v>
      </c>
      <c r="C1466" s="168">
        <v>200020</v>
      </c>
      <c r="D1466" s="126">
        <v>1</v>
      </c>
      <c r="E1466" s="170">
        <v>410</v>
      </c>
      <c r="F1466" s="126">
        <v>1</v>
      </c>
      <c r="G1466" s="126"/>
      <c r="H1466" s="126"/>
      <c r="I1466" s="126"/>
    </row>
    <row r="1467" spans="2:9" hidden="1">
      <c r="B1467" s="126">
        <v>120017</v>
      </c>
      <c r="C1467" s="168">
        <v>200021</v>
      </c>
      <c r="D1467" s="126">
        <v>1</v>
      </c>
      <c r="E1467" s="170">
        <v>410</v>
      </c>
      <c r="F1467" s="126">
        <v>1</v>
      </c>
      <c r="G1467" s="126"/>
      <c r="H1467" s="126"/>
      <c r="I1467" s="126"/>
    </row>
    <row r="1468" spans="2:9" hidden="1">
      <c r="B1468" s="126">
        <v>120017</v>
      </c>
      <c r="C1468" s="168">
        <v>200024</v>
      </c>
      <c r="D1468" s="126">
        <v>1</v>
      </c>
      <c r="E1468" s="170">
        <v>410</v>
      </c>
      <c r="F1468" s="126">
        <v>1</v>
      </c>
      <c r="G1468" s="126"/>
      <c r="H1468" s="126"/>
      <c r="I1468" s="126"/>
    </row>
    <row r="1469" spans="2:9" hidden="1">
      <c r="B1469" s="126">
        <v>120017</v>
      </c>
      <c r="C1469" s="168">
        <v>200026</v>
      </c>
      <c r="D1469" s="126">
        <v>1</v>
      </c>
      <c r="E1469" s="170">
        <v>410</v>
      </c>
      <c r="F1469" s="126">
        <v>1</v>
      </c>
      <c r="G1469" s="126"/>
      <c r="H1469" s="126"/>
      <c r="I1469" s="126"/>
    </row>
    <row r="1470" spans="2:9" hidden="1">
      <c r="B1470" s="126">
        <v>120017</v>
      </c>
      <c r="C1470" s="168">
        <v>200028</v>
      </c>
      <c r="D1470" s="126">
        <v>1</v>
      </c>
      <c r="E1470" s="170">
        <v>410</v>
      </c>
      <c r="F1470" s="126">
        <v>1</v>
      </c>
      <c r="G1470" s="126"/>
      <c r="H1470" s="126"/>
      <c r="I1470" s="126"/>
    </row>
    <row r="1471" spans="2:9" hidden="1">
      <c r="B1471" s="126">
        <v>120017</v>
      </c>
      <c r="C1471" s="168">
        <v>200029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2:9" hidden="1">
      <c r="B1472" s="126">
        <v>120017</v>
      </c>
      <c r="C1472" s="168">
        <v>200032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1:9" hidden="1">
      <c r="B1473" s="126">
        <v>120017</v>
      </c>
      <c r="C1473" s="168">
        <v>200033</v>
      </c>
      <c r="D1473" s="126">
        <v>1</v>
      </c>
      <c r="E1473" s="170">
        <v>8555</v>
      </c>
      <c r="F1473" s="126">
        <v>1</v>
      </c>
      <c r="G1473" s="126"/>
      <c r="H1473" s="126"/>
      <c r="I1473" s="126"/>
    </row>
    <row r="1474" spans="1:9" hidden="1">
      <c r="B1474" s="126">
        <v>120017</v>
      </c>
      <c r="C1474" s="168">
        <v>200038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1:9" hidden="1">
      <c r="B1475" s="126">
        <v>120017</v>
      </c>
      <c r="C1475" s="168">
        <v>200044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1:9" hidden="1">
      <c r="B1476" s="126">
        <v>120017</v>
      </c>
      <c r="C1476" s="168">
        <v>200046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1:9" ht="13.5" hidden="1" customHeight="1">
      <c r="B1477" s="126">
        <v>120017</v>
      </c>
      <c r="C1477" s="168">
        <v>200048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1:9" ht="13.5" hidden="1" customHeight="1">
      <c r="B1478" s="126">
        <v>120017</v>
      </c>
      <c r="C1478" s="168">
        <v>200053</v>
      </c>
      <c r="D1478" s="126">
        <v>1</v>
      </c>
      <c r="E1478" s="170">
        <v>8555</v>
      </c>
      <c r="F1478" s="126">
        <v>1</v>
      </c>
      <c r="G1478" s="126"/>
      <c r="H1478" s="126"/>
      <c r="I1478" s="126"/>
    </row>
    <row r="1479" spans="1:9" ht="13.5" hidden="1" customHeight="1">
      <c r="B1479" s="126">
        <v>120017</v>
      </c>
      <c r="C1479" s="168">
        <v>200059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1:9" hidden="1">
      <c r="B1480" s="126">
        <v>120017</v>
      </c>
      <c r="C1480" s="126">
        <v>200066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1:9" hidden="1">
      <c r="B1481" s="126">
        <v>120017</v>
      </c>
      <c r="C1481" s="126">
        <v>200067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1:9" hidden="1">
      <c r="B1482" s="126">
        <v>120017</v>
      </c>
      <c r="C1482" s="126">
        <v>200068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1:9" hidden="1">
      <c r="B1483" s="126">
        <v>120017</v>
      </c>
      <c r="C1483" s="126">
        <v>200069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1:9" hidden="1">
      <c r="B1484" s="126">
        <v>120017</v>
      </c>
      <c r="C1484" s="126">
        <v>200074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1:9" hidden="1">
      <c r="A1485">
        <v>2310</v>
      </c>
      <c r="B1485" s="32">
        <v>120018</v>
      </c>
      <c r="C1485" s="163">
        <v>200003</v>
      </c>
      <c r="D1485" s="32">
        <v>1</v>
      </c>
      <c r="E1485" s="259">
        <v>410</v>
      </c>
      <c r="F1485" s="32">
        <v>1</v>
      </c>
      <c r="G1485" s="32"/>
      <c r="H1485" s="32"/>
      <c r="I1485" s="163" t="s">
        <v>1904</v>
      </c>
    </row>
    <row r="1486" spans="1:9" hidden="1">
      <c r="B1486" s="32">
        <v>120018</v>
      </c>
      <c r="C1486" s="163">
        <v>200004</v>
      </c>
      <c r="D1486" s="32">
        <v>1</v>
      </c>
      <c r="E1486" s="259">
        <v>410</v>
      </c>
      <c r="F1486" s="32">
        <v>1</v>
      </c>
      <c r="G1486" s="32"/>
      <c r="H1486" s="32"/>
      <c r="I1486" s="32"/>
    </row>
    <row r="1487" spans="1:9" hidden="1">
      <c r="B1487" s="32">
        <v>120018</v>
      </c>
      <c r="C1487" s="32">
        <v>200005</v>
      </c>
      <c r="D1487" s="32">
        <v>1</v>
      </c>
      <c r="E1487" s="259">
        <v>410</v>
      </c>
      <c r="F1487" s="32">
        <v>1</v>
      </c>
      <c r="G1487" s="32"/>
      <c r="H1487" s="32"/>
      <c r="I1487" s="32"/>
    </row>
    <row r="1488" spans="1:9" hidden="1">
      <c r="B1488" s="32">
        <v>120018</v>
      </c>
      <c r="C1488" s="32">
        <v>200006</v>
      </c>
      <c r="D1488" s="32">
        <v>1</v>
      </c>
      <c r="E1488" s="259">
        <v>410</v>
      </c>
      <c r="F1488" s="32">
        <v>1</v>
      </c>
      <c r="G1488" s="32"/>
      <c r="H1488" s="32"/>
      <c r="I1488" s="32"/>
    </row>
    <row r="1489" spans="2:9" hidden="1">
      <c r="B1489" s="32">
        <v>120018</v>
      </c>
      <c r="C1489" s="32">
        <v>200007</v>
      </c>
      <c r="D1489" s="32">
        <v>1</v>
      </c>
      <c r="E1489" s="259">
        <v>410</v>
      </c>
      <c r="F1489" s="32">
        <v>1</v>
      </c>
      <c r="G1489" s="32"/>
      <c r="H1489" s="32"/>
      <c r="I1489" s="32"/>
    </row>
    <row r="1490" spans="2:9" hidden="1">
      <c r="B1490" s="32">
        <v>120018</v>
      </c>
      <c r="C1490" s="32">
        <v>200008</v>
      </c>
      <c r="D1490" s="32">
        <v>1</v>
      </c>
      <c r="E1490" s="259">
        <v>410</v>
      </c>
      <c r="F1490" s="32">
        <v>1</v>
      </c>
      <c r="G1490" s="32"/>
      <c r="H1490" s="32"/>
      <c r="I1490" s="32"/>
    </row>
    <row r="1491" spans="2:9" hidden="1">
      <c r="B1491" s="32">
        <v>120018</v>
      </c>
      <c r="C1491" s="164">
        <v>200009</v>
      </c>
      <c r="D1491" s="32">
        <v>1</v>
      </c>
      <c r="E1491" s="259">
        <v>410</v>
      </c>
      <c r="F1491" s="32">
        <v>1</v>
      </c>
      <c r="G1491" s="32"/>
      <c r="H1491" s="32"/>
      <c r="I1491" s="32"/>
    </row>
    <row r="1492" spans="2:9" hidden="1">
      <c r="B1492" s="32">
        <v>120018</v>
      </c>
      <c r="C1492" s="164">
        <v>200010</v>
      </c>
      <c r="D1492" s="32">
        <v>1</v>
      </c>
      <c r="E1492" s="259">
        <v>410</v>
      </c>
      <c r="F1492" s="32">
        <v>1</v>
      </c>
      <c r="G1492" s="32"/>
      <c r="H1492" s="32"/>
      <c r="I1492" s="32"/>
    </row>
    <row r="1493" spans="2:9" hidden="1">
      <c r="B1493" s="32">
        <v>120018</v>
      </c>
      <c r="C1493" s="164">
        <v>200016</v>
      </c>
      <c r="D1493" s="32">
        <v>1</v>
      </c>
      <c r="E1493" s="259">
        <v>410</v>
      </c>
      <c r="F1493" s="32">
        <v>1</v>
      </c>
      <c r="G1493" s="32"/>
      <c r="H1493" s="32"/>
      <c r="I1493" s="32"/>
    </row>
    <row r="1494" spans="2:9" hidden="1">
      <c r="B1494" s="32">
        <v>120018</v>
      </c>
      <c r="C1494" s="164">
        <v>200017</v>
      </c>
      <c r="D1494" s="32">
        <v>1</v>
      </c>
      <c r="E1494" s="259">
        <v>410</v>
      </c>
      <c r="F1494" s="32">
        <v>1</v>
      </c>
      <c r="G1494" s="32"/>
      <c r="H1494" s="32"/>
      <c r="I1494" s="32"/>
    </row>
    <row r="1495" spans="2:9" hidden="1">
      <c r="B1495" s="32">
        <v>120018</v>
      </c>
      <c r="C1495" s="164">
        <v>200018</v>
      </c>
      <c r="D1495" s="32">
        <v>1</v>
      </c>
      <c r="E1495" s="259">
        <v>410</v>
      </c>
      <c r="F1495" s="32">
        <v>1</v>
      </c>
      <c r="G1495" s="32"/>
      <c r="H1495" s="32"/>
      <c r="I1495" s="32"/>
    </row>
    <row r="1496" spans="2:9" hidden="1">
      <c r="B1496" s="32">
        <v>120018</v>
      </c>
      <c r="C1496" s="164">
        <v>200019</v>
      </c>
      <c r="D1496" s="32">
        <v>1</v>
      </c>
      <c r="E1496" s="259">
        <v>410</v>
      </c>
      <c r="F1496" s="32">
        <v>1</v>
      </c>
      <c r="G1496" s="32"/>
      <c r="H1496" s="32"/>
      <c r="I1496" s="32"/>
    </row>
    <row r="1497" spans="2:9" hidden="1">
      <c r="B1497" s="32">
        <v>120018</v>
      </c>
      <c r="C1497" s="164">
        <v>200020</v>
      </c>
      <c r="D1497" s="32">
        <v>1</v>
      </c>
      <c r="E1497" s="259">
        <v>410</v>
      </c>
      <c r="F1497" s="32">
        <v>1</v>
      </c>
      <c r="G1497" s="32"/>
      <c r="H1497" s="32"/>
      <c r="I1497" s="32"/>
    </row>
    <row r="1498" spans="2:9" hidden="1">
      <c r="B1498" s="32">
        <v>120018</v>
      </c>
      <c r="C1498" s="164">
        <v>200021</v>
      </c>
      <c r="D1498" s="32">
        <v>1</v>
      </c>
      <c r="E1498" s="259">
        <v>410</v>
      </c>
      <c r="F1498" s="32">
        <v>1</v>
      </c>
      <c r="G1498" s="32"/>
      <c r="H1498" s="32"/>
      <c r="I1498" s="32"/>
    </row>
    <row r="1499" spans="2:9" hidden="1">
      <c r="B1499" s="32">
        <v>120018</v>
      </c>
      <c r="C1499" s="164">
        <v>200024</v>
      </c>
      <c r="D1499" s="32">
        <v>1</v>
      </c>
      <c r="E1499" s="259">
        <v>410</v>
      </c>
      <c r="F1499" s="32">
        <v>1</v>
      </c>
      <c r="G1499" s="32"/>
      <c r="H1499" s="32"/>
      <c r="I1499" s="32"/>
    </row>
    <row r="1500" spans="2:9" hidden="1">
      <c r="B1500" s="32">
        <v>120018</v>
      </c>
      <c r="C1500" s="164">
        <v>200026</v>
      </c>
      <c r="D1500" s="32">
        <v>1</v>
      </c>
      <c r="E1500" s="259">
        <v>410</v>
      </c>
      <c r="F1500" s="32">
        <v>1</v>
      </c>
      <c r="G1500" s="32"/>
      <c r="H1500" s="32"/>
      <c r="I1500" s="32"/>
    </row>
    <row r="1501" spans="2:9" hidden="1">
      <c r="B1501" s="32">
        <v>120018</v>
      </c>
      <c r="C1501" s="164">
        <v>200028</v>
      </c>
      <c r="D1501" s="32">
        <v>1</v>
      </c>
      <c r="E1501" s="259">
        <v>410</v>
      </c>
      <c r="F1501" s="32">
        <v>1</v>
      </c>
      <c r="G1501" s="32"/>
      <c r="H1501" s="32"/>
      <c r="I1501" s="32"/>
    </row>
    <row r="1502" spans="2:9" hidden="1">
      <c r="B1502" s="32">
        <v>120018</v>
      </c>
      <c r="C1502" s="164">
        <v>200029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2:9" hidden="1">
      <c r="B1503" s="32">
        <v>120018</v>
      </c>
      <c r="C1503" s="164">
        <v>200032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2:9" hidden="1">
      <c r="B1504" s="32">
        <v>120018</v>
      </c>
      <c r="C1504" s="164">
        <v>200033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1:9" hidden="1">
      <c r="B1505" s="32">
        <v>120018</v>
      </c>
      <c r="C1505" s="164">
        <v>200038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1:9" hidden="1">
      <c r="B1506" s="32">
        <v>120018</v>
      </c>
      <c r="C1506" s="164">
        <v>200044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1:9" hidden="1">
      <c r="B1507" s="32">
        <v>120018</v>
      </c>
      <c r="C1507" s="164">
        <v>200046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1:9" ht="13.5" hidden="1" customHeight="1">
      <c r="B1508" s="32">
        <v>120018</v>
      </c>
      <c r="C1508" s="164">
        <v>200048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1:9" ht="13.5" hidden="1" customHeight="1">
      <c r="B1509" s="32">
        <v>120018</v>
      </c>
      <c r="C1509" s="164">
        <v>200053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1:9" ht="13.5" hidden="1" customHeight="1">
      <c r="B1510" s="32">
        <v>120018</v>
      </c>
      <c r="C1510" s="164">
        <v>200059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1:9" hidden="1">
      <c r="B1511" s="32">
        <v>120018</v>
      </c>
      <c r="C1511" s="32">
        <v>200066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1:9" hidden="1">
      <c r="B1512" s="32">
        <v>120018</v>
      </c>
      <c r="C1512" s="32">
        <v>200067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1:9" hidden="1">
      <c r="B1513" s="32">
        <v>120018</v>
      </c>
      <c r="C1513" s="32">
        <v>200068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1:9" hidden="1">
      <c r="B1514" s="32">
        <v>120018</v>
      </c>
      <c r="C1514" s="32">
        <v>200069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1:9" hidden="1">
      <c r="B1515" s="32">
        <v>120018</v>
      </c>
      <c r="C1515" s="32">
        <v>200074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1:9" hidden="1">
      <c r="B1516" s="32">
        <v>120018</v>
      </c>
      <c r="C1516" s="32">
        <v>200077</v>
      </c>
      <c r="D1516" s="32">
        <v>1</v>
      </c>
      <c r="E1516" s="259">
        <v>18290</v>
      </c>
      <c r="F1516" s="32">
        <v>1</v>
      </c>
      <c r="G1516" s="32"/>
      <c r="H1516" s="32"/>
      <c r="I1516" s="32"/>
    </row>
    <row r="1517" spans="1:9" hidden="1">
      <c r="A1517">
        <v>2310</v>
      </c>
      <c r="B1517" s="32">
        <v>120019</v>
      </c>
      <c r="C1517" s="163">
        <v>200003</v>
      </c>
      <c r="D1517" s="32">
        <v>1</v>
      </c>
      <c r="E1517" s="259">
        <v>410</v>
      </c>
      <c r="F1517" s="32">
        <v>1</v>
      </c>
      <c r="G1517" s="32"/>
      <c r="H1517" s="32"/>
      <c r="I1517" s="163" t="s">
        <v>1908</v>
      </c>
    </row>
    <row r="1518" spans="1:9" hidden="1">
      <c r="B1518" s="32">
        <v>120019</v>
      </c>
      <c r="C1518" s="163">
        <v>200004</v>
      </c>
      <c r="D1518" s="32">
        <v>1</v>
      </c>
      <c r="E1518" s="259">
        <v>8850</v>
      </c>
      <c r="F1518" s="32">
        <v>1</v>
      </c>
      <c r="G1518" s="32"/>
      <c r="H1518" s="32"/>
      <c r="I1518" s="32"/>
    </row>
    <row r="1519" spans="1:9" hidden="1">
      <c r="B1519" s="32">
        <v>120019</v>
      </c>
      <c r="C1519" s="32">
        <v>200005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1:9" hidden="1">
      <c r="B1520" s="32">
        <v>120019</v>
      </c>
      <c r="C1520" s="32">
        <v>200006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2:9" hidden="1">
      <c r="B1521" s="32">
        <v>120019</v>
      </c>
      <c r="C1521" s="32">
        <v>200007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2:9" hidden="1">
      <c r="B1522" s="32">
        <v>120019</v>
      </c>
      <c r="C1522" s="32">
        <v>200008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2:9" hidden="1">
      <c r="B1523" s="32">
        <v>120019</v>
      </c>
      <c r="C1523" s="164">
        <v>200009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2:9" hidden="1">
      <c r="B1524" s="32">
        <v>120019</v>
      </c>
      <c r="C1524" s="164">
        <v>200010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2:9" hidden="1">
      <c r="B1525" s="32">
        <v>120019</v>
      </c>
      <c r="C1525" s="164">
        <v>200016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2:9" hidden="1">
      <c r="B1526" s="32">
        <v>120019</v>
      </c>
      <c r="C1526" s="164">
        <v>200017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2:9" hidden="1">
      <c r="B1527" s="32">
        <v>120019</v>
      </c>
      <c r="C1527" s="164">
        <v>200018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2:9" hidden="1">
      <c r="B1528" s="32">
        <v>120019</v>
      </c>
      <c r="C1528" s="164">
        <v>200019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2:9" hidden="1">
      <c r="B1529" s="32">
        <v>120019</v>
      </c>
      <c r="C1529" s="164">
        <v>200020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2:9" hidden="1">
      <c r="B1530" s="32">
        <v>120019</v>
      </c>
      <c r="C1530" s="164">
        <v>200021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2:9" hidden="1">
      <c r="B1531" s="32">
        <v>120019</v>
      </c>
      <c r="C1531" s="164">
        <v>200024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2:9" hidden="1">
      <c r="B1532" s="32">
        <v>120019</v>
      </c>
      <c r="C1532" s="164">
        <v>200026</v>
      </c>
      <c r="D1532" s="32">
        <v>1</v>
      </c>
      <c r="E1532" s="259">
        <v>410</v>
      </c>
      <c r="F1532" s="32">
        <v>1</v>
      </c>
      <c r="G1532" s="32"/>
      <c r="H1532" s="32"/>
      <c r="I1532" s="32"/>
    </row>
    <row r="1533" spans="2:9" hidden="1">
      <c r="B1533" s="32">
        <v>120019</v>
      </c>
      <c r="C1533" s="164">
        <v>200028</v>
      </c>
      <c r="D1533" s="32">
        <v>1</v>
      </c>
      <c r="E1533" s="259">
        <v>410</v>
      </c>
      <c r="F1533" s="32">
        <v>1</v>
      </c>
      <c r="G1533" s="32"/>
      <c r="H1533" s="32"/>
      <c r="I1533" s="32"/>
    </row>
    <row r="1534" spans="2:9" hidden="1">
      <c r="B1534" s="32">
        <v>120019</v>
      </c>
      <c r="C1534" s="164">
        <v>200029</v>
      </c>
      <c r="D1534" s="32">
        <v>1</v>
      </c>
      <c r="E1534" s="259">
        <v>410</v>
      </c>
      <c r="F1534" s="32">
        <v>1</v>
      </c>
      <c r="G1534" s="32"/>
      <c r="H1534" s="32"/>
      <c r="I1534" s="32"/>
    </row>
    <row r="1535" spans="2:9" hidden="1">
      <c r="B1535" s="32">
        <v>120019</v>
      </c>
      <c r="C1535" s="164">
        <v>200032</v>
      </c>
      <c r="D1535" s="32">
        <v>1</v>
      </c>
      <c r="E1535" s="259">
        <v>8850</v>
      </c>
      <c r="F1535" s="32">
        <v>1</v>
      </c>
      <c r="G1535" s="32"/>
      <c r="H1535" s="32"/>
      <c r="I1535" s="32"/>
    </row>
    <row r="1536" spans="2:9" hidden="1">
      <c r="B1536" s="32">
        <v>120019</v>
      </c>
      <c r="C1536" s="164">
        <v>200033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1:9" hidden="1">
      <c r="B1537" s="32">
        <v>120019</v>
      </c>
      <c r="C1537" s="164">
        <v>200038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1:9" hidden="1">
      <c r="B1538" s="32">
        <v>120019</v>
      </c>
      <c r="C1538" s="164">
        <v>200044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1:9" hidden="1">
      <c r="B1539" s="32">
        <v>120019</v>
      </c>
      <c r="C1539" s="164">
        <v>200046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1:9" ht="13.5" hidden="1" customHeight="1">
      <c r="B1540" s="32">
        <v>120019</v>
      </c>
      <c r="C1540" s="164">
        <v>200048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1:9" ht="13.5" hidden="1" customHeight="1">
      <c r="B1541" s="32">
        <v>120019</v>
      </c>
      <c r="C1541" s="164">
        <v>200053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1:9" ht="13.5" hidden="1" customHeight="1">
      <c r="B1542" s="32">
        <v>120019</v>
      </c>
      <c r="C1542" s="164">
        <v>200059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1:9" hidden="1">
      <c r="B1543" s="32">
        <v>120019</v>
      </c>
      <c r="C1543" s="32">
        <v>200066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1:9" hidden="1">
      <c r="B1544" s="32">
        <v>120019</v>
      </c>
      <c r="C1544" s="32">
        <v>200067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1:9" hidden="1">
      <c r="B1545" s="32">
        <v>120019</v>
      </c>
      <c r="C1545" s="32">
        <v>200068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1:9" hidden="1">
      <c r="B1546" s="32">
        <v>120019</v>
      </c>
      <c r="C1546" s="32">
        <v>200069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1:9" hidden="1">
      <c r="B1547" s="32">
        <v>120019</v>
      </c>
      <c r="C1547" s="32">
        <v>200074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1:9" hidden="1">
      <c r="B1548" s="32">
        <v>120019</v>
      </c>
      <c r="C1548" s="32">
        <v>200077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1:9" hidden="1">
      <c r="A1549">
        <v>2310</v>
      </c>
      <c r="B1549" s="32">
        <v>120020</v>
      </c>
      <c r="C1549" s="163">
        <v>200003</v>
      </c>
      <c r="D1549" s="32">
        <v>1</v>
      </c>
      <c r="E1549" s="259">
        <v>410</v>
      </c>
      <c r="F1549" s="32">
        <v>1</v>
      </c>
      <c r="G1549" s="32"/>
      <c r="H1549" s="32"/>
      <c r="I1549" s="163" t="s">
        <v>1908</v>
      </c>
    </row>
    <row r="1550" spans="1:9" hidden="1">
      <c r="B1550" s="32">
        <v>120020</v>
      </c>
      <c r="C1550" s="163">
        <v>200004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1:9" hidden="1">
      <c r="B1551" s="32">
        <v>120020</v>
      </c>
      <c r="C1551" s="32">
        <v>200005</v>
      </c>
      <c r="D1551" s="32">
        <v>1</v>
      </c>
      <c r="E1551" s="259">
        <v>8850</v>
      </c>
      <c r="F1551" s="32">
        <v>1</v>
      </c>
      <c r="G1551" s="32"/>
      <c r="H1551" s="32"/>
      <c r="I1551" s="32"/>
    </row>
    <row r="1552" spans="1:9" hidden="1">
      <c r="B1552" s="32">
        <v>120020</v>
      </c>
      <c r="C1552" s="32">
        <v>200006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2:9" hidden="1">
      <c r="B1553" s="32">
        <v>120020</v>
      </c>
      <c r="C1553" s="32">
        <v>200007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2:9" hidden="1">
      <c r="B1554" s="32">
        <v>120020</v>
      </c>
      <c r="C1554" s="32">
        <v>200008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2:9" hidden="1">
      <c r="B1555" s="32">
        <v>120020</v>
      </c>
      <c r="C1555" s="164">
        <v>200009</v>
      </c>
      <c r="D1555" s="32">
        <v>1</v>
      </c>
      <c r="E1555" s="259">
        <v>8850</v>
      </c>
      <c r="F1555" s="32">
        <v>1</v>
      </c>
      <c r="G1555" s="32"/>
      <c r="H1555" s="32"/>
      <c r="I1555" s="32"/>
    </row>
    <row r="1556" spans="2:9" hidden="1">
      <c r="B1556" s="32">
        <v>120020</v>
      </c>
      <c r="C1556" s="164">
        <v>200010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2:9" hidden="1">
      <c r="B1557" s="32">
        <v>120020</v>
      </c>
      <c r="C1557" s="164">
        <v>200016</v>
      </c>
      <c r="D1557" s="32">
        <v>1</v>
      </c>
      <c r="E1557" s="259">
        <v>410</v>
      </c>
      <c r="F1557" s="32">
        <v>1</v>
      </c>
      <c r="G1557" s="32"/>
      <c r="H1557" s="32"/>
      <c r="I1557" s="32"/>
    </row>
    <row r="1558" spans="2:9" hidden="1">
      <c r="B1558" s="32">
        <v>120020</v>
      </c>
      <c r="C1558" s="164">
        <v>200017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2:9" hidden="1">
      <c r="B1559" s="32">
        <v>120020</v>
      </c>
      <c r="C1559" s="164">
        <v>200018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2:9" hidden="1">
      <c r="B1560" s="32">
        <v>120020</v>
      </c>
      <c r="C1560" s="164">
        <v>200019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2:9" hidden="1">
      <c r="B1561" s="32">
        <v>120020</v>
      </c>
      <c r="C1561" s="164">
        <v>200020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2:9" hidden="1">
      <c r="B1562" s="32">
        <v>120020</v>
      </c>
      <c r="C1562" s="164">
        <v>200021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2:9" hidden="1">
      <c r="B1563" s="32">
        <v>120020</v>
      </c>
      <c r="C1563" s="164">
        <v>200024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2:9" hidden="1">
      <c r="B1564" s="32">
        <v>120020</v>
      </c>
      <c r="C1564" s="164">
        <v>200026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2:9" hidden="1">
      <c r="B1565" s="32">
        <v>120020</v>
      </c>
      <c r="C1565" s="164">
        <v>200028</v>
      </c>
      <c r="D1565" s="32">
        <v>1</v>
      </c>
      <c r="E1565" s="259">
        <v>410</v>
      </c>
      <c r="F1565" s="32">
        <v>1</v>
      </c>
      <c r="G1565" s="32"/>
      <c r="H1565" s="32"/>
      <c r="I1565" s="32"/>
    </row>
    <row r="1566" spans="2:9" hidden="1">
      <c r="B1566" s="32">
        <v>120020</v>
      </c>
      <c r="C1566" s="164">
        <v>200029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2:9" hidden="1">
      <c r="B1567" s="32">
        <v>120020</v>
      </c>
      <c r="C1567" s="164">
        <v>200032</v>
      </c>
      <c r="D1567" s="32">
        <v>1</v>
      </c>
      <c r="E1567" s="259">
        <v>410</v>
      </c>
      <c r="F1567" s="32">
        <v>1</v>
      </c>
      <c r="G1567" s="32"/>
      <c r="H1567" s="32"/>
      <c r="I1567" s="32"/>
    </row>
    <row r="1568" spans="2:9" hidden="1">
      <c r="B1568" s="32">
        <v>120020</v>
      </c>
      <c r="C1568" s="164">
        <v>200033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1:9" hidden="1">
      <c r="B1569" s="32">
        <v>120020</v>
      </c>
      <c r="C1569" s="164">
        <v>200038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1:9" hidden="1">
      <c r="B1570" s="32">
        <v>120020</v>
      </c>
      <c r="C1570" s="164">
        <v>200044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1:9" hidden="1">
      <c r="B1571" s="32">
        <v>120020</v>
      </c>
      <c r="C1571" s="164">
        <v>200046</v>
      </c>
      <c r="D1571" s="32">
        <v>1</v>
      </c>
      <c r="E1571" s="259">
        <v>410</v>
      </c>
      <c r="F1571" s="32">
        <v>1</v>
      </c>
      <c r="G1571" s="32"/>
      <c r="H1571" s="32"/>
      <c r="I1571" s="32"/>
    </row>
    <row r="1572" spans="1:9" ht="13.5" hidden="1" customHeight="1">
      <c r="B1572" s="32">
        <v>120020</v>
      </c>
      <c r="C1572" s="164">
        <v>200048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1:9" ht="13.5" hidden="1" customHeight="1">
      <c r="B1573" s="32">
        <v>120020</v>
      </c>
      <c r="C1573" s="164">
        <v>200053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1:9" ht="13.5" hidden="1" customHeight="1">
      <c r="B1574" s="32">
        <v>120020</v>
      </c>
      <c r="C1574" s="164">
        <v>200059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1:9" hidden="1">
      <c r="B1575" s="32">
        <v>120020</v>
      </c>
      <c r="C1575" s="32">
        <v>200066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1:9" hidden="1">
      <c r="B1576" s="32">
        <v>120020</v>
      </c>
      <c r="C1576" s="32">
        <v>200067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1:9" hidden="1">
      <c r="B1577" s="32">
        <v>120020</v>
      </c>
      <c r="C1577" s="32">
        <v>200068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1:9" hidden="1">
      <c r="B1578" s="32">
        <v>120020</v>
      </c>
      <c r="C1578" s="32">
        <v>200069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1:9" hidden="1">
      <c r="B1579" s="32">
        <v>120020</v>
      </c>
      <c r="C1579" s="32">
        <v>200074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1:9" hidden="1">
      <c r="B1580" s="32">
        <v>120020</v>
      </c>
      <c r="C1580" s="32">
        <v>200077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1:9" hidden="1">
      <c r="A1581">
        <v>2311</v>
      </c>
      <c r="B1581" s="7">
        <v>120021</v>
      </c>
      <c r="C1581" s="141">
        <v>200003</v>
      </c>
      <c r="D1581" s="7">
        <v>1</v>
      </c>
      <c r="E1581" s="261">
        <v>410</v>
      </c>
      <c r="F1581" s="7">
        <v>1</v>
      </c>
      <c r="G1581" s="7"/>
      <c r="H1581" s="7"/>
      <c r="I1581" s="141" t="s">
        <v>1925</v>
      </c>
    </row>
    <row r="1582" spans="1:9" hidden="1">
      <c r="B1582" s="7">
        <v>120021</v>
      </c>
      <c r="C1582" s="141">
        <v>200004</v>
      </c>
      <c r="D1582" s="7">
        <v>1</v>
      </c>
      <c r="E1582" s="261">
        <v>410</v>
      </c>
      <c r="F1582" s="7">
        <v>1</v>
      </c>
      <c r="G1582" s="7"/>
      <c r="H1582" s="7"/>
      <c r="I1582" s="7"/>
    </row>
    <row r="1583" spans="1:9" hidden="1">
      <c r="B1583" s="7">
        <v>120021</v>
      </c>
      <c r="C1583" s="7">
        <v>200005</v>
      </c>
      <c r="D1583" s="7">
        <v>1</v>
      </c>
      <c r="E1583" s="261">
        <v>410</v>
      </c>
      <c r="F1583" s="7">
        <v>1</v>
      </c>
      <c r="G1583" s="7"/>
      <c r="H1583" s="7"/>
      <c r="I1583" s="7"/>
    </row>
    <row r="1584" spans="1:9" hidden="1">
      <c r="B1584" s="7">
        <v>120021</v>
      </c>
      <c r="C1584" s="7">
        <v>200006</v>
      </c>
      <c r="D1584" s="7">
        <v>1</v>
      </c>
      <c r="E1584" s="261">
        <v>410</v>
      </c>
      <c r="F1584" s="7">
        <v>1</v>
      </c>
      <c r="G1584" s="7"/>
      <c r="H1584" s="7"/>
      <c r="I1584" s="7"/>
    </row>
    <row r="1585" spans="2:9" hidden="1">
      <c r="B1585" s="7">
        <v>120021</v>
      </c>
      <c r="C1585" s="7">
        <v>200007</v>
      </c>
      <c r="D1585" s="7">
        <v>1</v>
      </c>
      <c r="E1585" s="261">
        <v>410</v>
      </c>
      <c r="F1585" s="7">
        <v>1</v>
      </c>
      <c r="G1585" s="7"/>
      <c r="H1585" s="7"/>
      <c r="I1585" s="7"/>
    </row>
    <row r="1586" spans="2:9" hidden="1">
      <c r="B1586" s="7">
        <v>120021</v>
      </c>
      <c r="C1586" s="7">
        <v>200008</v>
      </c>
      <c r="D1586" s="7">
        <v>1</v>
      </c>
      <c r="E1586" s="261">
        <v>410</v>
      </c>
      <c r="F1586" s="7">
        <v>1</v>
      </c>
      <c r="G1586" s="7"/>
      <c r="H1586" s="7"/>
      <c r="I1586" s="7"/>
    </row>
    <row r="1587" spans="2:9" hidden="1">
      <c r="B1587" s="7">
        <v>120021</v>
      </c>
      <c r="C1587" s="165">
        <v>200009</v>
      </c>
      <c r="D1587" s="7">
        <v>1</v>
      </c>
      <c r="E1587" s="261">
        <v>410</v>
      </c>
      <c r="F1587" s="7">
        <v>1</v>
      </c>
      <c r="G1587" s="7"/>
      <c r="H1587" s="7"/>
      <c r="I1587" s="7"/>
    </row>
    <row r="1588" spans="2:9" hidden="1">
      <c r="B1588" s="7">
        <v>120021</v>
      </c>
      <c r="C1588" s="165">
        <v>200010</v>
      </c>
      <c r="D1588" s="7">
        <v>1</v>
      </c>
      <c r="E1588" s="261">
        <v>410</v>
      </c>
      <c r="F1588" s="7">
        <v>1</v>
      </c>
      <c r="G1588" s="7"/>
      <c r="H1588" s="7"/>
      <c r="I1588" s="7"/>
    </row>
    <row r="1589" spans="2:9" hidden="1">
      <c r="B1589" s="7">
        <v>120021</v>
      </c>
      <c r="C1589" s="165">
        <v>200016</v>
      </c>
      <c r="D1589" s="7">
        <v>1</v>
      </c>
      <c r="E1589" s="261">
        <v>410</v>
      </c>
      <c r="F1589" s="7">
        <v>1</v>
      </c>
      <c r="G1589" s="7"/>
      <c r="H1589" s="7"/>
      <c r="I1589" s="7"/>
    </row>
    <row r="1590" spans="2:9" hidden="1">
      <c r="B1590" s="7">
        <v>120021</v>
      </c>
      <c r="C1590" s="165">
        <v>200017</v>
      </c>
      <c r="D1590" s="7">
        <v>1</v>
      </c>
      <c r="E1590" s="261">
        <v>410</v>
      </c>
      <c r="F1590" s="7">
        <v>1</v>
      </c>
      <c r="G1590" s="7"/>
      <c r="H1590" s="7"/>
      <c r="I1590" s="7"/>
    </row>
    <row r="1591" spans="2:9" hidden="1">
      <c r="B1591" s="7">
        <v>120021</v>
      </c>
      <c r="C1591" s="165">
        <v>200018</v>
      </c>
      <c r="D1591" s="7">
        <v>1</v>
      </c>
      <c r="E1591" s="261">
        <v>410</v>
      </c>
      <c r="F1591" s="7">
        <v>1</v>
      </c>
      <c r="G1591" s="7"/>
      <c r="H1591" s="7"/>
      <c r="I1591" s="7"/>
    </row>
    <row r="1592" spans="2:9" hidden="1">
      <c r="B1592" s="7">
        <v>120021</v>
      </c>
      <c r="C1592" s="165">
        <v>200019</v>
      </c>
      <c r="D1592" s="7">
        <v>1</v>
      </c>
      <c r="E1592" s="261">
        <v>410</v>
      </c>
      <c r="F1592" s="7">
        <v>1</v>
      </c>
      <c r="G1592" s="7"/>
      <c r="H1592" s="7"/>
      <c r="I1592" s="7"/>
    </row>
    <row r="1593" spans="2:9" hidden="1">
      <c r="B1593" s="7">
        <v>120021</v>
      </c>
      <c r="C1593" s="165">
        <v>200020</v>
      </c>
      <c r="D1593" s="7">
        <v>1</v>
      </c>
      <c r="E1593" s="261">
        <v>410</v>
      </c>
      <c r="F1593" s="7">
        <v>1</v>
      </c>
      <c r="G1593" s="7"/>
      <c r="H1593" s="7"/>
      <c r="I1593" s="7"/>
    </row>
    <row r="1594" spans="2:9" hidden="1">
      <c r="B1594" s="7">
        <v>120021</v>
      </c>
      <c r="C1594" s="165">
        <v>200021</v>
      </c>
      <c r="D1594" s="7">
        <v>1</v>
      </c>
      <c r="E1594" s="261">
        <v>410</v>
      </c>
      <c r="F1594" s="7">
        <v>1</v>
      </c>
      <c r="G1594" s="7"/>
      <c r="H1594" s="7"/>
      <c r="I1594" s="7"/>
    </row>
    <row r="1595" spans="2:9" hidden="1">
      <c r="B1595" s="7">
        <v>120021</v>
      </c>
      <c r="C1595" s="165">
        <v>200024</v>
      </c>
      <c r="D1595" s="7">
        <v>1</v>
      </c>
      <c r="E1595" s="261">
        <v>410</v>
      </c>
      <c r="F1595" s="7">
        <v>1</v>
      </c>
      <c r="G1595" s="7"/>
      <c r="H1595" s="7"/>
      <c r="I1595" s="7"/>
    </row>
    <row r="1596" spans="2:9" hidden="1">
      <c r="B1596" s="7">
        <v>120021</v>
      </c>
      <c r="C1596" s="165">
        <v>200026</v>
      </c>
      <c r="D1596" s="7">
        <v>1</v>
      </c>
      <c r="E1596" s="261">
        <v>410</v>
      </c>
      <c r="F1596" s="7">
        <v>1</v>
      </c>
      <c r="G1596" s="7"/>
      <c r="H1596" s="7"/>
      <c r="I1596" s="7"/>
    </row>
    <row r="1597" spans="2:9" hidden="1">
      <c r="B1597" s="7">
        <v>120021</v>
      </c>
      <c r="C1597" s="165">
        <v>200028</v>
      </c>
      <c r="D1597" s="7">
        <v>1</v>
      </c>
      <c r="E1597" s="261">
        <v>410</v>
      </c>
      <c r="F1597" s="7">
        <v>1</v>
      </c>
      <c r="G1597" s="7"/>
      <c r="H1597" s="7"/>
      <c r="I1597" s="7"/>
    </row>
    <row r="1598" spans="2:9" hidden="1">
      <c r="B1598" s="7">
        <v>120021</v>
      </c>
      <c r="C1598" s="165">
        <v>200029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2:9" hidden="1">
      <c r="B1599" s="7">
        <v>120021</v>
      </c>
      <c r="C1599" s="165">
        <v>200032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2:9" hidden="1">
      <c r="B1600" s="7">
        <v>120021</v>
      </c>
      <c r="C1600" s="165">
        <v>200033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165">
        <v>200038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165">
        <v>200044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200046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t="13.5" hidden="1" customHeight="1">
      <c r="B1604" s="7">
        <v>120021</v>
      </c>
      <c r="C1604" s="165">
        <v>200048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t="13.5" hidden="1" customHeight="1">
      <c r="B1605" s="7">
        <v>120021</v>
      </c>
      <c r="C1605" s="165">
        <v>200053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t="13.5" hidden="1" customHeight="1">
      <c r="B1606" s="7">
        <v>120021</v>
      </c>
      <c r="C1606" s="165">
        <v>200059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7">
        <v>200066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7">
        <v>200067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7">
        <v>200068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7">
        <v>200069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7">
        <v>200074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idden="1">
      <c r="B1612" s="7">
        <v>120021</v>
      </c>
      <c r="C1612" s="7">
        <v>200077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idden="1">
      <c r="B1613" s="7">
        <v>120021</v>
      </c>
      <c r="C1613" s="7">
        <v>200079</v>
      </c>
      <c r="D1613" s="7">
        <v>1</v>
      </c>
      <c r="E1613" s="261">
        <v>4720</v>
      </c>
      <c r="F1613" s="7">
        <v>1</v>
      </c>
      <c r="G1613" s="7"/>
      <c r="H1613" s="7"/>
      <c r="I1613" s="7"/>
    </row>
    <row r="1614" spans="2:9" hidden="1">
      <c r="B1614" s="7">
        <v>120021</v>
      </c>
      <c r="C1614" s="7">
        <v>200080</v>
      </c>
      <c r="D1614" s="7">
        <v>1</v>
      </c>
      <c r="E1614" s="261">
        <v>4720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7">
        <v>200081</v>
      </c>
      <c r="D1615" s="7">
        <v>1</v>
      </c>
      <c r="E1615" s="261">
        <v>4720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7">
        <v>200082</v>
      </c>
      <c r="D1616" s="7">
        <v>1</v>
      </c>
      <c r="E1616" s="261">
        <v>4720</v>
      </c>
      <c r="F1616" s="7">
        <v>1</v>
      </c>
      <c r="G1616" s="7"/>
      <c r="H1616" s="7"/>
      <c r="I1616" s="7"/>
    </row>
    <row r="1617" spans="1:9" hidden="1">
      <c r="A1617">
        <v>2311</v>
      </c>
      <c r="B1617" s="7">
        <v>120022</v>
      </c>
      <c r="C1617" s="141">
        <v>200003</v>
      </c>
      <c r="D1617" s="7">
        <v>1</v>
      </c>
      <c r="E1617" s="261">
        <v>410</v>
      </c>
      <c r="F1617" s="7">
        <v>1</v>
      </c>
      <c r="G1617" s="7"/>
      <c r="H1617" s="7"/>
      <c r="I1617" s="240" t="s">
        <v>1919</v>
      </c>
    </row>
    <row r="1618" spans="1:9" hidden="1">
      <c r="B1618" s="7">
        <v>120022</v>
      </c>
      <c r="C1618" s="141">
        <v>200004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1:9" hidden="1">
      <c r="B1619" s="7">
        <v>120022</v>
      </c>
      <c r="C1619" s="7">
        <v>200005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1:9" hidden="1">
      <c r="B1620" s="7">
        <v>120022</v>
      </c>
      <c r="C1620" s="7">
        <v>200006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1:9" hidden="1">
      <c r="B1621" s="7">
        <v>120022</v>
      </c>
      <c r="C1621" s="7">
        <v>200007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1:9" hidden="1">
      <c r="B1622" s="7">
        <v>120022</v>
      </c>
      <c r="C1622" s="7">
        <v>200008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1:9" hidden="1">
      <c r="B1623" s="7">
        <v>120022</v>
      </c>
      <c r="C1623" s="165">
        <v>200009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1:9" hidden="1">
      <c r="B1624" s="7">
        <v>120022</v>
      </c>
      <c r="C1624" s="165">
        <v>200010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1:9" hidden="1">
      <c r="B1625" s="7">
        <v>120022</v>
      </c>
      <c r="C1625" s="165">
        <v>200016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1:9" hidden="1">
      <c r="B1626" s="7">
        <v>120022</v>
      </c>
      <c r="C1626" s="165">
        <v>200017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1:9" hidden="1">
      <c r="B1627" s="7">
        <v>120022</v>
      </c>
      <c r="C1627" s="165">
        <v>200018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1:9" hidden="1">
      <c r="B1628" s="7">
        <v>120022</v>
      </c>
      <c r="C1628" s="165">
        <v>200019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1:9" hidden="1">
      <c r="B1629" s="7">
        <v>120022</v>
      </c>
      <c r="C1629" s="165">
        <v>200020</v>
      </c>
      <c r="D1629" s="7">
        <v>1</v>
      </c>
      <c r="E1629" s="261">
        <v>410</v>
      </c>
      <c r="F1629" s="7">
        <v>1</v>
      </c>
      <c r="G1629" s="7"/>
      <c r="H1629" s="7"/>
      <c r="I1629" s="7"/>
    </row>
    <row r="1630" spans="1:9" hidden="1">
      <c r="B1630" s="7">
        <v>120022</v>
      </c>
      <c r="C1630" s="165">
        <v>200021</v>
      </c>
      <c r="D1630" s="7">
        <v>1</v>
      </c>
      <c r="E1630" s="261">
        <v>410</v>
      </c>
      <c r="F1630" s="7">
        <v>1</v>
      </c>
      <c r="G1630" s="7"/>
      <c r="H1630" s="7"/>
      <c r="I1630" s="7"/>
    </row>
    <row r="1631" spans="1:9" hidden="1">
      <c r="B1631" s="7">
        <v>120022</v>
      </c>
      <c r="C1631" s="165">
        <v>200024</v>
      </c>
      <c r="D1631" s="7">
        <v>1</v>
      </c>
      <c r="E1631" s="261">
        <v>8850</v>
      </c>
      <c r="F1631" s="7">
        <v>1</v>
      </c>
      <c r="G1631" s="7"/>
      <c r="H1631" s="7"/>
      <c r="I1631" s="7"/>
    </row>
    <row r="1632" spans="1:9" hidden="1">
      <c r="B1632" s="7">
        <v>120022</v>
      </c>
      <c r="C1632" s="165">
        <v>200026</v>
      </c>
      <c r="D1632" s="7">
        <v>1</v>
      </c>
      <c r="E1632" s="261">
        <v>410</v>
      </c>
      <c r="F1632" s="7">
        <v>1</v>
      </c>
      <c r="G1632" s="7"/>
      <c r="H1632" s="7"/>
      <c r="I1632" s="7"/>
    </row>
    <row r="1633" spans="2:9" hidden="1">
      <c r="B1633" s="7">
        <v>120022</v>
      </c>
      <c r="C1633" s="165">
        <v>200028</v>
      </c>
      <c r="D1633" s="7">
        <v>1</v>
      </c>
      <c r="E1633" s="261">
        <v>410</v>
      </c>
      <c r="F1633" s="7">
        <v>1</v>
      </c>
      <c r="G1633" s="7"/>
      <c r="H1633" s="7"/>
      <c r="I1633" s="7"/>
    </row>
    <row r="1634" spans="2:9" hidden="1">
      <c r="B1634" s="7">
        <v>120022</v>
      </c>
      <c r="C1634" s="165">
        <v>200029</v>
      </c>
      <c r="D1634" s="7">
        <v>1</v>
      </c>
      <c r="E1634" s="261">
        <v>8850</v>
      </c>
      <c r="F1634" s="7">
        <v>1</v>
      </c>
      <c r="G1634" s="7"/>
      <c r="H1634" s="7"/>
      <c r="I1634" s="7"/>
    </row>
    <row r="1635" spans="2:9" hidden="1">
      <c r="B1635" s="7">
        <v>120022</v>
      </c>
      <c r="C1635" s="165">
        <v>200032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2:9" hidden="1">
      <c r="B1636" s="7">
        <v>120022</v>
      </c>
      <c r="C1636" s="165">
        <v>200033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2:9" hidden="1">
      <c r="B1637" s="7">
        <v>120022</v>
      </c>
      <c r="C1637" s="165">
        <v>200038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2:9" hidden="1">
      <c r="B1638" s="7">
        <v>120022</v>
      </c>
      <c r="C1638" s="165">
        <v>200044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2:9" hidden="1">
      <c r="B1639" s="7">
        <v>120022</v>
      </c>
      <c r="C1639" s="165">
        <v>200046</v>
      </c>
      <c r="D1639" s="7">
        <v>1</v>
      </c>
      <c r="E1639" s="261">
        <v>410</v>
      </c>
      <c r="F1639" s="7">
        <v>1</v>
      </c>
      <c r="G1639" s="7"/>
      <c r="H1639" s="7"/>
      <c r="I1639" s="7"/>
    </row>
    <row r="1640" spans="2:9" ht="13.5" hidden="1" customHeight="1">
      <c r="B1640" s="7">
        <v>120022</v>
      </c>
      <c r="C1640" s="165">
        <v>200048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2:9" ht="13.5" hidden="1" customHeight="1">
      <c r="B1641" s="7">
        <v>120022</v>
      </c>
      <c r="C1641" s="165">
        <v>200053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2:9" ht="13.5" hidden="1" customHeight="1">
      <c r="B1642" s="7">
        <v>120022</v>
      </c>
      <c r="C1642" s="165">
        <v>200059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2:9" hidden="1">
      <c r="B1643" s="7">
        <v>120022</v>
      </c>
      <c r="C1643" s="7">
        <v>200066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2:9" hidden="1">
      <c r="B1644" s="7">
        <v>120022</v>
      </c>
      <c r="C1644" s="7">
        <v>200067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2:9" hidden="1">
      <c r="B1645" s="7">
        <v>120022</v>
      </c>
      <c r="C1645" s="7">
        <v>200068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2:9" hidden="1">
      <c r="B1646" s="7">
        <v>120022</v>
      </c>
      <c r="C1646" s="7">
        <v>200069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2:9" hidden="1">
      <c r="B1647" s="7">
        <v>120022</v>
      </c>
      <c r="C1647" s="7">
        <v>200074</v>
      </c>
      <c r="D1647" s="7">
        <v>1</v>
      </c>
      <c r="E1647" s="261">
        <v>410</v>
      </c>
      <c r="F1647" s="7">
        <v>1</v>
      </c>
      <c r="G1647" s="7"/>
      <c r="H1647" s="7"/>
      <c r="I1647" s="7"/>
    </row>
    <row r="1648" spans="2:9" hidden="1">
      <c r="B1648" s="7">
        <v>120022</v>
      </c>
      <c r="C1648" s="7">
        <v>200077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1:9" hidden="1">
      <c r="A1649">
        <v>2311</v>
      </c>
      <c r="B1649" s="7">
        <v>120023</v>
      </c>
      <c r="C1649" s="141">
        <v>200003</v>
      </c>
      <c r="D1649" s="7">
        <v>1</v>
      </c>
      <c r="E1649" s="261">
        <v>410</v>
      </c>
      <c r="F1649" s="7">
        <v>1</v>
      </c>
      <c r="G1649" s="7"/>
      <c r="H1649" s="7"/>
      <c r="I1649" s="240" t="s">
        <v>1920</v>
      </c>
    </row>
    <row r="1650" spans="1:9" hidden="1">
      <c r="B1650" s="7">
        <v>120023</v>
      </c>
      <c r="C1650" s="141">
        <v>200004</v>
      </c>
      <c r="D1650" s="7">
        <v>1</v>
      </c>
      <c r="E1650" s="261">
        <v>410</v>
      </c>
      <c r="F1650" s="7">
        <v>1</v>
      </c>
      <c r="G1650" s="7"/>
      <c r="H1650" s="7"/>
      <c r="I1650" s="7"/>
    </row>
    <row r="1651" spans="1:9" hidden="1">
      <c r="B1651" s="7">
        <v>120023</v>
      </c>
      <c r="C1651" s="7">
        <v>200005</v>
      </c>
      <c r="D1651" s="7">
        <v>1</v>
      </c>
      <c r="E1651" s="261">
        <v>8850</v>
      </c>
      <c r="F1651" s="7">
        <v>1</v>
      </c>
      <c r="G1651" s="7"/>
      <c r="H1651" s="7"/>
      <c r="I1651" s="7"/>
    </row>
    <row r="1652" spans="1:9" hidden="1">
      <c r="B1652" s="7">
        <v>120023</v>
      </c>
      <c r="C1652" s="7">
        <v>200006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1:9" hidden="1">
      <c r="B1653" s="7">
        <v>120023</v>
      </c>
      <c r="C1653" s="7">
        <v>200007</v>
      </c>
      <c r="D1653" s="7">
        <v>1</v>
      </c>
      <c r="E1653" s="261">
        <v>8850</v>
      </c>
      <c r="F1653" s="7">
        <v>1</v>
      </c>
      <c r="G1653" s="7"/>
      <c r="H1653" s="7"/>
      <c r="I1653" s="7"/>
    </row>
    <row r="1654" spans="1:9" hidden="1">
      <c r="B1654" s="7">
        <v>120023</v>
      </c>
      <c r="C1654" s="7">
        <v>200008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1:9" hidden="1">
      <c r="B1655" s="7">
        <v>120023</v>
      </c>
      <c r="C1655" s="165">
        <v>200009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1:9" hidden="1">
      <c r="B1656" s="7">
        <v>120023</v>
      </c>
      <c r="C1656" s="165">
        <v>200010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1:9" hidden="1">
      <c r="B1657" s="7">
        <v>120023</v>
      </c>
      <c r="C1657" s="165">
        <v>200016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1:9" hidden="1">
      <c r="B1658" s="7">
        <v>120023</v>
      </c>
      <c r="C1658" s="165">
        <v>200017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1:9" hidden="1">
      <c r="B1659" s="7">
        <v>120023</v>
      </c>
      <c r="C1659" s="165">
        <v>200018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1:9" hidden="1">
      <c r="B1660" s="7">
        <v>120023</v>
      </c>
      <c r="C1660" s="165">
        <v>200019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1:9" hidden="1">
      <c r="B1661" s="7">
        <v>120023</v>
      </c>
      <c r="C1661" s="165">
        <v>200020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1:9" hidden="1">
      <c r="B1662" s="7">
        <v>120023</v>
      </c>
      <c r="C1662" s="165">
        <v>200021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1:9" hidden="1">
      <c r="B1663" s="7">
        <v>120023</v>
      </c>
      <c r="C1663" s="165">
        <v>200024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1:9" hidden="1">
      <c r="B1664" s="7">
        <v>120023</v>
      </c>
      <c r="C1664" s="165">
        <v>200026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2:9" hidden="1">
      <c r="B1665" s="7">
        <v>120023</v>
      </c>
      <c r="C1665" s="165">
        <v>200028</v>
      </c>
      <c r="D1665" s="7">
        <v>1</v>
      </c>
      <c r="E1665" s="261">
        <v>410</v>
      </c>
      <c r="F1665" s="7">
        <v>1</v>
      </c>
      <c r="G1665" s="7"/>
      <c r="H1665" s="7"/>
      <c r="I1665" s="7"/>
    </row>
    <row r="1666" spans="2:9" hidden="1">
      <c r="B1666" s="7">
        <v>120023</v>
      </c>
      <c r="C1666" s="165">
        <v>200029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2:9" hidden="1">
      <c r="B1667" s="7">
        <v>120023</v>
      </c>
      <c r="C1667" s="165">
        <v>200032</v>
      </c>
      <c r="D1667" s="7">
        <v>1</v>
      </c>
      <c r="E1667" s="261">
        <v>410</v>
      </c>
      <c r="F1667" s="7">
        <v>1</v>
      </c>
      <c r="G1667" s="7"/>
      <c r="H1667" s="7"/>
      <c r="I1667" s="7"/>
    </row>
    <row r="1668" spans="2:9" hidden="1">
      <c r="B1668" s="7">
        <v>120023</v>
      </c>
      <c r="C1668" s="165">
        <v>200033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2:9" hidden="1">
      <c r="B1669" s="7">
        <v>120023</v>
      </c>
      <c r="C1669" s="165">
        <v>200038</v>
      </c>
      <c r="D1669" s="7">
        <v>1</v>
      </c>
      <c r="E1669" s="261">
        <v>410</v>
      </c>
      <c r="F1669" s="7">
        <v>1</v>
      </c>
      <c r="G1669" s="7"/>
      <c r="H1669" s="7"/>
      <c r="I1669" s="7"/>
    </row>
    <row r="1670" spans="2:9" hidden="1">
      <c r="B1670" s="7">
        <v>120023</v>
      </c>
      <c r="C1670" s="165">
        <v>200044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2:9" hidden="1">
      <c r="B1671" s="7">
        <v>120023</v>
      </c>
      <c r="C1671" s="165">
        <v>200046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2:9" ht="13.5" hidden="1" customHeight="1">
      <c r="B1672" s="7">
        <v>120023</v>
      </c>
      <c r="C1672" s="165">
        <v>200048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2:9" ht="13.5" hidden="1" customHeight="1">
      <c r="B1673" s="7">
        <v>120023</v>
      </c>
      <c r="C1673" s="165">
        <v>200053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2:9" ht="13.5" hidden="1" customHeight="1">
      <c r="B1674" s="7">
        <v>120023</v>
      </c>
      <c r="C1674" s="165">
        <v>200059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2:9" hidden="1">
      <c r="B1675" s="7">
        <v>120023</v>
      </c>
      <c r="C1675" s="7">
        <v>200066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2:9" hidden="1">
      <c r="B1676" s="7">
        <v>120023</v>
      </c>
      <c r="C1676" s="7">
        <v>200067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2:9" hidden="1">
      <c r="B1677" s="7">
        <v>120023</v>
      </c>
      <c r="C1677" s="7">
        <v>200068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2:9" hidden="1">
      <c r="B1678" s="7">
        <v>120023</v>
      </c>
      <c r="C1678" s="7">
        <v>200069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2:9" hidden="1">
      <c r="B1679" s="7">
        <v>120023</v>
      </c>
      <c r="C1679" s="7">
        <v>200074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2:9" hidden="1">
      <c r="B1680" s="7">
        <v>120023</v>
      </c>
      <c r="C1680" s="7">
        <v>200077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1:9" hidden="1">
      <c r="A1681">
        <v>2311</v>
      </c>
      <c r="B1681" s="7">
        <v>120024</v>
      </c>
      <c r="C1681" s="141">
        <v>200003</v>
      </c>
      <c r="D1681" s="7">
        <v>1</v>
      </c>
      <c r="E1681" s="261">
        <v>410</v>
      </c>
      <c r="F1681" s="7">
        <v>1</v>
      </c>
      <c r="G1681" s="7"/>
      <c r="H1681" s="7"/>
      <c r="I1681" s="240" t="s">
        <v>1921</v>
      </c>
    </row>
    <row r="1682" spans="1:9" hidden="1">
      <c r="B1682" s="7">
        <v>120024</v>
      </c>
      <c r="C1682" s="141">
        <v>200004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1:9" hidden="1">
      <c r="B1683" s="7">
        <v>120024</v>
      </c>
      <c r="C1683" s="7">
        <v>200005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1:9" hidden="1">
      <c r="B1684" s="7">
        <v>120024</v>
      </c>
      <c r="C1684" s="7">
        <v>200006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1:9" hidden="1">
      <c r="B1685" s="7">
        <v>120024</v>
      </c>
      <c r="C1685" s="7">
        <v>200007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1:9" hidden="1">
      <c r="B1686" s="7">
        <v>120024</v>
      </c>
      <c r="C1686" s="7">
        <v>200008</v>
      </c>
      <c r="D1686" s="7">
        <v>1</v>
      </c>
      <c r="E1686" s="261">
        <v>8850</v>
      </c>
      <c r="F1686" s="7">
        <v>1</v>
      </c>
      <c r="G1686" s="7"/>
      <c r="H1686" s="7"/>
      <c r="I1686" s="7"/>
    </row>
    <row r="1687" spans="1:9" hidden="1">
      <c r="B1687" s="7">
        <v>120024</v>
      </c>
      <c r="C1687" s="165">
        <v>200009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1:9" hidden="1">
      <c r="B1688" s="7">
        <v>120024</v>
      </c>
      <c r="C1688" s="165">
        <v>200010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1:9" hidden="1">
      <c r="B1689" s="7">
        <v>120024</v>
      </c>
      <c r="C1689" s="165">
        <v>200016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1:9" hidden="1">
      <c r="B1690" s="7">
        <v>120024</v>
      </c>
      <c r="C1690" s="165">
        <v>200017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1:9" hidden="1">
      <c r="B1691" s="7">
        <v>120024</v>
      </c>
      <c r="C1691" s="165">
        <v>200018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1:9" hidden="1">
      <c r="B1692" s="7">
        <v>120024</v>
      </c>
      <c r="C1692" s="165">
        <v>200019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1:9" hidden="1">
      <c r="B1693" s="7">
        <v>120024</v>
      </c>
      <c r="C1693" s="165">
        <v>200020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1:9" hidden="1">
      <c r="B1694" s="7">
        <v>120024</v>
      </c>
      <c r="C1694" s="165">
        <v>200021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1:9" hidden="1">
      <c r="B1695" s="7">
        <v>120024</v>
      </c>
      <c r="C1695" s="165">
        <v>200024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1:9" hidden="1">
      <c r="B1696" s="7">
        <v>120024</v>
      </c>
      <c r="C1696" s="165">
        <v>200026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2:9" hidden="1">
      <c r="B1697" s="7">
        <v>120024</v>
      </c>
      <c r="C1697" s="165">
        <v>200028</v>
      </c>
      <c r="D1697" s="7">
        <v>1</v>
      </c>
      <c r="E1697" s="261">
        <v>8850</v>
      </c>
      <c r="F1697" s="7">
        <v>1</v>
      </c>
      <c r="G1697" s="7"/>
      <c r="H1697" s="7"/>
      <c r="I1697" s="7"/>
    </row>
    <row r="1698" spans="2:9" hidden="1">
      <c r="B1698" s="7">
        <v>120024</v>
      </c>
      <c r="C1698" s="165">
        <v>200029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2:9" hidden="1">
      <c r="B1699" s="7">
        <v>120024</v>
      </c>
      <c r="C1699" s="165">
        <v>200032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2:9" hidden="1">
      <c r="B1700" s="7">
        <v>120024</v>
      </c>
      <c r="C1700" s="165">
        <v>200033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2:9" hidden="1">
      <c r="B1701" s="7">
        <v>120024</v>
      </c>
      <c r="C1701" s="165">
        <v>200038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2:9" hidden="1">
      <c r="B1702" s="7">
        <v>120024</v>
      </c>
      <c r="C1702" s="165">
        <v>200044</v>
      </c>
      <c r="D1702" s="7">
        <v>1</v>
      </c>
      <c r="E1702" s="261">
        <v>410</v>
      </c>
      <c r="F1702" s="7">
        <v>1</v>
      </c>
      <c r="G1702" s="7"/>
      <c r="H1702" s="7"/>
      <c r="I1702" s="7"/>
    </row>
    <row r="1703" spans="2:9" hidden="1">
      <c r="B1703" s="7">
        <v>120024</v>
      </c>
      <c r="C1703" s="165">
        <v>200046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2:9" ht="13.5" hidden="1" customHeight="1">
      <c r="B1704" s="7">
        <v>120024</v>
      </c>
      <c r="C1704" s="165">
        <v>200048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2:9" ht="13.5" hidden="1" customHeight="1">
      <c r="B1705" s="7">
        <v>120024</v>
      </c>
      <c r="C1705" s="165">
        <v>200053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2:9" ht="13.5" hidden="1" customHeight="1">
      <c r="B1706" s="7">
        <v>120024</v>
      </c>
      <c r="C1706" s="165">
        <v>200059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2:9" hidden="1">
      <c r="B1707" s="7">
        <v>120024</v>
      </c>
      <c r="C1707" s="7">
        <v>200066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2:9" hidden="1">
      <c r="B1708" s="7">
        <v>120024</v>
      </c>
      <c r="C1708" s="7">
        <v>200067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2:9" hidden="1">
      <c r="B1709" s="7">
        <v>120024</v>
      </c>
      <c r="C1709" s="7">
        <v>200068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2:9" hidden="1">
      <c r="B1710" s="7">
        <v>120024</v>
      </c>
      <c r="C1710" s="7">
        <v>200069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2:9" hidden="1">
      <c r="B1711" s="7">
        <v>120024</v>
      </c>
      <c r="C1711" s="7">
        <v>200074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2:9" hidden="1">
      <c r="B1712" s="7">
        <v>120024</v>
      </c>
      <c r="C1712" s="7">
        <v>200077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233">
        <v>130001</v>
      </c>
      <c r="C1713" s="233">
        <v>200011</v>
      </c>
      <c r="D1713" s="233">
        <v>1</v>
      </c>
      <c r="E1713" s="233">
        <v>2</v>
      </c>
      <c r="F1713" s="233">
        <v>1</v>
      </c>
      <c r="G1713" s="233"/>
      <c r="H1713" s="233"/>
      <c r="I1713" s="214" t="s">
        <v>1792</v>
      </c>
    </row>
    <row r="1714" spans="2:9" hidden="1">
      <c r="B1714" s="233">
        <v>130001</v>
      </c>
      <c r="C1714" s="233">
        <v>200012</v>
      </c>
      <c r="D1714" s="233">
        <v>1</v>
      </c>
      <c r="E1714" s="233">
        <v>2</v>
      </c>
      <c r="F1714" s="233">
        <v>1</v>
      </c>
      <c r="G1714" s="233"/>
      <c r="H1714" s="233"/>
      <c r="I1714" s="233"/>
    </row>
    <row r="1715" spans="2:9" hidden="1">
      <c r="B1715" s="233">
        <v>130001</v>
      </c>
      <c r="C1715" s="233">
        <v>200013</v>
      </c>
      <c r="D1715" s="233">
        <v>1</v>
      </c>
      <c r="E1715" s="233">
        <v>2</v>
      </c>
      <c r="F1715" s="233">
        <v>1</v>
      </c>
      <c r="G1715" s="233"/>
      <c r="H1715" s="233"/>
      <c r="I1715" s="233"/>
    </row>
    <row r="1716" spans="2:9" hidden="1">
      <c r="B1716" s="233">
        <v>130001</v>
      </c>
      <c r="C1716" s="233">
        <v>200014</v>
      </c>
      <c r="D1716" s="233">
        <v>1</v>
      </c>
      <c r="E1716" s="233">
        <v>2</v>
      </c>
      <c r="F1716" s="233">
        <v>1</v>
      </c>
      <c r="G1716" s="233"/>
      <c r="H1716" s="233"/>
      <c r="I1716" s="233"/>
    </row>
    <row r="1717" spans="2:9" hidden="1">
      <c r="B1717" s="233">
        <v>130001</v>
      </c>
      <c r="C1717" s="234">
        <v>200022</v>
      </c>
      <c r="D1717" s="233">
        <v>1</v>
      </c>
      <c r="E1717" s="233">
        <v>2</v>
      </c>
      <c r="F1717" s="233">
        <v>1</v>
      </c>
      <c r="G1717" s="233"/>
      <c r="H1717" s="233"/>
      <c r="I1717" s="233"/>
    </row>
    <row r="1718" spans="2:9" hidden="1">
      <c r="B1718" s="233">
        <v>130001</v>
      </c>
      <c r="C1718" s="234">
        <v>200023</v>
      </c>
      <c r="D1718" s="233">
        <v>1</v>
      </c>
      <c r="E1718" s="233">
        <v>2</v>
      </c>
      <c r="F1718" s="233">
        <v>1</v>
      </c>
      <c r="G1718" s="233"/>
      <c r="H1718" s="233"/>
      <c r="I1718" s="233"/>
    </row>
    <row r="1719" spans="2:9" hidden="1">
      <c r="B1719" s="233">
        <v>130001</v>
      </c>
      <c r="C1719" s="234">
        <v>200025</v>
      </c>
      <c r="D1719" s="233">
        <v>1</v>
      </c>
      <c r="E1719" s="233">
        <v>14</v>
      </c>
      <c r="F1719" s="233">
        <v>1</v>
      </c>
      <c r="G1719" s="233"/>
      <c r="H1719" s="233"/>
      <c r="I1719" s="233"/>
    </row>
    <row r="1720" spans="2:9" hidden="1">
      <c r="B1720" s="233">
        <v>130001</v>
      </c>
      <c r="C1720" s="234">
        <v>200027</v>
      </c>
      <c r="D1720" s="233">
        <v>1</v>
      </c>
      <c r="E1720" s="233">
        <v>2</v>
      </c>
      <c r="F1720" s="233">
        <v>1</v>
      </c>
      <c r="G1720" s="233"/>
      <c r="H1720" s="233"/>
      <c r="I1720" s="233"/>
    </row>
    <row r="1721" spans="2:9" hidden="1">
      <c r="B1721" s="233">
        <v>130001</v>
      </c>
      <c r="C1721" s="234">
        <v>200030</v>
      </c>
      <c r="D1721" s="233">
        <v>1</v>
      </c>
      <c r="E1721" s="233">
        <v>2</v>
      </c>
      <c r="F1721" s="233">
        <v>1</v>
      </c>
      <c r="G1721" s="233"/>
      <c r="H1721" s="233"/>
      <c r="I1721" s="233"/>
    </row>
    <row r="1722" spans="2:9" hidden="1">
      <c r="B1722" s="233">
        <v>130001</v>
      </c>
      <c r="C1722" s="234">
        <v>200031</v>
      </c>
      <c r="D1722" s="233">
        <v>1</v>
      </c>
      <c r="E1722" s="233">
        <v>14</v>
      </c>
      <c r="F1722" s="233">
        <v>1</v>
      </c>
      <c r="G1722" s="233"/>
      <c r="H1722" s="233"/>
      <c r="I1722" s="233"/>
    </row>
    <row r="1723" spans="2:9" hidden="1">
      <c r="B1723" s="233">
        <v>130001</v>
      </c>
      <c r="C1723" s="234">
        <v>200039</v>
      </c>
      <c r="D1723" s="233">
        <v>1</v>
      </c>
      <c r="E1723" s="233">
        <v>2</v>
      </c>
      <c r="F1723" s="233">
        <v>1</v>
      </c>
      <c r="G1723" s="233"/>
      <c r="H1723" s="233"/>
      <c r="I1723" s="233"/>
    </row>
    <row r="1724" spans="2:9" hidden="1">
      <c r="B1724" s="233">
        <v>130001</v>
      </c>
      <c r="C1724" s="234">
        <v>200045</v>
      </c>
      <c r="D1724" s="233">
        <v>1</v>
      </c>
      <c r="E1724" s="233">
        <v>2</v>
      </c>
      <c r="F1724" s="233">
        <v>1</v>
      </c>
      <c r="G1724" s="233"/>
      <c r="H1724" s="233"/>
      <c r="I1724" s="233"/>
    </row>
    <row r="1725" spans="2:9" hidden="1">
      <c r="B1725" s="233">
        <v>130001</v>
      </c>
      <c r="C1725" s="234">
        <v>200047</v>
      </c>
      <c r="D1725" s="233">
        <v>1</v>
      </c>
      <c r="E1725" s="233">
        <v>2</v>
      </c>
      <c r="F1725" s="233">
        <v>1</v>
      </c>
      <c r="G1725" s="233"/>
      <c r="H1725" s="233"/>
      <c r="I1725" s="233"/>
    </row>
    <row r="1726" spans="2:9" hidden="1">
      <c r="B1726" s="233">
        <v>130001</v>
      </c>
      <c r="C1726" s="234">
        <v>200049</v>
      </c>
      <c r="D1726" s="233">
        <v>1</v>
      </c>
      <c r="E1726" s="233">
        <v>2</v>
      </c>
      <c r="F1726" s="233">
        <v>1</v>
      </c>
      <c r="G1726" s="233"/>
      <c r="H1726" s="233"/>
      <c r="I1726" s="233"/>
    </row>
    <row r="1727" spans="2:9" hidden="1">
      <c r="B1727" s="233">
        <v>130001</v>
      </c>
      <c r="C1727" s="234">
        <v>200054</v>
      </c>
      <c r="D1727" s="233">
        <v>1</v>
      </c>
      <c r="E1727" s="233">
        <v>2</v>
      </c>
      <c r="F1727" s="233">
        <v>1</v>
      </c>
      <c r="G1727" s="233"/>
      <c r="H1727" s="233"/>
      <c r="I1727" s="233"/>
    </row>
    <row r="1728" spans="2:9" hidden="1">
      <c r="B1728" s="233">
        <v>130001</v>
      </c>
      <c r="C1728" s="234">
        <v>200060</v>
      </c>
      <c r="D1728" s="233">
        <v>1</v>
      </c>
      <c r="E1728" s="233">
        <v>2</v>
      </c>
      <c r="F1728" s="233">
        <v>1</v>
      </c>
      <c r="G1728" s="233"/>
      <c r="H1728" s="233"/>
      <c r="I1728" s="233"/>
    </row>
    <row r="1729" spans="2:9" hidden="1">
      <c r="B1729" s="231">
        <v>130002</v>
      </c>
      <c r="C1729" s="231">
        <v>200011</v>
      </c>
      <c r="D1729" s="231">
        <v>1</v>
      </c>
      <c r="E1729" s="231">
        <v>2</v>
      </c>
      <c r="F1729" s="231">
        <v>1</v>
      </c>
      <c r="G1729" s="231"/>
      <c r="H1729" s="231"/>
      <c r="I1729" s="217" t="s">
        <v>1793</v>
      </c>
    </row>
    <row r="1730" spans="2:9" hidden="1">
      <c r="B1730" s="231">
        <v>130002</v>
      </c>
      <c r="C1730" s="231">
        <v>200012</v>
      </c>
      <c r="D1730" s="231">
        <v>1</v>
      </c>
      <c r="E1730" s="231">
        <v>14</v>
      </c>
      <c r="F1730" s="231">
        <v>1</v>
      </c>
      <c r="G1730" s="231"/>
      <c r="H1730" s="231"/>
      <c r="I1730" s="231"/>
    </row>
    <row r="1731" spans="2:9" hidden="1">
      <c r="B1731" s="231">
        <v>130002</v>
      </c>
      <c r="C1731" s="231">
        <v>200013</v>
      </c>
      <c r="D1731" s="231">
        <v>1</v>
      </c>
      <c r="E1731" s="231">
        <v>2</v>
      </c>
      <c r="F1731" s="231">
        <v>1</v>
      </c>
      <c r="G1731" s="231"/>
      <c r="H1731" s="231"/>
      <c r="I1731" s="231"/>
    </row>
    <row r="1732" spans="2:9" hidden="1">
      <c r="B1732" s="231">
        <v>130002</v>
      </c>
      <c r="C1732" s="231">
        <v>200014</v>
      </c>
      <c r="D1732" s="231">
        <v>1</v>
      </c>
      <c r="E1732" s="231">
        <v>2</v>
      </c>
      <c r="F1732" s="231">
        <v>1</v>
      </c>
      <c r="G1732" s="231"/>
      <c r="H1732" s="231"/>
      <c r="I1732" s="231"/>
    </row>
    <row r="1733" spans="2:9" hidden="1">
      <c r="B1733" s="231">
        <v>130002</v>
      </c>
      <c r="C1733" s="232">
        <v>200022</v>
      </c>
      <c r="D1733" s="231">
        <v>1</v>
      </c>
      <c r="E1733" s="231">
        <v>14</v>
      </c>
      <c r="F1733" s="231">
        <v>1</v>
      </c>
      <c r="G1733" s="231"/>
      <c r="H1733" s="231"/>
      <c r="I1733" s="231"/>
    </row>
    <row r="1734" spans="2:9" hidden="1">
      <c r="B1734" s="231">
        <v>130002</v>
      </c>
      <c r="C1734" s="232">
        <v>200023</v>
      </c>
      <c r="D1734" s="231">
        <v>1</v>
      </c>
      <c r="E1734" s="231">
        <v>2</v>
      </c>
      <c r="F1734" s="231">
        <v>1</v>
      </c>
      <c r="G1734" s="231"/>
      <c r="H1734" s="231"/>
      <c r="I1734" s="231"/>
    </row>
    <row r="1735" spans="2:9" hidden="1">
      <c r="B1735" s="231">
        <v>130002</v>
      </c>
      <c r="C1735" s="232">
        <v>200025</v>
      </c>
      <c r="D1735" s="231">
        <v>1</v>
      </c>
      <c r="E1735" s="231">
        <v>2</v>
      </c>
      <c r="F1735" s="231">
        <v>1</v>
      </c>
      <c r="G1735" s="231"/>
      <c r="H1735" s="231"/>
      <c r="I1735" s="231"/>
    </row>
    <row r="1736" spans="2:9" hidden="1">
      <c r="B1736" s="231">
        <v>130002</v>
      </c>
      <c r="C1736" s="232">
        <v>200027</v>
      </c>
      <c r="D1736" s="231">
        <v>1</v>
      </c>
      <c r="E1736" s="231">
        <v>2</v>
      </c>
      <c r="F1736" s="231">
        <v>1</v>
      </c>
      <c r="G1736" s="231"/>
      <c r="H1736" s="231"/>
      <c r="I1736" s="231"/>
    </row>
    <row r="1737" spans="2:9" hidden="1">
      <c r="B1737" s="231">
        <v>130002</v>
      </c>
      <c r="C1737" s="232">
        <v>200030</v>
      </c>
      <c r="D1737" s="231">
        <v>1</v>
      </c>
      <c r="E1737" s="231">
        <v>2</v>
      </c>
      <c r="F1737" s="231">
        <v>1</v>
      </c>
      <c r="G1737" s="231"/>
      <c r="H1737" s="231"/>
      <c r="I1737" s="231"/>
    </row>
    <row r="1738" spans="2:9" hidden="1">
      <c r="B1738" s="231">
        <v>130002</v>
      </c>
      <c r="C1738" s="232">
        <v>200031</v>
      </c>
      <c r="D1738" s="231">
        <v>1</v>
      </c>
      <c r="E1738" s="231">
        <v>2</v>
      </c>
      <c r="F1738" s="231">
        <v>1</v>
      </c>
      <c r="G1738" s="231"/>
      <c r="H1738" s="231"/>
      <c r="I1738" s="231"/>
    </row>
    <row r="1739" spans="2:9" hidden="1">
      <c r="B1739" s="231">
        <v>130002</v>
      </c>
      <c r="C1739" s="232">
        <v>200039</v>
      </c>
      <c r="D1739" s="231">
        <v>1</v>
      </c>
      <c r="E1739" s="231">
        <v>2</v>
      </c>
      <c r="F1739" s="231">
        <v>1</v>
      </c>
      <c r="G1739" s="231"/>
      <c r="H1739" s="231"/>
      <c r="I1739" s="231"/>
    </row>
    <row r="1740" spans="2:9" hidden="1">
      <c r="B1740" s="231">
        <v>130002</v>
      </c>
      <c r="C1740" s="232">
        <v>200045</v>
      </c>
      <c r="D1740" s="231">
        <v>1</v>
      </c>
      <c r="E1740" s="231">
        <v>2</v>
      </c>
      <c r="F1740" s="231">
        <v>1</v>
      </c>
      <c r="G1740" s="231"/>
      <c r="H1740" s="231"/>
      <c r="I1740" s="231"/>
    </row>
    <row r="1741" spans="2:9" hidden="1">
      <c r="B1741" s="231">
        <v>130002</v>
      </c>
      <c r="C1741" s="232">
        <v>200047</v>
      </c>
      <c r="D1741" s="231">
        <v>1</v>
      </c>
      <c r="E1741" s="231">
        <v>2</v>
      </c>
      <c r="F1741" s="231">
        <v>1</v>
      </c>
      <c r="G1741" s="231"/>
      <c r="H1741" s="231"/>
      <c r="I1741" s="231"/>
    </row>
    <row r="1742" spans="2:9" hidden="1">
      <c r="B1742" s="231">
        <v>130002</v>
      </c>
      <c r="C1742" s="232">
        <v>200049</v>
      </c>
      <c r="D1742" s="231">
        <v>1</v>
      </c>
      <c r="E1742" s="231">
        <v>2</v>
      </c>
      <c r="F1742" s="231">
        <v>1</v>
      </c>
      <c r="G1742" s="231"/>
      <c r="H1742" s="231"/>
      <c r="I1742" s="231"/>
    </row>
    <row r="1743" spans="2:9" hidden="1">
      <c r="B1743" s="231">
        <v>130002</v>
      </c>
      <c r="C1743" s="232">
        <v>200054</v>
      </c>
      <c r="D1743" s="231">
        <v>1</v>
      </c>
      <c r="E1743" s="231">
        <v>2</v>
      </c>
      <c r="F1743" s="231">
        <v>1</v>
      </c>
      <c r="G1743" s="231"/>
      <c r="H1743" s="231"/>
      <c r="I1743" s="231"/>
    </row>
    <row r="1744" spans="2:9" hidden="1">
      <c r="B1744" s="231">
        <v>130002</v>
      </c>
      <c r="C1744" s="232">
        <v>200060</v>
      </c>
      <c r="D1744" s="231">
        <v>1</v>
      </c>
      <c r="E1744" s="231">
        <v>2</v>
      </c>
      <c r="F1744" s="231">
        <v>1</v>
      </c>
      <c r="G1744" s="231"/>
      <c r="H1744" s="231"/>
      <c r="I1744" s="231"/>
    </row>
    <row r="1745" spans="2:9" hidden="1">
      <c r="B1745" s="211">
        <v>130003</v>
      </c>
      <c r="C1745" s="211">
        <v>200011</v>
      </c>
      <c r="D1745" s="211">
        <v>1</v>
      </c>
      <c r="E1745" s="211">
        <v>2</v>
      </c>
      <c r="F1745" s="211">
        <v>1</v>
      </c>
      <c r="G1745" s="211"/>
      <c r="H1745" s="211"/>
      <c r="I1745" s="209" t="s">
        <v>1804</v>
      </c>
    </row>
    <row r="1746" spans="2:9" hidden="1">
      <c r="B1746" s="211">
        <v>130003</v>
      </c>
      <c r="C1746" s="211">
        <v>200012</v>
      </c>
      <c r="D1746" s="211">
        <v>1</v>
      </c>
      <c r="E1746" s="211">
        <v>2</v>
      </c>
      <c r="F1746" s="211">
        <v>1</v>
      </c>
      <c r="G1746" s="211"/>
      <c r="H1746" s="211"/>
      <c r="I1746" s="211"/>
    </row>
    <row r="1747" spans="2:9" hidden="1">
      <c r="B1747" s="211">
        <v>130003</v>
      </c>
      <c r="C1747" s="211">
        <v>200013</v>
      </c>
      <c r="D1747" s="211">
        <v>1</v>
      </c>
      <c r="E1747" s="211">
        <v>2</v>
      </c>
      <c r="F1747" s="211">
        <v>1</v>
      </c>
      <c r="G1747" s="211"/>
      <c r="H1747" s="211"/>
      <c r="I1747" s="211"/>
    </row>
    <row r="1748" spans="2:9" hidden="1">
      <c r="B1748" s="211">
        <v>130003</v>
      </c>
      <c r="C1748" s="211">
        <v>200014</v>
      </c>
      <c r="D1748" s="211">
        <v>1</v>
      </c>
      <c r="E1748" s="211">
        <v>2</v>
      </c>
      <c r="F1748" s="211">
        <v>1</v>
      </c>
      <c r="G1748" s="211"/>
      <c r="H1748" s="211"/>
      <c r="I1748" s="211"/>
    </row>
    <row r="1749" spans="2:9" hidden="1">
      <c r="B1749" s="211">
        <v>130003</v>
      </c>
      <c r="C1749" s="212">
        <v>200022</v>
      </c>
      <c r="D1749" s="211">
        <v>1</v>
      </c>
      <c r="E1749" s="211">
        <v>2</v>
      </c>
      <c r="F1749" s="211">
        <v>1</v>
      </c>
      <c r="G1749" s="211"/>
      <c r="H1749" s="211"/>
      <c r="I1749" s="211"/>
    </row>
    <row r="1750" spans="2:9" hidden="1">
      <c r="B1750" s="211">
        <v>130003</v>
      </c>
      <c r="C1750" s="212">
        <v>200023</v>
      </c>
      <c r="D1750" s="211">
        <v>1</v>
      </c>
      <c r="E1750" s="211">
        <v>2</v>
      </c>
      <c r="F1750" s="211">
        <v>1</v>
      </c>
      <c r="G1750" s="211"/>
      <c r="H1750" s="211"/>
      <c r="I1750" s="211"/>
    </row>
    <row r="1751" spans="2:9" hidden="1">
      <c r="B1751" s="211">
        <v>130003</v>
      </c>
      <c r="C1751" s="212">
        <v>200025</v>
      </c>
      <c r="D1751" s="211">
        <v>1</v>
      </c>
      <c r="E1751" s="211">
        <v>2</v>
      </c>
      <c r="F1751" s="211">
        <v>1</v>
      </c>
      <c r="G1751" s="211"/>
      <c r="H1751" s="211"/>
      <c r="I1751" s="211"/>
    </row>
    <row r="1752" spans="2:9" hidden="1">
      <c r="B1752" s="211">
        <v>130003</v>
      </c>
      <c r="C1752" s="212">
        <v>200027</v>
      </c>
      <c r="D1752" s="211">
        <v>1</v>
      </c>
      <c r="E1752" s="211">
        <v>2</v>
      </c>
      <c r="F1752" s="211">
        <v>1</v>
      </c>
      <c r="G1752" s="211"/>
      <c r="H1752" s="211"/>
      <c r="I1752" s="211"/>
    </row>
    <row r="1753" spans="2:9" hidden="1">
      <c r="B1753" s="211">
        <v>130003</v>
      </c>
      <c r="C1753" s="212">
        <v>200030</v>
      </c>
      <c r="D1753" s="211">
        <v>1</v>
      </c>
      <c r="E1753" s="211">
        <v>2</v>
      </c>
      <c r="F1753" s="211">
        <v>1</v>
      </c>
      <c r="G1753" s="211"/>
      <c r="H1753" s="211"/>
      <c r="I1753" s="211"/>
    </row>
    <row r="1754" spans="2:9" hidden="1">
      <c r="B1754" s="211">
        <v>130003</v>
      </c>
      <c r="C1754" s="212">
        <v>200031</v>
      </c>
      <c r="D1754" s="211">
        <v>1</v>
      </c>
      <c r="E1754" s="211">
        <v>2</v>
      </c>
      <c r="F1754" s="211">
        <v>1</v>
      </c>
      <c r="G1754" s="211"/>
      <c r="H1754" s="211"/>
      <c r="I1754" s="211"/>
    </row>
    <row r="1755" spans="2:9" hidden="1">
      <c r="B1755" s="211">
        <v>130003</v>
      </c>
      <c r="C1755" s="212">
        <v>200039</v>
      </c>
      <c r="D1755" s="211">
        <v>1</v>
      </c>
      <c r="E1755" s="211">
        <v>2</v>
      </c>
      <c r="F1755" s="211">
        <v>1</v>
      </c>
      <c r="G1755" s="211"/>
      <c r="H1755" s="211"/>
      <c r="I1755" s="211"/>
    </row>
    <row r="1756" spans="2:9" hidden="1">
      <c r="B1756" s="211">
        <v>130003</v>
      </c>
      <c r="C1756" s="212">
        <v>200045</v>
      </c>
      <c r="D1756" s="211">
        <v>1</v>
      </c>
      <c r="E1756" s="211">
        <v>2</v>
      </c>
      <c r="F1756" s="211">
        <v>1</v>
      </c>
      <c r="G1756" s="211"/>
      <c r="H1756" s="211"/>
      <c r="I1756" s="211"/>
    </row>
    <row r="1757" spans="2:9" hidden="1">
      <c r="B1757" s="211">
        <v>130003</v>
      </c>
      <c r="C1757" s="212">
        <v>200047</v>
      </c>
      <c r="D1757" s="211">
        <v>1</v>
      </c>
      <c r="E1757" s="211">
        <v>2</v>
      </c>
      <c r="F1757" s="211">
        <v>1</v>
      </c>
      <c r="G1757" s="211"/>
      <c r="H1757" s="211"/>
      <c r="I1757" s="211"/>
    </row>
    <row r="1758" spans="2:9" hidden="1">
      <c r="B1758" s="211">
        <v>130003</v>
      </c>
      <c r="C1758" s="212">
        <v>200049</v>
      </c>
      <c r="D1758" s="211">
        <v>1</v>
      </c>
      <c r="E1758" s="211">
        <v>14</v>
      </c>
      <c r="F1758" s="211">
        <v>1</v>
      </c>
      <c r="G1758" s="211"/>
      <c r="H1758" s="211"/>
      <c r="I1758" s="211"/>
    </row>
    <row r="1759" spans="2:9" hidden="1">
      <c r="B1759" s="211">
        <v>130003</v>
      </c>
      <c r="C1759" s="212">
        <v>200054</v>
      </c>
      <c r="D1759" s="211">
        <v>1</v>
      </c>
      <c r="E1759" s="211">
        <v>14</v>
      </c>
      <c r="F1759" s="211">
        <v>1</v>
      </c>
      <c r="G1759" s="211"/>
      <c r="H1759" s="211"/>
      <c r="I1759" s="211"/>
    </row>
    <row r="1760" spans="2:9" hidden="1">
      <c r="B1760" s="211">
        <v>130003</v>
      </c>
      <c r="C1760" s="212">
        <v>200060</v>
      </c>
      <c r="D1760" s="211">
        <v>1</v>
      </c>
      <c r="E1760" s="211">
        <v>2</v>
      </c>
      <c r="F1760" s="211">
        <v>1</v>
      </c>
      <c r="G1760" s="211"/>
      <c r="H1760" s="211"/>
      <c r="I1760" s="211"/>
    </row>
    <row r="1761" spans="2:9" hidden="1">
      <c r="B1761" s="170">
        <v>130004</v>
      </c>
      <c r="C1761" s="170">
        <v>200011</v>
      </c>
      <c r="D1761" s="170">
        <v>1</v>
      </c>
      <c r="E1761" s="170">
        <v>470</v>
      </c>
      <c r="F1761" s="170">
        <v>1</v>
      </c>
      <c r="G1761" s="170"/>
      <c r="H1761" s="170"/>
      <c r="I1761" s="167" t="s">
        <v>1810</v>
      </c>
    </row>
    <row r="1762" spans="2:9" hidden="1">
      <c r="B1762" s="170">
        <v>130004</v>
      </c>
      <c r="C1762" s="170">
        <v>200012</v>
      </c>
      <c r="D1762" s="170">
        <v>1</v>
      </c>
      <c r="E1762" s="170">
        <v>470</v>
      </c>
      <c r="F1762" s="170">
        <v>1</v>
      </c>
      <c r="G1762" s="170"/>
      <c r="H1762" s="170"/>
      <c r="I1762" s="170"/>
    </row>
    <row r="1763" spans="2:9" hidden="1">
      <c r="B1763" s="170">
        <v>130004</v>
      </c>
      <c r="C1763" s="170">
        <v>200013</v>
      </c>
      <c r="D1763" s="170">
        <v>1</v>
      </c>
      <c r="E1763" s="170">
        <v>470</v>
      </c>
      <c r="F1763" s="170">
        <v>1</v>
      </c>
      <c r="G1763" s="170"/>
      <c r="H1763" s="170"/>
      <c r="I1763" s="170"/>
    </row>
    <row r="1764" spans="2:9" hidden="1">
      <c r="B1764" s="170">
        <v>130004</v>
      </c>
      <c r="C1764" s="170">
        <v>200014</v>
      </c>
      <c r="D1764" s="170">
        <v>1</v>
      </c>
      <c r="E1764" s="170">
        <v>470</v>
      </c>
      <c r="F1764" s="170">
        <v>1</v>
      </c>
      <c r="G1764" s="170"/>
      <c r="H1764" s="170"/>
      <c r="I1764" s="170"/>
    </row>
    <row r="1765" spans="2:9" hidden="1">
      <c r="B1765" s="170">
        <v>130004</v>
      </c>
      <c r="C1765" s="171">
        <v>200022</v>
      </c>
      <c r="D1765" s="170">
        <v>1</v>
      </c>
      <c r="E1765" s="170">
        <v>470</v>
      </c>
      <c r="F1765" s="170">
        <v>1</v>
      </c>
      <c r="G1765" s="170"/>
      <c r="H1765" s="170"/>
      <c r="I1765" s="170"/>
    </row>
    <row r="1766" spans="2:9" hidden="1">
      <c r="B1766" s="170">
        <v>130004</v>
      </c>
      <c r="C1766" s="171">
        <v>200023</v>
      </c>
      <c r="D1766" s="170">
        <v>1</v>
      </c>
      <c r="E1766" s="170">
        <v>470</v>
      </c>
      <c r="F1766" s="170">
        <v>1</v>
      </c>
      <c r="G1766" s="170"/>
      <c r="H1766" s="170"/>
      <c r="I1766" s="170"/>
    </row>
    <row r="1767" spans="2:9" hidden="1">
      <c r="B1767" s="170">
        <v>130004</v>
      </c>
      <c r="C1767" s="171">
        <v>200025</v>
      </c>
      <c r="D1767" s="170">
        <v>1</v>
      </c>
      <c r="E1767" s="170">
        <v>470</v>
      </c>
      <c r="F1767" s="170">
        <v>1</v>
      </c>
      <c r="G1767" s="170"/>
      <c r="H1767" s="170"/>
      <c r="I1767" s="170"/>
    </row>
    <row r="1768" spans="2:9" hidden="1">
      <c r="B1768" s="170">
        <v>130004</v>
      </c>
      <c r="C1768" s="171">
        <v>200027</v>
      </c>
      <c r="D1768" s="170">
        <v>1</v>
      </c>
      <c r="E1768" s="170">
        <v>470</v>
      </c>
      <c r="F1768" s="170">
        <v>1</v>
      </c>
      <c r="G1768" s="170"/>
      <c r="H1768" s="170"/>
      <c r="I1768" s="170"/>
    </row>
    <row r="1769" spans="2:9" hidden="1">
      <c r="B1769" s="170">
        <v>130004</v>
      </c>
      <c r="C1769" s="171">
        <v>200030</v>
      </c>
      <c r="D1769" s="170">
        <v>1</v>
      </c>
      <c r="E1769" s="170">
        <v>470</v>
      </c>
      <c r="F1769" s="170">
        <v>1</v>
      </c>
      <c r="G1769" s="170"/>
      <c r="H1769" s="170"/>
      <c r="I1769" s="170"/>
    </row>
    <row r="1770" spans="2:9" hidden="1">
      <c r="B1770" s="170">
        <v>130004</v>
      </c>
      <c r="C1770" s="171">
        <v>200031</v>
      </c>
      <c r="D1770" s="170">
        <v>1</v>
      </c>
      <c r="E1770" s="170">
        <v>470</v>
      </c>
      <c r="F1770" s="170">
        <v>1</v>
      </c>
      <c r="G1770" s="170"/>
      <c r="H1770" s="170"/>
      <c r="I1770" s="170"/>
    </row>
    <row r="1771" spans="2:9" hidden="1">
      <c r="B1771" s="170">
        <v>130004</v>
      </c>
      <c r="C1771" s="171">
        <v>200039</v>
      </c>
      <c r="D1771" s="170">
        <v>1</v>
      </c>
      <c r="E1771" s="170">
        <v>470</v>
      </c>
      <c r="F1771" s="170">
        <v>1</v>
      </c>
      <c r="G1771" s="170"/>
      <c r="H1771" s="170"/>
      <c r="I1771" s="170"/>
    </row>
    <row r="1772" spans="2:9" hidden="1">
      <c r="B1772" s="170">
        <v>130004</v>
      </c>
      <c r="C1772" s="171">
        <v>200045</v>
      </c>
      <c r="D1772" s="170">
        <v>1</v>
      </c>
      <c r="E1772" s="170">
        <v>470</v>
      </c>
      <c r="F1772" s="170">
        <v>1</v>
      </c>
      <c r="G1772" s="170"/>
      <c r="H1772" s="170"/>
      <c r="I1772" s="170"/>
    </row>
    <row r="1773" spans="2:9" hidden="1">
      <c r="B1773" s="170">
        <v>130004</v>
      </c>
      <c r="C1773" s="171">
        <v>200047</v>
      </c>
      <c r="D1773" s="170">
        <v>1</v>
      </c>
      <c r="E1773" s="170">
        <v>470</v>
      </c>
      <c r="F1773" s="170">
        <v>1</v>
      </c>
      <c r="G1773" s="170"/>
      <c r="H1773" s="170"/>
      <c r="I1773" s="170"/>
    </row>
    <row r="1774" spans="2:9" hidden="1">
      <c r="B1774" s="170">
        <v>130004</v>
      </c>
      <c r="C1774" s="171">
        <v>200049</v>
      </c>
      <c r="D1774" s="170">
        <v>1</v>
      </c>
      <c r="E1774" s="170">
        <v>470</v>
      </c>
      <c r="F1774" s="170">
        <v>1</v>
      </c>
      <c r="G1774" s="170"/>
      <c r="H1774" s="170"/>
      <c r="I1774" s="170"/>
    </row>
    <row r="1775" spans="2:9" hidden="1">
      <c r="B1775" s="170">
        <v>130004</v>
      </c>
      <c r="C1775" s="171">
        <v>200054</v>
      </c>
      <c r="D1775" s="170">
        <v>1</v>
      </c>
      <c r="E1775" s="170">
        <v>470</v>
      </c>
      <c r="F1775" s="170">
        <v>1</v>
      </c>
      <c r="G1775" s="170"/>
      <c r="H1775" s="170"/>
      <c r="I1775" s="170"/>
    </row>
    <row r="1776" spans="2:9" hidden="1">
      <c r="B1776" s="170">
        <v>130004</v>
      </c>
      <c r="C1776" s="171">
        <v>200060</v>
      </c>
      <c r="D1776" s="170">
        <v>1</v>
      </c>
      <c r="E1776" s="170">
        <v>470</v>
      </c>
      <c r="F1776" s="170">
        <v>1</v>
      </c>
      <c r="G1776" s="170"/>
      <c r="H1776" s="170"/>
      <c r="I1776" s="170"/>
    </row>
    <row r="1777" spans="2:9" hidden="1">
      <c r="B1777" s="170">
        <v>130004</v>
      </c>
      <c r="C1777" s="171">
        <v>200070</v>
      </c>
      <c r="D1777" s="170">
        <v>1</v>
      </c>
      <c r="E1777" s="170">
        <v>2120</v>
      </c>
      <c r="F1777" s="170">
        <v>1</v>
      </c>
      <c r="G1777" s="170"/>
      <c r="H1777" s="170"/>
      <c r="I1777" s="170"/>
    </row>
    <row r="1778" spans="2:9" hidden="1">
      <c r="B1778" s="170">
        <v>130004</v>
      </c>
      <c r="C1778" s="171">
        <v>200071</v>
      </c>
      <c r="D1778" s="170">
        <v>1</v>
      </c>
      <c r="E1778" s="170">
        <v>2120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1">
        <v>200072</v>
      </c>
      <c r="D1779" s="170">
        <v>1</v>
      </c>
      <c r="E1779" s="170">
        <v>2120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1">
        <v>200073</v>
      </c>
      <c r="D1780" s="170">
        <v>1</v>
      </c>
      <c r="E1780" s="170">
        <v>2120</v>
      </c>
      <c r="F1780" s="170">
        <v>1</v>
      </c>
      <c r="G1780" s="170"/>
      <c r="H1780" s="170"/>
      <c r="I1780" s="170"/>
    </row>
    <row r="1781" spans="2:9" hidden="1">
      <c r="B1781" s="233">
        <v>130005</v>
      </c>
      <c r="C1781" s="233">
        <v>200011</v>
      </c>
      <c r="D1781" s="233">
        <v>1</v>
      </c>
      <c r="E1781" s="233">
        <v>440</v>
      </c>
      <c r="F1781" s="233">
        <v>1</v>
      </c>
      <c r="G1781" s="233"/>
      <c r="H1781" s="233"/>
      <c r="I1781" s="9" t="s">
        <v>1824</v>
      </c>
    </row>
    <row r="1782" spans="2:9" hidden="1">
      <c r="B1782" s="233">
        <v>130005</v>
      </c>
      <c r="C1782" s="233">
        <v>200012</v>
      </c>
      <c r="D1782" s="233">
        <v>1</v>
      </c>
      <c r="E1782" s="233">
        <v>440</v>
      </c>
      <c r="F1782" s="233">
        <v>1</v>
      </c>
      <c r="G1782" s="233"/>
      <c r="H1782" s="233"/>
      <c r="I1782" s="233"/>
    </row>
    <row r="1783" spans="2:9" hidden="1">
      <c r="B1783" s="233">
        <v>130005</v>
      </c>
      <c r="C1783" s="233">
        <v>200013</v>
      </c>
      <c r="D1783" s="233">
        <v>1</v>
      </c>
      <c r="E1783" s="233">
        <v>440</v>
      </c>
      <c r="F1783" s="233">
        <v>1</v>
      </c>
      <c r="G1783" s="233"/>
      <c r="H1783" s="233"/>
      <c r="I1783" s="233"/>
    </row>
    <row r="1784" spans="2:9" hidden="1">
      <c r="B1784" s="233">
        <v>130005</v>
      </c>
      <c r="C1784" s="233">
        <v>200014</v>
      </c>
      <c r="D1784" s="233">
        <v>1</v>
      </c>
      <c r="E1784" s="233">
        <v>440</v>
      </c>
      <c r="F1784" s="233">
        <v>1</v>
      </c>
      <c r="G1784" s="233"/>
      <c r="H1784" s="233"/>
      <c r="I1784" s="233"/>
    </row>
    <row r="1785" spans="2:9" hidden="1">
      <c r="B1785" s="233">
        <v>130005</v>
      </c>
      <c r="C1785" s="234">
        <v>200022</v>
      </c>
      <c r="D1785" s="233">
        <v>1</v>
      </c>
      <c r="E1785" s="233">
        <v>440</v>
      </c>
      <c r="F1785" s="233">
        <v>1</v>
      </c>
      <c r="G1785" s="233"/>
      <c r="H1785" s="233"/>
      <c r="I1785" s="233"/>
    </row>
    <row r="1786" spans="2:9" hidden="1">
      <c r="B1786" s="233">
        <v>130005</v>
      </c>
      <c r="C1786" s="234">
        <v>200023</v>
      </c>
      <c r="D1786" s="233">
        <v>1</v>
      </c>
      <c r="E1786" s="233">
        <v>440</v>
      </c>
      <c r="F1786" s="233">
        <v>1</v>
      </c>
      <c r="G1786" s="233"/>
      <c r="H1786" s="233"/>
      <c r="I1786" s="233"/>
    </row>
    <row r="1787" spans="2:9" hidden="1">
      <c r="B1787" s="233">
        <v>130005</v>
      </c>
      <c r="C1787" s="234">
        <v>200025</v>
      </c>
      <c r="D1787" s="233">
        <v>1</v>
      </c>
      <c r="E1787" s="233">
        <v>440</v>
      </c>
      <c r="F1787" s="233">
        <v>1</v>
      </c>
      <c r="G1787" s="233"/>
      <c r="H1787" s="233"/>
      <c r="I1787" s="233"/>
    </row>
    <row r="1788" spans="2:9" hidden="1">
      <c r="B1788" s="233">
        <v>130005</v>
      </c>
      <c r="C1788" s="234">
        <v>200027</v>
      </c>
      <c r="D1788" s="233">
        <v>1</v>
      </c>
      <c r="E1788" s="233">
        <v>3920</v>
      </c>
      <c r="F1788" s="233">
        <v>1</v>
      </c>
      <c r="G1788" s="233"/>
      <c r="H1788" s="233"/>
      <c r="I1788" s="233"/>
    </row>
    <row r="1789" spans="2:9" hidden="1">
      <c r="B1789" s="233">
        <v>130005</v>
      </c>
      <c r="C1789" s="234">
        <v>200030</v>
      </c>
      <c r="D1789" s="233">
        <v>1</v>
      </c>
      <c r="E1789" s="233">
        <v>440</v>
      </c>
      <c r="F1789" s="233">
        <v>1</v>
      </c>
      <c r="G1789" s="233"/>
      <c r="H1789" s="233"/>
      <c r="I1789" s="233"/>
    </row>
    <row r="1790" spans="2:9" hidden="1">
      <c r="B1790" s="233">
        <v>130005</v>
      </c>
      <c r="C1790" s="234">
        <v>200031</v>
      </c>
      <c r="D1790" s="233">
        <v>1</v>
      </c>
      <c r="E1790" s="233">
        <v>440</v>
      </c>
      <c r="F1790" s="233">
        <v>1</v>
      </c>
      <c r="G1790" s="233"/>
      <c r="H1790" s="233"/>
      <c r="I1790" s="233"/>
    </row>
    <row r="1791" spans="2:9" hidden="1">
      <c r="B1791" s="233">
        <v>130005</v>
      </c>
      <c r="C1791" s="234">
        <v>200039</v>
      </c>
      <c r="D1791" s="233">
        <v>1</v>
      </c>
      <c r="E1791" s="233">
        <v>440</v>
      </c>
      <c r="F1791" s="233">
        <v>1</v>
      </c>
      <c r="G1791" s="233"/>
      <c r="H1791" s="233"/>
      <c r="I1791" s="233"/>
    </row>
    <row r="1792" spans="2:9" hidden="1">
      <c r="B1792" s="233">
        <v>130005</v>
      </c>
      <c r="C1792" s="234">
        <v>200045</v>
      </c>
      <c r="D1792" s="233">
        <v>1</v>
      </c>
      <c r="E1792" s="233">
        <v>3920</v>
      </c>
      <c r="F1792" s="233">
        <v>1</v>
      </c>
      <c r="G1792" s="233"/>
      <c r="H1792" s="233"/>
      <c r="I1792" s="233"/>
    </row>
    <row r="1793" spans="2:9" hidden="1">
      <c r="B1793" s="233">
        <v>130005</v>
      </c>
      <c r="C1793" s="234">
        <v>200047</v>
      </c>
      <c r="D1793" s="233">
        <v>1</v>
      </c>
      <c r="E1793" s="233">
        <v>440</v>
      </c>
      <c r="F1793" s="233">
        <v>1</v>
      </c>
      <c r="G1793" s="233"/>
      <c r="H1793" s="233"/>
      <c r="I1793" s="233"/>
    </row>
    <row r="1794" spans="2:9" hidden="1">
      <c r="B1794" s="233">
        <v>130005</v>
      </c>
      <c r="C1794" s="234">
        <v>200049</v>
      </c>
      <c r="D1794" s="233">
        <v>1</v>
      </c>
      <c r="E1794" s="233">
        <v>440</v>
      </c>
      <c r="F1794" s="233">
        <v>1</v>
      </c>
      <c r="G1794" s="233"/>
      <c r="H1794" s="233"/>
      <c r="I1794" s="233"/>
    </row>
    <row r="1795" spans="2:9" hidden="1">
      <c r="B1795" s="233">
        <v>130005</v>
      </c>
      <c r="C1795" s="234">
        <v>200054</v>
      </c>
      <c r="D1795" s="233">
        <v>1</v>
      </c>
      <c r="E1795" s="233">
        <v>440</v>
      </c>
      <c r="F1795" s="233">
        <v>1</v>
      </c>
      <c r="G1795" s="233"/>
      <c r="H1795" s="233"/>
      <c r="I1795" s="233"/>
    </row>
    <row r="1796" spans="2:9" hidden="1">
      <c r="B1796" s="233">
        <v>130005</v>
      </c>
      <c r="C1796" s="234">
        <v>200060</v>
      </c>
      <c r="D1796" s="233">
        <v>1</v>
      </c>
      <c r="E1796" s="233">
        <v>440</v>
      </c>
      <c r="F1796" s="233">
        <v>1</v>
      </c>
      <c r="G1796" s="233"/>
      <c r="H1796" s="233"/>
      <c r="I1796" s="233"/>
    </row>
    <row r="1797" spans="2:9" hidden="1">
      <c r="B1797" s="211">
        <v>130006</v>
      </c>
      <c r="C1797" s="211">
        <v>200011</v>
      </c>
      <c r="D1797" s="211">
        <v>1</v>
      </c>
      <c r="E1797" s="211">
        <v>410</v>
      </c>
      <c r="F1797" s="211">
        <v>1</v>
      </c>
      <c r="G1797" s="211"/>
      <c r="H1797" s="211"/>
      <c r="I1797" s="209" t="s">
        <v>1847</v>
      </c>
    </row>
    <row r="1798" spans="2:9" hidden="1">
      <c r="B1798" s="211">
        <v>130006</v>
      </c>
      <c r="C1798" s="211">
        <v>200012</v>
      </c>
      <c r="D1798" s="211">
        <v>1</v>
      </c>
      <c r="E1798" s="211">
        <v>410</v>
      </c>
      <c r="F1798" s="211">
        <v>1</v>
      </c>
      <c r="G1798" s="211"/>
      <c r="H1798" s="211"/>
      <c r="I1798" s="211"/>
    </row>
    <row r="1799" spans="2:9" hidden="1">
      <c r="B1799" s="211">
        <v>130006</v>
      </c>
      <c r="C1799" s="211">
        <v>200013</v>
      </c>
      <c r="D1799" s="211">
        <v>1</v>
      </c>
      <c r="E1799" s="211">
        <v>410</v>
      </c>
      <c r="F1799" s="211">
        <v>1</v>
      </c>
      <c r="G1799" s="211"/>
      <c r="H1799" s="211"/>
      <c r="I1799" s="211"/>
    </row>
    <row r="1800" spans="2:9" hidden="1">
      <c r="B1800" s="211">
        <v>130006</v>
      </c>
      <c r="C1800" s="211">
        <v>200014</v>
      </c>
      <c r="D1800" s="211">
        <v>1</v>
      </c>
      <c r="E1800" s="211">
        <v>410</v>
      </c>
      <c r="F1800" s="211">
        <v>1</v>
      </c>
      <c r="G1800" s="211"/>
      <c r="H1800" s="211"/>
      <c r="I1800" s="211"/>
    </row>
    <row r="1801" spans="2:9" hidden="1">
      <c r="B1801" s="211">
        <v>130006</v>
      </c>
      <c r="C1801" s="212">
        <v>200022</v>
      </c>
      <c r="D1801" s="211">
        <v>1</v>
      </c>
      <c r="E1801" s="211">
        <v>410</v>
      </c>
      <c r="F1801" s="211">
        <v>1</v>
      </c>
      <c r="G1801" s="211"/>
      <c r="H1801" s="211"/>
      <c r="I1801" s="211"/>
    </row>
    <row r="1802" spans="2:9" hidden="1">
      <c r="B1802" s="211">
        <v>130006</v>
      </c>
      <c r="C1802" s="212">
        <v>200023</v>
      </c>
      <c r="D1802" s="211">
        <v>1</v>
      </c>
      <c r="E1802" s="211">
        <v>410</v>
      </c>
      <c r="F1802" s="211">
        <v>1</v>
      </c>
      <c r="G1802" s="211"/>
      <c r="H1802" s="211"/>
      <c r="I1802" s="211"/>
    </row>
    <row r="1803" spans="2:9" hidden="1">
      <c r="B1803" s="211">
        <v>130006</v>
      </c>
      <c r="C1803" s="212">
        <v>200025</v>
      </c>
      <c r="D1803" s="211">
        <v>1</v>
      </c>
      <c r="E1803" s="211">
        <v>410</v>
      </c>
      <c r="F1803" s="211">
        <v>1</v>
      </c>
      <c r="G1803" s="211"/>
      <c r="H1803" s="211"/>
      <c r="I1803" s="211"/>
    </row>
    <row r="1804" spans="2:9" hidden="1">
      <c r="B1804" s="211">
        <v>130006</v>
      </c>
      <c r="C1804" s="212">
        <v>200027</v>
      </c>
      <c r="D1804" s="211">
        <v>1</v>
      </c>
      <c r="E1804" s="211">
        <v>410</v>
      </c>
      <c r="F1804" s="211">
        <v>1</v>
      </c>
      <c r="G1804" s="211"/>
      <c r="H1804" s="211"/>
      <c r="I1804" s="211"/>
    </row>
    <row r="1805" spans="2:9" hidden="1">
      <c r="B1805" s="211">
        <v>130006</v>
      </c>
      <c r="C1805" s="212">
        <v>200030</v>
      </c>
      <c r="D1805" s="211">
        <v>1</v>
      </c>
      <c r="E1805" s="211">
        <v>410</v>
      </c>
      <c r="F1805" s="211">
        <v>1</v>
      </c>
      <c r="G1805" s="211"/>
      <c r="H1805" s="211"/>
      <c r="I1805" s="211"/>
    </row>
    <row r="1806" spans="2:9" hidden="1">
      <c r="B1806" s="211">
        <v>130006</v>
      </c>
      <c r="C1806" s="212">
        <v>200031</v>
      </c>
      <c r="D1806" s="211">
        <v>1</v>
      </c>
      <c r="E1806" s="211">
        <v>410</v>
      </c>
      <c r="F1806" s="211">
        <v>1</v>
      </c>
      <c r="G1806" s="211"/>
      <c r="H1806" s="211"/>
      <c r="I1806" s="211"/>
    </row>
    <row r="1807" spans="2:9" hidden="1">
      <c r="B1807" s="211">
        <v>130006</v>
      </c>
      <c r="C1807" s="212">
        <v>200039</v>
      </c>
      <c r="D1807" s="211">
        <v>1</v>
      </c>
      <c r="E1807" s="211">
        <v>410</v>
      </c>
      <c r="F1807" s="211">
        <v>1</v>
      </c>
      <c r="G1807" s="211"/>
      <c r="H1807" s="211"/>
      <c r="I1807" s="211"/>
    </row>
    <row r="1808" spans="2:9" hidden="1">
      <c r="B1808" s="211">
        <v>130006</v>
      </c>
      <c r="C1808" s="212">
        <v>200045</v>
      </c>
      <c r="D1808" s="211">
        <v>1</v>
      </c>
      <c r="E1808" s="211">
        <v>410</v>
      </c>
      <c r="F1808" s="211">
        <v>1</v>
      </c>
      <c r="G1808" s="211"/>
      <c r="H1808" s="211"/>
      <c r="I1808" s="211"/>
    </row>
    <row r="1809" spans="2:9" hidden="1">
      <c r="B1809" s="211">
        <v>130006</v>
      </c>
      <c r="C1809" s="212">
        <v>200047</v>
      </c>
      <c r="D1809" s="211">
        <v>1</v>
      </c>
      <c r="E1809" s="211">
        <v>410</v>
      </c>
      <c r="F1809" s="211">
        <v>1</v>
      </c>
      <c r="G1809" s="211"/>
      <c r="H1809" s="211"/>
      <c r="I1809" s="211"/>
    </row>
    <row r="1810" spans="2:9" hidden="1">
      <c r="B1810" s="211">
        <v>130006</v>
      </c>
      <c r="C1810" s="212">
        <v>200049</v>
      </c>
      <c r="D1810" s="211">
        <v>1</v>
      </c>
      <c r="E1810" s="211">
        <v>410</v>
      </c>
      <c r="F1810" s="211">
        <v>1</v>
      </c>
      <c r="G1810" s="211"/>
      <c r="H1810" s="211"/>
      <c r="I1810" s="211"/>
    </row>
    <row r="1811" spans="2:9" hidden="1">
      <c r="B1811" s="211">
        <v>130006</v>
      </c>
      <c r="C1811" s="212">
        <v>200054</v>
      </c>
      <c r="D1811" s="211">
        <v>1</v>
      </c>
      <c r="E1811" s="211">
        <v>410</v>
      </c>
      <c r="F1811" s="211">
        <v>1</v>
      </c>
      <c r="G1811" s="211"/>
      <c r="H1811" s="211"/>
      <c r="I1811" s="211"/>
    </row>
    <row r="1812" spans="2:9" hidden="1">
      <c r="B1812" s="211">
        <v>130006</v>
      </c>
      <c r="C1812" s="212">
        <v>200060</v>
      </c>
      <c r="D1812" s="211">
        <v>1</v>
      </c>
      <c r="E1812" s="211">
        <v>410</v>
      </c>
      <c r="F1812" s="211">
        <v>1</v>
      </c>
      <c r="G1812" s="211"/>
      <c r="H1812" s="211"/>
      <c r="I1812" s="211"/>
    </row>
    <row r="1813" spans="2:9" hidden="1">
      <c r="B1813" s="211">
        <v>130006</v>
      </c>
      <c r="C1813" s="212">
        <v>200075</v>
      </c>
      <c r="D1813" s="211">
        <v>1</v>
      </c>
      <c r="E1813" s="211">
        <v>9440</v>
      </c>
      <c r="F1813" s="211">
        <v>1</v>
      </c>
      <c r="G1813" s="211"/>
      <c r="H1813" s="211"/>
      <c r="I1813" s="211"/>
    </row>
    <row r="1814" spans="2:9" hidden="1">
      <c r="B1814" s="211">
        <v>130007</v>
      </c>
      <c r="C1814" s="211">
        <v>200011</v>
      </c>
      <c r="D1814" s="211">
        <v>1</v>
      </c>
      <c r="E1814" s="211">
        <v>410</v>
      </c>
      <c r="F1814" s="211">
        <v>1</v>
      </c>
      <c r="G1814" s="211"/>
      <c r="H1814" s="211"/>
      <c r="I1814" s="209" t="s">
        <v>1848</v>
      </c>
    </row>
    <row r="1815" spans="2:9" hidden="1">
      <c r="B1815" s="211">
        <v>130007</v>
      </c>
      <c r="C1815" s="211">
        <v>200012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130007</v>
      </c>
      <c r="C1816" s="211">
        <v>200013</v>
      </c>
      <c r="D1816" s="211">
        <v>1</v>
      </c>
      <c r="E1816" s="211">
        <v>4425</v>
      </c>
      <c r="F1816" s="211">
        <v>1</v>
      </c>
      <c r="G1816" s="211"/>
      <c r="H1816" s="211"/>
      <c r="I1816" s="211"/>
    </row>
    <row r="1817" spans="2:9" hidden="1">
      <c r="B1817" s="211">
        <v>130007</v>
      </c>
      <c r="C1817" s="211">
        <v>200014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130007</v>
      </c>
      <c r="C1818" s="212">
        <v>200022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130007</v>
      </c>
      <c r="C1819" s="212">
        <v>200023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130007</v>
      </c>
      <c r="C1820" s="212">
        <v>200025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130007</v>
      </c>
      <c r="C1821" s="212">
        <v>200027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130007</v>
      </c>
      <c r="C1822" s="212">
        <v>200030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130007</v>
      </c>
      <c r="C1823" s="212">
        <v>200031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130007</v>
      </c>
      <c r="C1824" s="212">
        <v>200039</v>
      </c>
      <c r="D1824" s="211">
        <v>1</v>
      </c>
      <c r="E1824" s="211">
        <v>4425</v>
      </c>
      <c r="F1824" s="211">
        <v>1</v>
      </c>
      <c r="G1824" s="211"/>
      <c r="H1824" s="211"/>
      <c r="I1824" s="211"/>
    </row>
    <row r="1825" spans="2:9" hidden="1">
      <c r="B1825" s="211">
        <v>130007</v>
      </c>
      <c r="C1825" s="212">
        <v>200045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130007</v>
      </c>
      <c r="C1826" s="212">
        <v>200047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130007</v>
      </c>
      <c r="C1827" s="212">
        <v>200049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130007</v>
      </c>
      <c r="C1828" s="212">
        <v>200054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130007</v>
      </c>
      <c r="C1829" s="212">
        <v>200060</v>
      </c>
      <c r="D1829" s="211">
        <v>1</v>
      </c>
      <c r="E1829" s="211">
        <v>410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2">
        <v>200075</v>
      </c>
      <c r="D1830" s="211">
        <v>1</v>
      </c>
      <c r="E1830" s="211">
        <v>410</v>
      </c>
      <c r="F1830" s="211">
        <v>1</v>
      </c>
      <c r="G1830" s="211"/>
      <c r="H1830" s="211"/>
      <c r="I1830" s="211"/>
    </row>
    <row r="1831" spans="2:9" hidden="1">
      <c r="B1831" s="231">
        <v>130008</v>
      </c>
      <c r="C1831" s="231">
        <v>200011</v>
      </c>
      <c r="D1831" s="231">
        <v>1</v>
      </c>
      <c r="E1831" s="231">
        <v>410</v>
      </c>
      <c r="F1831" s="231">
        <v>1</v>
      </c>
      <c r="G1831" s="231"/>
      <c r="H1831" s="231"/>
      <c r="I1831" s="217" t="s">
        <v>1856</v>
      </c>
    </row>
    <row r="1832" spans="2:9" hidden="1">
      <c r="B1832" s="231">
        <v>130008</v>
      </c>
      <c r="C1832" s="231">
        <v>200012</v>
      </c>
      <c r="D1832" s="231">
        <v>1</v>
      </c>
      <c r="E1832" s="231">
        <v>410</v>
      </c>
      <c r="F1832" s="231">
        <v>1</v>
      </c>
      <c r="G1832" s="231"/>
      <c r="H1832" s="231"/>
      <c r="I1832" s="231"/>
    </row>
    <row r="1833" spans="2:9" hidden="1">
      <c r="B1833" s="231">
        <v>130008</v>
      </c>
      <c r="C1833" s="231">
        <v>200013</v>
      </c>
      <c r="D1833" s="231">
        <v>1</v>
      </c>
      <c r="E1833" s="231">
        <v>410</v>
      </c>
      <c r="F1833" s="231">
        <v>1</v>
      </c>
      <c r="G1833" s="231"/>
      <c r="H1833" s="231"/>
      <c r="I1833" s="231"/>
    </row>
    <row r="1834" spans="2:9" hidden="1">
      <c r="B1834" s="231">
        <v>130008</v>
      </c>
      <c r="C1834" s="231">
        <v>200014</v>
      </c>
      <c r="D1834" s="231">
        <v>1</v>
      </c>
      <c r="E1834" s="231">
        <v>4425</v>
      </c>
      <c r="F1834" s="231">
        <v>1</v>
      </c>
      <c r="G1834" s="231"/>
      <c r="H1834" s="231"/>
      <c r="I1834" s="231"/>
    </row>
    <row r="1835" spans="2:9" hidden="1">
      <c r="B1835" s="231">
        <v>130008</v>
      </c>
      <c r="C1835" s="232">
        <v>200022</v>
      </c>
      <c r="D1835" s="231">
        <v>1</v>
      </c>
      <c r="E1835" s="231">
        <v>410</v>
      </c>
      <c r="F1835" s="231">
        <v>1</v>
      </c>
      <c r="G1835" s="231"/>
      <c r="H1835" s="231"/>
      <c r="I1835" s="231"/>
    </row>
    <row r="1836" spans="2:9" hidden="1">
      <c r="B1836" s="231">
        <v>130008</v>
      </c>
      <c r="C1836" s="232">
        <v>200023</v>
      </c>
      <c r="D1836" s="231">
        <v>1</v>
      </c>
      <c r="E1836" s="231">
        <v>4425</v>
      </c>
      <c r="F1836" s="231">
        <v>1</v>
      </c>
      <c r="G1836" s="231"/>
      <c r="H1836" s="231"/>
      <c r="I1836" s="231"/>
    </row>
    <row r="1837" spans="2:9" hidden="1">
      <c r="B1837" s="231">
        <v>130008</v>
      </c>
      <c r="C1837" s="232">
        <v>200025</v>
      </c>
      <c r="D1837" s="231">
        <v>1</v>
      </c>
      <c r="E1837" s="231">
        <v>410</v>
      </c>
      <c r="F1837" s="231">
        <v>1</v>
      </c>
      <c r="G1837" s="231"/>
      <c r="H1837" s="231"/>
      <c r="I1837" s="231"/>
    </row>
    <row r="1838" spans="2:9" hidden="1">
      <c r="B1838" s="231">
        <v>130008</v>
      </c>
      <c r="C1838" s="232">
        <v>200027</v>
      </c>
      <c r="D1838" s="231">
        <v>1</v>
      </c>
      <c r="E1838" s="231">
        <v>410</v>
      </c>
      <c r="F1838" s="231">
        <v>1</v>
      </c>
      <c r="G1838" s="231"/>
      <c r="H1838" s="231"/>
      <c r="I1838" s="231"/>
    </row>
    <row r="1839" spans="2:9" hidden="1">
      <c r="B1839" s="231">
        <v>130008</v>
      </c>
      <c r="C1839" s="232">
        <v>200030</v>
      </c>
      <c r="D1839" s="231">
        <v>1</v>
      </c>
      <c r="E1839" s="231">
        <v>410</v>
      </c>
      <c r="F1839" s="231">
        <v>1</v>
      </c>
      <c r="G1839" s="231"/>
      <c r="H1839" s="231"/>
      <c r="I1839" s="231"/>
    </row>
    <row r="1840" spans="2:9" hidden="1">
      <c r="B1840" s="231">
        <v>130008</v>
      </c>
      <c r="C1840" s="232">
        <v>200031</v>
      </c>
      <c r="D1840" s="231">
        <v>1</v>
      </c>
      <c r="E1840" s="231">
        <v>410</v>
      </c>
      <c r="F1840" s="231">
        <v>1</v>
      </c>
      <c r="G1840" s="231"/>
      <c r="H1840" s="231"/>
      <c r="I1840" s="231"/>
    </row>
    <row r="1841" spans="2:9" hidden="1">
      <c r="B1841" s="231">
        <v>130008</v>
      </c>
      <c r="C1841" s="232">
        <v>200039</v>
      </c>
      <c r="D1841" s="231">
        <v>1</v>
      </c>
      <c r="E1841" s="231">
        <v>410</v>
      </c>
      <c r="F1841" s="231">
        <v>1</v>
      </c>
      <c r="G1841" s="231"/>
      <c r="H1841" s="231"/>
      <c r="I1841" s="231"/>
    </row>
    <row r="1842" spans="2:9" hidden="1">
      <c r="B1842" s="231">
        <v>130008</v>
      </c>
      <c r="C1842" s="232">
        <v>200045</v>
      </c>
      <c r="D1842" s="231">
        <v>1</v>
      </c>
      <c r="E1842" s="231">
        <v>410</v>
      </c>
      <c r="F1842" s="231">
        <v>1</v>
      </c>
      <c r="G1842" s="231"/>
      <c r="H1842" s="231"/>
      <c r="I1842" s="231"/>
    </row>
    <row r="1843" spans="2:9" hidden="1">
      <c r="B1843" s="231">
        <v>130008</v>
      </c>
      <c r="C1843" s="232">
        <v>200047</v>
      </c>
      <c r="D1843" s="231">
        <v>1</v>
      </c>
      <c r="E1843" s="231">
        <v>410</v>
      </c>
      <c r="F1843" s="231">
        <v>1</v>
      </c>
      <c r="G1843" s="231"/>
      <c r="H1843" s="231"/>
      <c r="I1843" s="231"/>
    </row>
    <row r="1844" spans="2:9" hidden="1">
      <c r="B1844" s="231">
        <v>130008</v>
      </c>
      <c r="C1844" s="232">
        <v>200049</v>
      </c>
      <c r="D1844" s="231">
        <v>1</v>
      </c>
      <c r="E1844" s="231">
        <v>410</v>
      </c>
      <c r="F1844" s="231">
        <v>1</v>
      </c>
      <c r="G1844" s="231"/>
      <c r="H1844" s="231"/>
      <c r="I1844" s="231"/>
    </row>
    <row r="1845" spans="2:9" hidden="1">
      <c r="B1845" s="231">
        <v>130008</v>
      </c>
      <c r="C1845" s="232">
        <v>200054</v>
      </c>
      <c r="D1845" s="231">
        <v>1</v>
      </c>
      <c r="E1845" s="231">
        <v>410</v>
      </c>
      <c r="F1845" s="231">
        <v>1</v>
      </c>
      <c r="G1845" s="231"/>
      <c r="H1845" s="231"/>
      <c r="I1845" s="231"/>
    </row>
    <row r="1846" spans="2:9" hidden="1">
      <c r="B1846" s="231">
        <v>130008</v>
      </c>
      <c r="C1846" s="232">
        <v>200060</v>
      </c>
      <c r="D1846" s="231">
        <v>1</v>
      </c>
      <c r="E1846" s="231">
        <v>410</v>
      </c>
      <c r="F1846" s="231">
        <v>1</v>
      </c>
      <c r="G1846" s="231"/>
      <c r="H1846" s="231"/>
      <c r="I1846" s="231"/>
    </row>
    <row r="1847" spans="2:9" hidden="1">
      <c r="B1847" s="231">
        <v>130008</v>
      </c>
      <c r="C1847" s="232">
        <v>200075</v>
      </c>
      <c r="D1847" s="231">
        <v>1</v>
      </c>
      <c r="E1847" s="231">
        <v>410</v>
      </c>
      <c r="F1847" s="231">
        <v>1</v>
      </c>
      <c r="G1847" s="231"/>
      <c r="H1847" s="231"/>
      <c r="I1847" s="231"/>
    </row>
    <row r="1848" spans="2:9" hidden="1">
      <c r="B1848" s="218">
        <v>130009</v>
      </c>
      <c r="C1848" s="218">
        <v>200011</v>
      </c>
      <c r="D1848" s="218">
        <v>1</v>
      </c>
      <c r="E1848" s="218">
        <v>410</v>
      </c>
      <c r="F1848" s="218">
        <v>1</v>
      </c>
      <c r="G1848" s="218"/>
      <c r="H1848" s="218"/>
      <c r="I1848" s="230" t="s">
        <v>1862</v>
      </c>
    </row>
    <row r="1849" spans="2:9" hidden="1">
      <c r="B1849" s="218">
        <v>130009</v>
      </c>
      <c r="C1849" s="218">
        <v>200012</v>
      </c>
      <c r="D1849" s="218">
        <v>1</v>
      </c>
      <c r="E1849" s="218">
        <v>4425</v>
      </c>
      <c r="F1849" s="218">
        <v>1</v>
      </c>
      <c r="G1849" s="218"/>
      <c r="H1849" s="218"/>
      <c r="I1849" s="218"/>
    </row>
    <row r="1850" spans="2:9" hidden="1">
      <c r="B1850" s="218">
        <v>130009</v>
      </c>
      <c r="C1850" s="218">
        <v>200013</v>
      </c>
      <c r="D1850" s="218">
        <v>1</v>
      </c>
      <c r="E1850" s="218">
        <v>410</v>
      </c>
      <c r="F1850" s="218">
        <v>1</v>
      </c>
      <c r="G1850" s="218"/>
      <c r="H1850" s="218"/>
      <c r="I1850" s="218"/>
    </row>
    <row r="1851" spans="2:9" hidden="1">
      <c r="B1851" s="218">
        <v>130009</v>
      </c>
      <c r="C1851" s="218">
        <v>200014</v>
      </c>
      <c r="D1851" s="218">
        <v>1</v>
      </c>
      <c r="E1851" s="218">
        <v>410</v>
      </c>
      <c r="F1851" s="218">
        <v>1</v>
      </c>
      <c r="G1851" s="218"/>
      <c r="H1851" s="218"/>
      <c r="I1851" s="218"/>
    </row>
    <row r="1852" spans="2:9" hidden="1">
      <c r="B1852" s="218">
        <v>130009</v>
      </c>
      <c r="C1852" s="219">
        <v>200022</v>
      </c>
      <c r="D1852" s="218">
        <v>1</v>
      </c>
      <c r="E1852" s="218">
        <v>410</v>
      </c>
      <c r="F1852" s="218">
        <v>1</v>
      </c>
      <c r="G1852" s="218"/>
      <c r="H1852" s="218"/>
      <c r="I1852" s="218"/>
    </row>
    <row r="1853" spans="2:9" hidden="1">
      <c r="B1853" s="218">
        <v>130009</v>
      </c>
      <c r="C1853" s="219">
        <v>200023</v>
      </c>
      <c r="D1853" s="218">
        <v>1</v>
      </c>
      <c r="E1853" s="218">
        <v>410</v>
      </c>
      <c r="F1853" s="218">
        <v>1</v>
      </c>
      <c r="G1853" s="218"/>
      <c r="H1853" s="218"/>
      <c r="I1853" s="218"/>
    </row>
    <row r="1854" spans="2:9" hidden="1">
      <c r="B1854" s="218">
        <v>130009</v>
      </c>
      <c r="C1854" s="219">
        <v>200025</v>
      </c>
      <c r="D1854" s="218">
        <v>1</v>
      </c>
      <c r="E1854" s="218">
        <v>410</v>
      </c>
      <c r="F1854" s="218">
        <v>1</v>
      </c>
      <c r="G1854" s="218"/>
      <c r="H1854" s="218"/>
      <c r="I1854" s="218"/>
    </row>
    <row r="1855" spans="2:9" hidden="1">
      <c r="B1855" s="218">
        <v>130009</v>
      </c>
      <c r="C1855" s="219">
        <v>200027</v>
      </c>
      <c r="D1855" s="218">
        <v>1</v>
      </c>
      <c r="E1855" s="218">
        <v>410</v>
      </c>
      <c r="F1855" s="218">
        <v>1</v>
      </c>
      <c r="G1855" s="218"/>
      <c r="H1855" s="218"/>
      <c r="I1855" s="218"/>
    </row>
    <row r="1856" spans="2:9" hidden="1">
      <c r="B1856" s="218">
        <v>130009</v>
      </c>
      <c r="C1856" s="219">
        <v>200030</v>
      </c>
      <c r="D1856" s="218">
        <v>1</v>
      </c>
      <c r="E1856" s="218">
        <v>410</v>
      </c>
      <c r="F1856" s="218">
        <v>1</v>
      </c>
      <c r="G1856" s="218"/>
      <c r="H1856" s="218"/>
      <c r="I1856" s="218"/>
    </row>
    <row r="1857" spans="2:9" hidden="1">
      <c r="B1857" s="218">
        <v>130009</v>
      </c>
      <c r="C1857" s="219">
        <v>200031</v>
      </c>
      <c r="D1857" s="218">
        <v>1</v>
      </c>
      <c r="E1857" s="218">
        <v>4425</v>
      </c>
      <c r="F1857" s="218">
        <v>1</v>
      </c>
      <c r="G1857" s="218"/>
      <c r="H1857" s="218"/>
      <c r="I1857" s="218"/>
    </row>
    <row r="1858" spans="2:9" hidden="1">
      <c r="B1858" s="218">
        <v>130009</v>
      </c>
      <c r="C1858" s="219">
        <v>200039</v>
      </c>
      <c r="D1858" s="218">
        <v>1</v>
      </c>
      <c r="E1858" s="218">
        <v>410</v>
      </c>
      <c r="F1858" s="218">
        <v>1</v>
      </c>
      <c r="G1858" s="218"/>
      <c r="H1858" s="218"/>
      <c r="I1858" s="218"/>
    </row>
    <row r="1859" spans="2:9" hidden="1">
      <c r="B1859" s="218">
        <v>130009</v>
      </c>
      <c r="C1859" s="219">
        <v>200045</v>
      </c>
      <c r="D1859" s="218">
        <v>1</v>
      </c>
      <c r="E1859" s="218">
        <v>410</v>
      </c>
      <c r="F1859" s="218">
        <v>1</v>
      </c>
      <c r="G1859" s="218"/>
      <c r="H1859" s="218"/>
      <c r="I1859" s="218"/>
    </row>
    <row r="1860" spans="2:9" hidden="1">
      <c r="B1860" s="218">
        <v>130009</v>
      </c>
      <c r="C1860" s="219">
        <v>200047</v>
      </c>
      <c r="D1860" s="218">
        <v>1</v>
      </c>
      <c r="E1860" s="218">
        <v>410</v>
      </c>
      <c r="F1860" s="218">
        <v>1</v>
      </c>
      <c r="G1860" s="218"/>
      <c r="H1860" s="218"/>
      <c r="I1860" s="218"/>
    </row>
    <row r="1861" spans="2:9" hidden="1">
      <c r="B1861" s="218">
        <v>130009</v>
      </c>
      <c r="C1861" s="219">
        <v>200049</v>
      </c>
      <c r="D1861" s="218">
        <v>1</v>
      </c>
      <c r="E1861" s="218">
        <v>410</v>
      </c>
      <c r="F1861" s="218">
        <v>1</v>
      </c>
      <c r="G1861" s="218"/>
      <c r="H1861" s="218"/>
      <c r="I1861" s="218"/>
    </row>
    <row r="1862" spans="2:9" hidden="1">
      <c r="B1862" s="218">
        <v>130009</v>
      </c>
      <c r="C1862" s="219">
        <v>200054</v>
      </c>
      <c r="D1862" s="218">
        <v>1</v>
      </c>
      <c r="E1862" s="218">
        <v>410</v>
      </c>
      <c r="F1862" s="218">
        <v>1</v>
      </c>
      <c r="G1862" s="218"/>
      <c r="H1862" s="218"/>
      <c r="I1862" s="218"/>
    </row>
    <row r="1863" spans="2:9" hidden="1">
      <c r="B1863" s="218">
        <v>130009</v>
      </c>
      <c r="C1863" s="219">
        <v>200060</v>
      </c>
      <c r="D1863" s="218">
        <v>1</v>
      </c>
      <c r="E1863" s="218">
        <v>410</v>
      </c>
      <c r="F1863" s="218">
        <v>1</v>
      </c>
      <c r="G1863" s="218"/>
      <c r="H1863" s="218"/>
      <c r="I1863" s="218"/>
    </row>
    <row r="1864" spans="2:9" hidden="1">
      <c r="B1864" s="218">
        <v>130009</v>
      </c>
      <c r="C1864" s="219">
        <v>200075</v>
      </c>
      <c r="D1864" s="218">
        <v>1</v>
      </c>
      <c r="E1864" s="218">
        <v>410</v>
      </c>
      <c r="F1864" s="218">
        <v>1</v>
      </c>
      <c r="G1864" s="218"/>
      <c r="H1864" s="218"/>
      <c r="I1864" s="218"/>
    </row>
    <row r="1865" spans="2:9" hidden="1">
      <c r="B1865" s="218">
        <v>130010</v>
      </c>
      <c r="C1865" s="218">
        <v>200011</v>
      </c>
      <c r="D1865" s="218">
        <v>1</v>
      </c>
      <c r="E1865" s="218">
        <v>4425</v>
      </c>
      <c r="F1865" s="218">
        <v>1</v>
      </c>
      <c r="G1865" s="218"/>
      <c r="H1865" s="218"/>
      <c r="I1865" s="230" t="s">
        <v>1863</v>
      </c>
    </row>
    <row r="1866" spans="2:9" hidden="1">
      <c r="B1866" s="218">
        <v>130010</v>
      </c>
      <c r="C1866" s="218">
        <v>200012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130010</v>
      </c>
      <c r="C1867" s="218">
        <v>200013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130010</v>
      </c>
      <c r="C1868" s="218">
        <v>200014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130010</v>
      </c>
      <c r="C1869" s="219">
        <v>200022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130010</v>
      </c>
      <c r="C1870" s="219">
        <v>200023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130010</v>
      </c>
      <c r="C1871" s="219">
        <v>200025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130010</v>
      </c>
      <c r="C1872" s="219">
        <v>200027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130010</v>
      </c>
      <c r="C1873" s="219">
        <v>200030</v>
      </c>
      <c r="D1873" s="218">
        <v>1</v>
      </c>
      <c r="E1873" s="218">
        <v>410</v>
      </c>
      <c r="F1873" s="218">
        <v>1</v>
      </c>
      <c r="G1873" s="218"/>
      <c r="H1873" s="218"/>
      <c r="I1873" s="218"/>
    </row>
    <row r="1874" spans="2:9" hidden="1">
      <c r="B1874" s="218">
        <v>130010</v>
      </c>
      <c r="C1874" s="219">
        <v>200031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130010</v>
      </c>
      <c r="C1875" s="219">
        <v>200039</v>
      </c>
      <c r="D1875" s="218">
        <v>1</v>
      </c>
      <c r="E1875" s="218">
        <v>4425</v>
      </c>
      <c r="F1875" s="218">
        <v>1</v>
      </c>
      <c r="G1875" s="218"/>
      <c r="H1875" s="218"/>
      <c r="I1875" s="218"/>
    </row>
    <row r="1876" spans="2:9" hidden="1">
      <c r="B1876" s="218">
        <v>130010</v>
      </c>
      <c r="C1876" s="219">
        <v>200045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130010</v>
      </c>
      <c r="C1877" s="219">
        <v>200047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130010</v>
      </c>
      <c r="C1878" s="219">
        <v>200049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130010</v>
      </c>
      <c r="C1879" s="219">
        <v>200054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130010</v>
      </c>
      <c r="C1880" s="219">
        <v>200060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9">
        <v>200075</v>
      </c>
      <c r="D1881" s="218">
        <v>1</v>
      </c>
      <c r="E1881" s="218">
        <v>410</v>
      </c>
      <c r="F1881" s="218">
        <v>1</v>
      </c>
      <c r="G1881" s="218"/>
      <c r="H1881" s="218"/>
      <c r="I1881" s="218"/>
    </row>
    <row r="1882" spans="2:9" hidden="1">
      <c r="B1882" s="170">
        <v>130011</v>
      </c>
      <c r="C1882" s="170">
        <v>200011</v>
      </c>
      <c r="D1882" s="170">
        <v>1</v>
      </c>
      <c r="E1882" s="170">
        <v>410</v>
      </c>
      <c r="F1882" s="170">
        <v>1</v>
      </c>
      <c r="G1882" s="170"/>
      <c r="H1882" s="170"/>
      <c r="I1882" s="167" t="s">
        <v>1903</v>
      </c>
    </row>
    <row r="1883" spans="2:9" hidden="1">
      <c r="B1883" s="170">
        <v>130011</v>
      </c>
      <c r="C1883" s="170">
        <v>200012</v>
      </c>
      <c r="D1883" s="170">
        <v>1</v>
      </c>
      <c r="E1883" s="170">
        <v>410</v>
      </c>
      <c r="F1883" s="170">
        <v>1</v>
      </c>
      <c r="G1883" s="170"/>
      <c r="H1883" s="170"/>
      <c r="I1883" s="170"/>
    </row>
    <row r="1884" spans="2:9" hidden="1">
      <c r="B1884" s="170">
        <v>130011</v>
      </c>
      <c r="C1884" s="170">
        <v>200013</v>
      </c>
      <c r="D1884" s="170">
        <v>1</v>
      </c>
      <c r="E1884" s="170">
        <v>410</v>
      </c>
      <c r="F1884" s="170">
        <v>1</v>
      </c>
      <c r="G1884" s="170"/>
      <c r="H1884" s="170"/>
      <c r="I1884" s="170"/>
    </row>
    <row r="1885" spans="2:9" hidden="1">
      <c r="B1885" s="170">
        <v>130011</v>
      </c>
      <c r="C1885" s="170">
        <v>200014</v>
      </c>
      <c r="D1885" s="170">
        <v>1</v>
      </c>
      <c r="E1885" s="170">
        <v>4425</v>
      </c>
      <c r="F1885" s="170">
        <v>1</v>
      </c>
      <c r="G1885" s="170"/>
      <c r="H1885" s="170"/>
      <c r="I1885" s="170"/>
    </row>
    <row r="1886" spans="2:9" hidden="1">
      <c r="B1886" s="170">
        <v>130011</v>
      </c>
      <c r="C1886" s="171">
        <v>200022</v>
      </c>
      <c r="D1886" s="170">
        <v>1</v>
      </c>
      <c r="E1886" s="170">
        <v>410</v>
      </c>
      <c r="F1886" s="170">
        <v>1</v>
      </c>
      <c r="G1886" s="170"/>
      <c r="H1886" s="170"/>
      <c r="I1886" s="170"/>
    </row>
    <row r="1887" spans="2:9" hidden="1">
      <c r="B1887" s="170">
        <v>130011</v>
      </c>
      <c r="C1887" s="171">
        <v>200023</v>
      </c>
      <c r="D1887" s="170">
        <v>1</v>
      </c>
      <c r="E1887" s="170">
        <v>410</v>
      </c>
      <c r="F1887" s="170">
        <v>1</v>
      </c>
      <c r="G1887" s="170"/>
      <c r="H1887" s="170"/>
      <c r="I1887" s="170"/>
    </row>
    <row r="1888" spans="2:9" hidden="1">
      <c r="B1888" s="170">
        <v>130011</v>
      </c>
      <c r="C1888" s="171">
        <v>200025</v>
      </c>
      <c r="D1888" s="170">
        <v>1</v>
      </c>
      <c r="E1888" s="170">
        <v>410</v>
      </c>
      <c r="F1888" s="170">
        <v>1</v>
      </c>
      <c r="G1888" s="170"/>
      <c r="H1888" s="170"/>
      <c r="I1888" s="170"/>
    </row>
    <row r="1889" spans="1:9" hidden="1">
      <c r="B1889" s="170">
        <v>130011</v>
      </c>
      <c r="C1889" s="171">
        <v>200027</v>
      </c>
      <c r="D1889" s="170">
        <v>1</v>
      </c>
      <c r="E1889" s="170">
        <v>410</v>
      </c>
      <c r="F1889" s="170">
        <v>1</v>
      </c>
      <c r="G1889" s="170"/>
      <c r="H1889" s="170"/>
      <c r="I1889" s="170"/>
    </row>
    <row r="1890" spans="1:9" hidden="1">
      <c r="B1890" s="170">
        <v>130011</v>
      </c>
      <c r="C1890" s="171">
        <v>200030</v>
      </c>
      <c r="D1890" s="170">
        <v>1</v>
      </c>
      <c r="E1890" s="170">
        <v>410</v>
      </c>
      <c r="F1890" s="170">
        <v>1</v>
      </c>
      <c r="G1890" s="170"/>
      <c r="H1890" s="170"/>
      <c r="I1890" s="170"/>
    </row>
    <row r="1891" spans="1:9" hidden="1">
      <c r="B1891" s="170">
        <v>130011</v>
      </c>
      <c r="C1891" s="171">
        <v>200031</v>
      </c>
      <c r="D1891" s="170">
        <v>1</v>
      </c>
      <c r="E1891" s="170">
        <v>410</v>
      </c>
      <c r="F1891" s="170">
        <v>1</v>
      </c>
      <c r="G1891" s="170"/>
      <c r="H1891" s="170"/>
      <c r="I1891" s="170"/>
    </row>
    <row r="1892" spans="1:9" hidden="1">
      <c r="B1892" s="170">
        <v>130011</v>
      </c>
      <c r="C1892" s="171">
        <v>200039</v>
      </c>
      <c r="D1892" s="170">
        <v>1</v>
      </c>
      <c r="E1892" s="170">
        <v>410</v>
      </c>
      <c r="F1892" s="170">
        <v>1</v>
      </c>
      <c r="G1892" s="170"/>
      <c r="H1892" s="170"/>
      <c r="I1892" s="170"/>
    </row>
    <row r="1893" spans="1:9" hidden="1">
      <c r="B1893" s="170">
        <v>130011</v>
      </c>
      <c r="C1893" s="171">
        <v>200045</v>
      </c>
      <c r="D1893" s="170">
        <v>1</v>
      </c>
      <c r="E1893" s="170">
        <v>410</v>
      </c>
      <c r="F1893" s="170">
        <v>1</v>
      </c>
      <c r="G1893" s="170"/>
      <c r="H1893" s="170"/>
      <c r="I1893" s="170"/>
    </row>
    <row r="1894" spans="1:9" hidden="1">
      <c r="B1894" s="170">
        <v>130011</v>
      </c>
      <c r="C1894" s="171">
        <v>200047</v>
      </c>
      <c r="D1894" s="170">
        <v>1</v>
      </c>
      <c r="E1894" s="170">
        <v>410</v>
      </c>
      <c r="F1894" s="170">
        <v>1</v>
      </c>
      <c r="G1894" s="170"/>
      <c r="H1894" s="170"/>
      <c r="I1894" s="170"/>
    </row>
    <row r="1895" spans="1:9" hidden="1">
      <c r="B1895" s="170">
        <v>130011</v>
      </c>
      <c r="C1895" s="171">
        <v>200049</v>
      </c>
      <c r="D1895" s="170">
        <v>1</v>
      </c>
      <c r="E1895" s="170">
        <v>410</v>
      </c>
      <c r="F1895" s="170">
        <v>1</v>
      </c>
      <c r="G1895" s="170"/>
      <c r="H1895" s="170"/>
      <c r="I1895" s="170"/>
    </row>
    <row r="1896" spans="1:9" hidden="1">
      <c r="B1896" s="170">
        <v>130011</v>
      </c>
      <c r="C1896" s="171">
        <v>200054</v>
      </c>
      <c r="D1896" s="170">
        <v>1</v>
      </c>
      <c r="E1896" s="170">
        <v>410</v>
      </c>
      <c r="F1896" s="170">
        <v>1</v>
      </c>
      <c r="G1896" s="170"/>
      <c r="H1896" s="170"/>
      <c r="I1896" s="170"/>
    </row>
    <row r="1897" spans="1:9" hidden="1">
      <c r="B1897" s="170">
        <v>130011</v>
      </c>
      <c r="C1897" s="171">
        <v>200060</v>
      </c>
      <c r="D1897" s="170">
        <v>1</v>
      </c>
      <c r="E1897" s="170">
        <v>4425</v>
      </c>
      <c r="F1897" s="170">
        <v>1</v>
      </c>
      <c r="G1897" s="170"/>
      <c r="H1897" s="170"/>
      <c r="I1897" s="170"/>
    </row>
    <row r="1898" spans="1:9" hidden="1">
      <c r="B1898" s="170">
        <v>130011</v>
      </c>
      <c r="C1898" s="171">
        <v>200075</v>
      </c>
      <c r="D1898" s="170">
        <v>1</v>
      </c>
      <c r="E1898" s="170">
        <v>410</v>
      </c>
      <c r="F1898" s="170">
        <v>1</v>
      </c>
      <c r="G1898" s="170"/>
      <c r="H1898" s="170"/>
      <c r="I1898" s="170"/>
    </row>
    <row r="1899" spans="1:9" hidden="1">
      <c r="A1899">
        <v>2310</v>
      </c>
      <c r="B1899" s="259">
        <v>130012</v>
      </c>
      <c r="C1899" s="259">
        <v>200011</v>
      </c>
      <c r="D1899" s="259">
        <v>1</v>
      </c>
      <c r="E1899" s="259">
        <v>410</v>
      </c>
      <c r="F1899" s="259">
        <v>1</v>
      </c>
      <c r="G1899" s="259"/>
      <c r="H1899" s="259"/>
      <c r="I1899" s="163" t="s">
        <v>1907</v>
      </c>
    </row>
    <row r="1900" spans="1:9" hidden="1">
      <c r="B1900" s="259">
        <v>130012</v>
      </c>
      <c r="C1900" s="259">
        <v>200012</v>
      </c>
      <c r="D1900" s="259">
        <v>1</v>
      </c>
      <c r="E1900" s="259">
        <v>410</v>
      </c>
      <c r="F1900" s="259">
        <v>1</v>
      </c>
      <c r="G1900" s="259"/>
      <c r="H1900" s="259"/>
      <c r="I1900" s="259"/>
    </row>
    <row r="1901" spans="1:9" hidden="1">
      <c r="B1901" s="259">
        <v>130012</v>
      </c>
      <c r="C1901" s="259">
        <v>200013</v>
      </c>
      <c r="D1901" s="259">
        <v>1</v>
      </c>
      <c r="E1901" s="259">
        <v>410</v>
      </c>
      <c r="F1901" s="259">
        <v>1</v>
      </c>
      <c r="G1901" s="259"/>
      <c r="H1901" s="259"/>
      <c r="I1901" s="259"/>
    </row>
    <row r="1902" spans="1:9" hidden="1">
      <c r="B1902" s="259">
        <v>130012</v>
      </c>
      <c r="C1902" s="259">
        <v>200014</v>
      </c>
      <c r="D1902" s="259">
        <v>1</v>
      </c>
      <c r="E1902" s="259">
        <v>410</v>
      </c>
      <c r="F1902" s="259">
        <v>1</v>
      </c>
      <c r="G1902" s="259"/>
      <c r="H1902" s="259"/>
      <c r="I1902" s="259"/>
    </row>
    <row r="1903" spans="1:9" hidden="1">
      <c r="B1903" s="259">
        <v>130012</v>
      </c>
      <c r="C1903" s="260">
        <v>200022</v>
      </c>
      <c r="D1903" s="259">
        <v>1</v>
      </c>
      <c r="E1903" s="259">
        <v>410</v>
      </c>
      <c r="F1903" s="259">
        <v>1</v>
      </c>
      <c r="G1903" s="259"/>
      <c r="H1903" s="259"/>
      <c r="I1903" s="259"/>
    </row>
    <row r="1904" spans="1:9" hidden="1">
      <c r="B1904" s="259">
        <v>130012</v>
      </c>
      <c r="C1904" s="260">
        <v>200023</v>
      </c>
      <c r="D1904" s="259">
        <v>1</v>
      </c>
      <c r="E1904" s="259">
        <v>410</v>
      </c>
      <c r="F1904" s="259">
        <v>1</v>
      </c>
      <c r="G1904" s="259"/>
      <c r="H1904" s="259"/>
      <c r="I1904" s="259"/>
    </row>
    <row r="1905" spans="1:9" hidden="1">
      <c r="B1905" s="259">
        <v>130012</v>
      </c>
      <c r="C1905" s="260">
        <v>200025</v>
      </c>
      <c r="D1905" s="259">
        <v>1</v>
      </c>
      <c r="E1905" s="259">
        <v>410</v>
      </c>
      <c r="F1905" s="259">
        <v>1</v>
      </c>
      <c r="G1905" s="259"/>
      <c r="H1905" s="259"/>
      <c r="I1905" s="259"/>
    </row>
    <row r="1906" spans="1:9" hidden="1">
      <c r="B1906" s="259">
        <v>130012</v>
      </c>
      <c r="C1906" s="260">
        <v>200027</v>
      </c>
      <c r="D1906" s="259">
        <v>1</v>
      </c>
      <c r="E1906" s="259">
        <v>410</v>
      </c>
      <c r="F1906" s="259">
        <v>1</v>
      </c>
      <c r="G1906" s="259"/>
      <c r="H1906" s="259"/>
      <c r="I1906" s="259"/>
    </row>
    <row r="1907" spans="1:9" hidden="1">
      <c r="B1907" s="259">
        <v>130012</v>
      </c>
      <c r="C1907" s="260">
        <v>200030</v>
      </c>
      <c r="D1907" s="259">
        <v>1</v>
      </c>
      <c r="E1907" s="259">
        <v>410</v>
      </c>
      <c r="F1907" s="259">
        <v>1</v>
      </c>
      <c r="G1907" s="259"/>
      <c r="H1907" s="259"/>
      <c r="I1907" s="259"/>
    </row>
    <row r="1908" spans="1:9" hidden="1">
      <c r="B1908" s="259">
        <v>130012</v>
      </c>
      <c r="C1908" s="260">
        <v>200031</v>
      </c>
      <c r="D1908" s="259">
        <v>1</v>
      </c>
      <c r="E1908" s="259">
        <v>410</v>
      </c>
      <c r="F1908" s="259">
        <v>1</v>
      </c>
      <c r="G1908" s="259"/>
      <c r="H1908" s="259"/>
      <c r="I1908" s="259"/>
    </row>
    <row r="1909" spans="1:9" hidden="1">
      <c r="B1909" s="259">
        <v>130012</v>
      </c>
      <c r="C1909" s="260">
        <v>200039</v>
      </c>
      <c r="D1909" s="259">
        <v>1</v>
      </c>
      <c r="E1909" s="259">
        <v>410</v>
      </c>
      <c r="F1909" s="259">
        <v>1</v>
      </c>
      <c r="G1909" s="259"/>
      <c r="H1909" s="259"/>
      <c r="I1909" s="259"/>
    </row>
    <row r="1910" spans="1:9" hidden="1">
      <c r="B1910" s="259">
        <v>130012</v>
      </c>
      <c r="C1910" s="260">
        <v>200045</v>
      </c>
      <c r="D1910" s="259">
        <v>1</v>
      </c>
      <c r="E1910" s="259">
        <v>410</v>
      </c>
      <c r="F1910" s="259">
        <v>1</v>
      </c>
      <c r="G1910" s="259"/>
      <c r="H1910" s="259"/>
      <c r="I1910" s="259"/>
    </row>
    <row r="1911" spans="1:9" hidden="1">
      <c r="B1911" s="259">
        <v>130012</v>
      </c>
      <c r="C1911" s="260">
        <v>200047</v>
      </c>
      <c r="D1911" s="259">
        <v>1</v>
      </c>
      <c r="E1911" s="259">
        <v>410</v>
      </c>
      <c r="F1911" s="259">
        <v>1</v>
      </c>
      <c r="G1911" s="259"/>
      <c r="H1911" s="259"/>
      <c r="I1911" s="259"/>
    </row>
    <row r="1912" spans="1:9" hidden="1">
      <c r="B1912" s="259">
        <v>130012</v>
      </c>
      <c r="C1912" s="260">
        <v>200049</v>
      </c>
      <c r="D1912" s="259">
        <v>1</v>
      </c>
      <c r="E1912" s="259">
        <v>410</v>
      </c>
      <c r="F1912" s="259">
        <v>1</v>
      </c>
      <c r="G1912" s="259"/>
      <c r="H1912" s="259"/>
      <c r="I1912" s="259"/>
    </row>
    <row r="1913" spans="1:9" hidden="1">
      <c r="B1913" s="259">
        <v>130012</v>
      </c>
      <c r="C1913" s="260">
        <v>200054</v>
      </c>
      <c r="D1913" s="259">
        <v>1</v>
      </c>
      <c r="E1913" s="259">
        <v>410</v>
      </c>
      <c r="F1913" s="259">
        <v>1</v>
      </c>
      <c r="G1913" s="259"/>
      <c r="H1913" s="259"/>
      <c r="I1913" s="259"/>
    </row>
    <row r="1914" spans="1:9" hidden="1">
      <c r="B1914" s="259">
        <v>130012</v>
      </c>
      <c r="C1914" s="260">
        <v>200060</v>
      </c>
      <c r="D1914" s="259">
        <v>1</v>
      </c>
      <c r="E1914" s="259">
        <v>410</v>
      </c>
      <c r="F1914" s="259">
        <v>1</v>
      </c>
      <c r="G1914" s="259"/>
      <c r="H1914" s="259"/>
      <c r="I1914" s="259"/>
    </row>
    <row r="1915" spans="1:9" hidden="1">
      <c r="B1915" s="259">
        <v>130012</v>
      </c>
      <c r="C1915" s="260">
        <v>200075</v>
      </c>
      <c r="D1915" s="259">
        <v>1</v>
      </c>
      <c r="E1915" s="259">
        <v>410</v>
      </c>
      <c r="F1915" s="259">
        <v>1</v>
      </c>
      <c r="G1915" s="259"/>
      <c r="H1915" s="259"/>
      <c r="I1915" s="259"/>
    </row>
    <row r="1916" spans="1:9" hidden="1">
      <c r="B1916" s="259">
        <v>130012</v>
      </c>
      <c r="C1916" s="260">
        <v>200078</v>
      </c>
      <c r="D1916" s="259">
        <v>1</v>
      </c>
      <c r="E1916" s="259">
        <v>10030</v>
      </c>
      <c r="F1916" s="259">
        <v>1</v>
      </c>
      <c r="G1916" s="259"/>
      <c r="H1916" s="259"/>
      <c r="I1916" s="259"/>
    </row>
    <row r="1917" spans="1:9" hidden="1">
      <c r="A1917">
        <v>2310</v>
      </c>
      <c r="B1917" s="259">
        <v>130013</v>
      </c>
      <c r="C1917" s="259">
        <v>200011</v>
      </c>
      <c r="D1917" s="259">
        <v>1</v>
      </c>
      <c r="E1917" s="259">
        <v>410</v>
      </c>
      <c r="F1917" s="259">
        <v>1</v>
      </c>
      <c r="G1917" s="259"/>
      <c r="H1917" s="259"/>
      <c r="I1917" s="163" t="s">
        <v>1911</v>
      </c>
    </row>
    <row r="1918" spans="1:9" hidden="1">
      <c r="B1918" s="259">
        <v>130013</v>
      </c>
      <c r="C1918" s="259">
        <v>200012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130013</v>
      </c>
      <c r="C1919" s="259">
        <v>200013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130013</v>
      </c>
      <c r="C1920" s="259">
        <v>200014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130013</v>
      </c>
      <c r="C1921" s="260">
        <v>200022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130013</v>
      </c>
      <c r="C1922" s="260">
        <v>200023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130013</v>
      </c>
      <c r="C1923" s="260">
        <v>200025</v>
      </c>
      <c r="D1923" s="259">
        <v>1</v>
      </c>
      <c r="E1923" s="259">
        <v>4720</v>
      </c>
      <c r="F1923" s="259">
        <v>1</v>
      </c>
      <c r="G1923" s="259"/>
      <c r="H1923" s="259"/>
      <c r="I1923" s="259"/>
    </row>
    <row r="1924" spans="1:9" hidden="1">
      <c r="B1924" s="259">
        <v>130013</v>
      </c>
      <c r="C1924" s="260">
        <v>200027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130013</v>
      </c>
      <c r="C1925" s="260">
        <v>200030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130013</v>
      </c>
      <c r="C1926" s="260">
        <v>200031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130013</v>
      </c>
      <c r="C1927" s="260">
        <v>200039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130013</v>
      </c>
      <c r="C1928" s="260">
        <v>200045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130013</v>
      </c>
      <c r="C1929" s="260">
        <v>200047</v>
      </c>
      <c r="D1929" s="259">
        <v>1</v>
      </c>
      <c r="E1929" s="259">
        <v>4720</v>
      </c>
      <c r="F1929" s="259">
        <v>1</v>
      </c>
      <c r="G1929" s="259"/>
      <c r="H1929" s="259"/>
      <c r="I1929" s="259"/>
    </row>
    <row r="1930" spans="1:9" hidden="1">
      <c r="B1930" s="259">
        <v>130013</v>
      </c>
      <c r="C1930" s="260">
        <v>200049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130013</v>
      </c>
      <c r="C1931" s="260">
        <v>200054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130013</v>
      </c>
      <c r="C1932" s="260">
        <v>200060</v>
      </c>
      <c r="D1932" s="259">
        <v>1</v>
      </c>
      <c r="E1932" s="259">
        <v>410</v>
      </c>
      <c r="F1932" s="259">
        <v>1</v>
      </c>
      <c r="G1932" s="259"/>
      <c r="H1932" s="259"/>
      <c r="I1932" s="259"/>
    </row>
    <row r="1933" spans="1:9" hidden="1">
      <c r="B1933" s="259">
        <v>130013</v>
      </c>
      <c r="C1933" s="260">
        <v>200075</v>
      </c>
      <c r="D1933" s="259">
        <v>1</v>
      </c>
      <c r="E1933" s="259">
        <v>410</v>
      </c>
      <c r="F1933" s="259">
        <v>1</v>
      </c>
      <c r="G1933" s="259"/>
      <c r="H1933" s="259"/>
      <c r="I1933" s="259"/>
    </row>
    <row r="1934" spans="1:9" hidden="1">
      <c r="B1934" s="259">
        <v>130013</v>
      </c>
      <c r="C1934" s="260">
        <v>200078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A1935">
        <v>2310</v>
      </c>
      <c r="B1935" s="259">
        <v>130014</v>
      </c>
      <c r="C1935" s="259">
        <v>200011</v>
      </c>
      <c r="D1935" s="259">
        <v>1</v>
      </c>
      <c r="E1935" s="259">
        <v>410</v>
      </c>
      <c r="F1935" s="259">
        <v>1</v>
      </c>
      <c r="G1935" s="259"/>
      <c r="H1935" s="259"/>
      <c r="I1935" s="163" t="s">
        <v>1761</v>
      </c>
    </row>
    <row r="1936" spans="1:9" hidden="1">
      <c r="B1936" s="259">
        <v>130014</v>
      </c>
      <c r="C1936" s="259">
        <v>200012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2:9" hidden="1">
      <c r="B1937" s="259">
        <v>130014</v>
      </c>
      <c r="C1937" s="259">
        <v>200013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2:9" hidden="1">
      <c r="B1938" s="259">
        <v>130014</v>
      </c>
      <c r="C1938" s="259">
        <v>200014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2:9" hidden="1">
      <c r="B1939" s="259">
        <v>130014</v>
      </c>
      <c r="C1939" s="260">
        <v>200022</v>
      </c>
      <c r="D1939" s="259">
        <v>1</v>
      </c>
      <c r="E1939" s="259">
        <v>410</v>
      </c>
      <c r="F1939" s="259">
        <v>1</v>
      </c>
      <c r="G1939" s="259"/>
      <c r="H1939" s="259"/>
      <c r="I1939" s="259"/>
    </row>
    <row r="1940" spans="2:9" hidden="1">
      <c r="B1940" s="259">
        <v>130014</v>
      </c>
      <c r="C1940" s="260">
        <v>200023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2:9" hidden="1">
      <c r="B1941" s="259">
        <v>130014</v>
      </c>
      <c r="C1941" s="260">
        <v>200025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2:9" hidden="1">
      <c r="B1942" s="259">
        <v>130014</v>
      </c>
      <c r="C1942" s="260">
        <v>200027</v>
      </c>
      <c r="D1942" s="259">
        <v>1</v>
      </c>
      <c r="E1942" s="259">
        <v>4720</v>
      </c>
      <c r="F1942" s="259">
        <v>1</v>
      </c>
      <c r="G1942" s="259"/>
      <c r="H1942" s="259"/>
      <c r="I1942" s="259"/>
    </row>
    <row r="1943" spans="2:9" hidden="1">
      <c r="B1943" s="259">
        <v>130014</v>
      </c>
      <c r="C1943" s="260">
        <v>200030</v>
      </c>
      <c r="D1943" s="259">
        <v>1</v>
      </c>
      <c r="E1943" s="259">
        <v>4720</v>
      </c>
      <c r="F1943" s="259">
        <v>1</v>
      </c>
      <c r="G1943" s="259"/>
      <c r="H1943" s="259"/>
      <c r="I1943" s="259"/>
    </row>
    <row r="1944" spans="2:9" hidden="1">
      <c r="B1944" s="259">
        <v>130014</v>
      </c>
      <c r="C1944" s="260">
        <v>200031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2:9" hidden="1">
      <c r="B1945" s="259">
        <v>130014</v>
      </c>
      <c r="C1945" s="260">
        <v>200039</v>
      </c>
      <c r="D1945" s="259">
        <v>1</v>
      </c>
      <c r="E1945" s="259">
        <v>410</v>
      </c>
      <c r="F1945" s="259">
        <v>1</v>
      </c>
      <c r="G1945" s="259"/>
      <c r="H1945" s="259"/>
      <c r="I1945" s="259"/>
    </row>
    <row r="1946" spans="2:9" hidden="1">
      <c r="B1946" s="259">
        <v>130014</v>
      </c>
      <c r="C1946" s="260">
        <v>200045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2:9" hidden="1">
      <c r="B1947" s="259">
        <v>130014</v>
      </c>
      <c r="C1947" s="260">
        <v>200047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2:9" hidden="1">
      <c r="B1948" s="259">
        <v>130014</v>
      </c>
      <c r="C1948" s="260">
        <v>200049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2:9" hidden="1">
      <c r="B1949" s="259">
        <v>130014</v>
      </c>
      <c r="C1949" s="260">
        <v>200054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2:9" hidden="1">
      <c r="B1950" s="259">
        <v>130014</v>
      </c>
      <c r="C1950" s="260">
        <v>200060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2:9" hidden="1">
      <c r="B1951" s="259">
        <v>130014</v>
      </c>
      <c r="C1951" s="260">
        <v>200075</v>
      </c>
      <c r="D1951" s="259">
        <v>1</v>
      </c>
      <c r="E1951" s="259">
        <v>410</v>
      </c>
      <c r="F1951" s="259">
        <v>1</v>
      </c>
      <c r="G1951" s="259"/>
      <c r="H1951" s="259"/>
      <c r="I1951" s="259"/>
    </row>
    <row r="1952" spans="2:9" hidden="1">
      <c r="B1952" s="259">
        <v>130014</v>
      </c>
      <c r="C1952" s="260">
        <v>200078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1:9" hidden="1">
      <c r="A1953">
        <v>2311</v>
      </c>
      <c r="B1953" s="261">
        <v>130015</v>
      </c>
      <c r="C1953" s="261">
        <v>200011</v>
      </c>
      <c r="D1953" s="261">
        <v>1</v>
      </c>
      <c r="E1953" s="261">
        <v>410</v>
      </c>
      <c r="F1953" s="261">
        <v>1</v>
      </c>
      <c r="G1953" s="261"/>
      <c r="H1953" s="261"/>
      <c r="I1953" s="9" t="s">
        <v>1918</v>
      </c>
    </row>
    <row r="1954" spans="1:9" hidden="1">
      <c r="B1954" s="261">
        <v>130015</v>
      </c>
      <c r="C1954" s="261">
        <v>200012</v>
      </c>
      <c r="D1954" s="261">
        <v>1</v>
      </c>
      <c r="E1954" s="261">
        <v>410</v>
      </c>
      <c r="F1954" s="261">
        <v>1</v>
      </c>
      <c r="G1954" s="261"/>
      <c r="H1954" s="261"/>
      <c r="I1954" s="261"/>
    </row>
    <row r="1955" spans="1:9" hidden="1">
      <c r="B1955" s="261">
        <v>130015</v>
      </c>
      <c r="C1955" s="261">
        <v>200013</v>
      </c>
      <c r="D1955" s="261">
        <v>1</v>
      </c>
      <c r="E1955" s="261">
        <v>410</v>
      </c>
      <c r="F1955" s="261">
        <v>1</v>
      </c>
      <c r="G1955" s="261"/>
      <c r="H1955" s="261"/>
      <c r="I1955" s="261"/>
    </row>
    <row r="1956" spans="1:9" hidden="1">
      <c r="B1956" s="261">
        <v>130015</v>
      </c>
      <c r="C1956" s="261">
        <v>200014</v>
      </c>
      <c r="D1956" s="261">
        <v>1</v>
      </c>
      <c r="E1956" s="261">
        <v>410</v>
      </c>
      <c r="F1956" s="261">
        <v>1</v>
      </c>
      <c r="G1956" s="261"/>
      <c r="H1956" s="261"/>
      <c r="I1956" s="261"/>
    </row>
    <row r="1957" spans="1:9" hidden="1">
      <c r="B1957" s="261">
        <v>130015</v>
      </c>
      <c r="C1957" s="262">
        <v>200022</v>
      </c>
      <c r="D1957" s="261">
        <v>1</v>
      </c>
      <c r="E1957" s="261">
        <v>410</v>
      </c>
      <c r="F1957" s="261">
        <v>1</v>
      </c>
      <c r="G1957" s="261"/>
      <c r="H1957" s="261"/>
      <c r="I1957" s="261"/>
    </row>
    <row r="1958" spans="1:9" hidden="1">
      <c r="B1958" s="261">
        <v>130015</v>
      </c>
      <c r="C1958" s="262">
        <v>200023</v>
      </c>
      <c r="D1958" s="261">
        <v>1</v>
      </c>
      <c r="E1958" s="261">
        <v>410</v>
      </c>
      <c r="F1958" s="261">
        <v>1</v>
      </c>
      <c r="G1958" s="261"/>
      <c r="H1958" s="261"/>
      <c r="I1958" s="261"/>
    </row>
    <row r="1959" spans="1:9" hidden="1">
      <c r="B1959" s="261">
        <v>130015</v>
      </c>
      <c r="C1959" s="262">
        <v>200025</v>
      </c>
      <c r="D1959" s="261">
        <v>1</v>
      </c>
      <c r="E1959" s="261">
        <v>410</v>
      </c>
      <c r="F1959" s="261">
        <v>1</v>
      </c>
      <c r="G1959" s="261"/>
      <c r="H1959" s="261"/>
      <c r="I1959" s="261"/>
    </row>
    <row r="1960" spans="1:9" hidden="1">
      <c r="B1960" s="261">
        <v>130015</v>
      </c>
      <c r="C1960" s="262">
        <v>200027</v>
      </c>
      <c r="D1960" s="261">
        <v>1</v>
      </c>
      <c r="E1960" s="261">
        <v>410</v>
      </c>
      <c r="F1960" s="261">
        <v>1</v>
      </c>
      <c r="G1960" s="261"/>
      <c r="H1960" s="261"/>
      <c r="I1960" s="261"/>
    </row>
    <row r="1961" spans="1:9" hidden="1">
      <c r="B1961" s="261">
        <v>130015</v>
      </c>
      <c r="C1961" s="262">
        <v>200030</v>
      </c>
      <c r="D1961" s="261">
        <v>1</v>
      </c>
      <c r="E1961" s="261">
        <v>410</v>
      </c>
      <c r="F1961" s="261">
        <v>1</v>
      </c>
      <c r="G1961" s="261"/>
      <c r="H1961" s="261"/>
      <c r="I1961" s="261"/>
    </row>
    <row r="1962" spans="1:9" hidden="1">
      <c r="B1962" s="261">
        <v>130015</v>
      </c>
      <c r="C1962" s="262">
        <v>200031</v>
      </c>
      <c r="D1962" s="261">
        <v>1</v>
      </c>
      <c r="E1962" s="261">
        <v>410</v>
      </c>
      <c r="F1962" s="261">
        <v>1</v>
      </c>
      <c r="G1962" s="261"/>
      <c r="H1962" s="261"/>
      <c r="I1962" s="261"/>
    </row>
    <row r="1963" spans="1:9" hidden="1">
      <c r="B1963" s="261">
        <v>130015</v>
      </c>
      <c r="C1963" s="262">
        <v>200039</v>
      </c>
      <c r="D1963" s="261">
        <v>1</v>
      </c>
      <c r="E1963" s="261">
        <v>410</v>
      </c>
      <c r="F1963" s="261">
        <v>1</v>
      </c>
      <c r="G1963" s="261"/>
      <c r="H1963" s="261"/>
      <c r="I1963" s="261"/>
    </row>
    <row r="1964" spans="1:9" hidden="1">
      <c r="B1964" s="261">
        <v>130015</v>
      </c>
      <c r="C1964" s="262">
        <v>200045</v>
      </c>
      <c r="D1964" s="261">
        <v>1</v>
      </c>
      <c r="E1964" s="261">
        <v>410</v>
      </c>
      <c r="F1964" s="261">
        <v>1</v>
      </c>
      <c r="G1964" s="261"/>
      <c r="H1964" s="261"/>
      <c r="I1964" s="261"/>
    </row>
    <row r="1965" spans="1:9" hidden="1">
      <c r="B1965" s="261">
        <v>130015</v>
      </c>
      <c r="C1965" s="262">
        <v>200047</v>
      </c>
      <c r="D1965" s="261">
        <v>1</v>
      </c>
      <c r="E1965" s="261">
        <v>410</v>
      </c>
      <c r="F1965" s="261">
        <v>1</v>
      </c>
      <c r="G1965" s="261"/>
      <c r="H1965" s="261"/>
      <c r="I1965" s="261"/>
    </row>
    <row r="1966" spans="1:9" hidden="1">
      <c r="B1966" s="261">
        <v>130015</v>
      </c>
      <c r="C1966" s="262">
        <v>200049</v>
      </c>
      <c r="D1966" s="261">
        <v>1</v>
      </c>
      <c r="E1966" s="261">
        <v>410</v>
      </c>
      <c r="F1966" s="261">
        <v>1</v>
      </c>
      <c r="G1966" s="261"/>
      <c r="H1966" s="261"/>
      <c r="I1966" s="261"/>
    </row>
    <row r="1967" spans="1:9" hidden="1">
      <c r="B1967" s="261">
        <v>130015</v>
      </c>
      <c r="C1967" s="262">
        <v>200054</v>
      </c>
      <c r="D1967" s="261">
        <v>1</v>
      </c>
      <c r="E1967" s="261">
        <v>410</v>
      </c>
      <c r="F1967" s="261">
        <v>1</v>
      </c>
      <c r="G1967" s="261"/>
      <c r="H1967" s="261"/>
      <c r="I1967" s="261"/>
    </row>
    <row r="1968" spans="1:9" hidden="1">
      <c r="B1968" s="261">
        <v>130015</v>
      </c>
      <c r="C1968" s="262">
        <v>200060</v>
      </c>
      <c r="D1968" s="261">
        <v>1</v>
      </c>
      <c r="E1968" s="261">
        <v>410</v>
      </c>
      <c r="F1968" s="261">
        <v>1</v>
      </c>
      <c r="G1968" s="261"/>
      <c r="H1968" s="261"/>
      <c r="I1968" s="261"/>
    </row>
    <row r="1969" spans="1:9" hidden="1">
      <c r="B1969" s="261">
        <v>130015</v>
      </c>
      <c r="C1969" s="262">
        <v>200075</v>
      </c>
      <c r="D1969" s="261">
        <v>1</v>
      </c>
      <c r="E1969" s="261">
        <v>410</v>
      </c>
      <c r="F1969" s="261">
        <v>1</v>
      </c>
      <c r="G1969" s="261"/>
      <c r="H1969" s="261"/>
      <c r="I1969" s="261"/>
    </row>
    <row r="1970" spans="1:9" hidden="1">
      <c r="B1970" s="261">
        <v>130015</v>
      </c>
      <c r="C1970" s="262">
        <v>200078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13">
        <v>200079</v>
      </c>
      <c r="D1971" s="261">
        <v>1</v>
      </c>
      <c r="E1971" s="261">
        <v>2655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13">
        <v>200080</v>
      </c>
      <c r="D1972" s="261">
        <v>1</v>
      </c>
      <c r="E1972" s="261">
        <v>2655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13">
        <v>200081</v>
      </c>
      <c r="D1973" s="261">
        <v>1</v>
      </c>
      <c r="E1973" s="261">
        <v>2655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13">
        <v>200082</v>
      </c>
      <c r="D1974" s="261">
        <v>1</v>
      </c>
      <c r="E1974" s="261">
        <v>2655</v>
      </c>
      <c r="F1974" s="261">
        <v>1</v>
      </c>
      <c r="G1974" s="261"/>
      <c r="H1974" s="261"/>
      <c r="I1974" s="261"/>
    </row>
    <row r="1975" spans="1:9" hidden="1">
      <c r="A1975">
        <v>2311</v>
      </c>
      <c r="B1975" s="261">
        <v>130016</v>
      </c>
      <c r="C1975" s="261">
        <v>200011</v>
      </c>
      <c r="D1975" s="261">
        <v>1</v>
      </c>
      <c r="E1975" s="261">
        <v>4720</v>
      </c>
      <c r="F1975" s="261">
        <v>1</v>
      </c>
      <c r="G1975" s="261"/>
      <c r="H1975" s="261"/>
      <c r="I1975" s="240" t="s">
        <v>1922</v>
      </c>
    </row>
    <row r="1976" spans="1:9" hidden="1">
      <c r="B1976" s="261">
        <v>130016</v>
      </c>
      <c r="C1976" s="261">
        <v>200012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130016</v>
      </c>
      <c r="C1977" s="261">
        <v>200013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130016</v>
      </c>
      <c r="C1978" s="261">
        <v>200014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130016</v>
      </c>
      <c r="C1979" s="262">
        <v>200022</v>
      </c>
      <c r="D1979" s="261">
        <v>1</v>
      </c>
      <c r="E1979" s="261">
        <v>4720</v>
      </c>
      <c r="F1979" s="261">
        <v>1</v>
      </c>
      <c r="G1979" s="261"/>
      <c r="H1979" s="261"/>
      <c r="I1979" s="261"/>
    </row>
    <row r="1980" spans="1:9" hidden="1">
      <c r="B1980" s="261">
        <v>130016</v>
      </c>
      <c r="C1980" s="262">
        <v>200023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130016</v>
      </c>
      <c r="C1981" s="262">
        <v>200025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130016</v>
      </c>
      <c r="C1982" s="262">
        <v>200027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130016</v>
      </c>
      <c r="C1983" s="262">
        <v>200030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130016</v>
      </c>
      <c r="C1984" s="262">
        <v>200031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130016</v>
      </c>
      <c r="C1985" s="262">
        <v>200039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130016</v>
      </c>
      <c r="C1986" s="262">
        <v>200045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130016</v>
      </c>
      <c r="C1987" s="262">
        <v>200047</v>
      </c>
      <c r="D1987" s="261">
        <v>1</v>
      </c>
      <c r="E1987" s="261">
        <v>410</v>
      </c>
      <c r="F1987" s="261">
        <v>1</v>
      </c>
      <c r="G1987" s="261"/>
      <c r="H1987" s="261"/>
      <c r="I1987" s="261"/>
    </row>
    <row r="1988" spans="1:9" hidden="1">
      <c r="B1988" s="261">
        <v>130016</v>
      </c>
      <c r="C1988" s="262">
        <v>200049</v>
      </c>
      <c r="D1988" s="261">
        <v>1</v>
      </c>
      <c r="E1988" s="261">
        <v>410</v>
      </c>
      <c r="F1988" s="261">
        <v>1</v>
      </c>
      <c r="G1988" s="261"/>
      <c r="H1988" s="261"/>
      <c r="I1988" s="261"/>
    </row>
    <row r="1989" spans="1:9" hidden="1">
      <c r="B1989" s="261">
        <v>130016</v>
      </c>
      <c r="C1989" s="262">
        <v>200054</v>
      </c>
      <c r="D1989" s="261">
        <v>1</v>
      </c>
      <c r="E1989" s="261">
        <v>410</v>
      </c>
      <c r="F1989" s="261">
        <v>1</v>
      </c>
      <c r="G1989" s="261"/>
      <c r="H1989" s="261"/>
      <c r="I1989" s="261"/>
    </row>
    <row r="1990" spans="1:9" hidden="1">
      <c r="B1990" s="261">
        <v>130016</v>
      </c>
      <c r="C1990" s="262">
        <v>200060</v>
      </c>
      <c r="D1990" s="261">
        <v>1</v>
      </c>
      <c r="E1990" s="261">
        <v>410</v>
      </c>
      <c r="F1990" s="261">
        <v>1</v>
      </c>
      <c r="G1990" s="261"/>
      <c r="H1990" s="261"/>
      <c r="I1990" s="261"/>
    </row>
    <row r="1991" spans="1:9" hidden="1">
      <c r="B1991" s="261">
        <v>130016</v>
      </c>
      <c r="C1991" s="262">
        <v>200075</v>
      </c>
      <c r="D1991" s="261">
        <v>1</v>
      </c>
      <c r="E1991" s="261">
        <v>410</v>
      </c>
      <c r="F1991" s="261">
        <v>1</v>
      </c>
      <c r="G1991" s="261"/>
      <c r="H1991" s="261"/>
      <c r="I1991" s="261"/>
    </row>
    <row r="1992" spans="1:9" hidden="1">
      <c r="B1992" s="261">
        <v>130016</v>
      </c>
      <c r="C1992" s="262">
        <v>200078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A1993">
        <v>2311</v>
      </c>
      <c r="B1993" s="261">
        <v>130017</v>
      </c>
      <c r="C1993" s="261">
        <v>200011</v>
      </c>
      <c r="D1993" s="261">
        <v>1</v>
      </c>
      <c r="E1993" s="261">
        <v>410</v>
      </c>
      <c r="F1993" s="261">
        <v>1</v>
      </c>
      <c r="G1993" s="261"/>
      <c r="H1993" s="261"/>
      <c r="I1993" s="240" t="s">
        <v>1923</v>
      </c>
    </row>
    <row r="1994" spans="1:9" hidden="1">
      <c r="B1994" s="261">
        <v>130017</v>
      </c>
      <c r="C1994" s="261">
        <v>200012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1:9" hidden="1">
      <c r="B1995" s="261">
        <v>130017</v>
      </c>
      <c r="C1995" s="261">
        <v>200013</v>
      </c>
      <c r="D1995" s="261">
        <v>1</v>
      </c>
      <c r="E1995" s="261">
        <v>410</v>
      </c>
      <c r="F1995" s="261">
        <v>1</v>
      </c>
      <c r="G1995" s="261"/>
      <c r="H1995" s="261"/>
      <c r="I1995" s="261"/>
    </row>
    <row r="1996" spans="1:9" hidden="1">
      <c r="B1996" s="261">
        <v>130017</v>
      </c>
      <c r="C1996" s="261">
        <v>200014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1:9" hidden="1">
      <c r="B1997" s="261">
        <v>130017</v>
      </c>
      <c r="C1997" s="262">
        <v>200022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1:9" hidden="1">
      <c r="B1998" s="261">
        <v>130017</v>
      </c>
      <c r="C1998" s="262">
        <v>200023</v>
      </c>
      <c r="D1998" s="261">
        <v>1</v>
      </c>
      <c r="E1998" s="261">
        <v>4720</v>
      </c>
      <c r="F1998" s="261">
        <v>1</v>
      </c>
      <c r="G1998" s="261"/>
      <c r="H1998" s="261"/>
      <c r="I1998" s="261"/>
    </row>
    <row r="1999" spans="1:9" hidden="1">
      <c r="B1999" s="261">
        <v>130017</v>
      </c>
      <c r="C1999" s="262">
        <v>200025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130017</v>
      </c>
      <c r="C2000" s="262">
        <v>200027</v>
      </c>
      <c r="D2000" s="261">
        <v>1</v>
      </c>
      <c r="E2000" s="261">
        <v>4720</v>
      </c>
      <c r="F2000" s="261">
        <v>1</v>
      </c>
      <c r="G2000" s="261"/>
      <c r="H2000" s="261"/>
      <c r="I2000" s="261"/>
    </row>
    <row r="2001" spans="1:9" hidden="1">
      <c r="B2001" s="261">
        <v>130017</v>
      </c>
      <c r="C2001" s="262">
        <v>200030</v>
      </c>
      <c r="D2001" s="261">
        <v>1</v>
      </c>
      <c r="E2001" s="261">
        <v>410</v>
      </c>
      <c r="F2001" s="261">
        <v>1</v>
      </c>
      <c r="G2001" s="261"/>
      <c r="H2001" s="261"/>
      <c r="I2001" s="261"/>
    </row>
    <row r="2002" spans="1:9" hidden="1">
      <c r="B2002" s="261">
        <v>130017</v>
      </c>
      <c r="C2002" s="262">
        <v>200031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130017</v>
      </c>
      <c r="C2003" s="262">
        <v>200039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130017</v>
      </c>
      <c r="C2004" s="262">
        <v>200045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130017</v>
      </c>
      <c r="C2005" s="262">
        <v>200047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130017</v>
      </c>
      <c r="C2006" s="262">
        <v>200049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130017</v>
      </c>
      <c r="C2007" s="262">
        <v>200054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130017</v>
      </c>
      <c r="C2008" s="262">
        <v>200060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B2009" s="261">
        <v>130017</v>
      </c>
      <c r="C2009" s="262">
        <v>200075</v>
      </c>
      <c r="D2009" s="261">
        <v>1</v>
      </c>
      <c r="E2009" s="261">
        <v>410</v>
      </c>
      <c r="F2009" s="261">
        <v>1</v>
      </c>
      <c r="G2009" s="261"/>
      <c r="H2009" s="261"/>
      <c r="I2009" s="261"/>
    </row>
    <row r="2010" spans="1:9" hidden="1">
      <c r="B2010" s="261">
        <v>130017</v>
      </c>
      <c r="C2010" s="262">
        <v>200078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A2011">
        <v>2311</v>
      </c>
      <c r="B2011" s="261">
        <v>130018</v>
      </c>
      <c r="C2011" s="261">
        <v>200011</v>
      </c>
      <c r="D2011" s="261">
        <v>1</v>
      </c>
      <c r="E2011" s="261">
        <v>410</v>
      </c>
      <c r="F2011" s="261">
        <v>1</v>
      </c>
      <c r="G2011" s="261"/>
      <c r="H2011" s="261"/>
      <c r="I2011" s="240" t="s">
        <v>1924</v>
      </c>
    </row>
    <row r="2012" spans="1:9" hidden="1">
      <c r="B2012" s="261">
        <v>130018</v>
      </c>
      <c r="C2012" s="261">
        <v>200012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130018</v>
      </c>
      <c r="C2013" s="261">
        <v>200013</v>
      </c>
      <c r="D2013" s="261">
        <v>1</v>
      </c>
      <c r="E2013" s="261">
        <v>4720</v>
      </c>
      <c r="F2013" s="261">
        <v>1</v>
      </c>
      <c r="G2013" s="261"/>
      <c r="H2013" s="261"/>
      <c r="I2013" s="261"/>
    </row>
    <row r="2014" spans="1:9" hidden="1">
      <c r="B2014" s="261">
        <v>130018</v>
      </c>
      <c r="C2014" s="261">
        <v>200014</v>
      </c>
      <c r="D2014" s="261">
        <v>1</v>
      </c>
      <c r="E2014" s="261">
        <v>410</v>
      </c>
      <c r="F2014" s="261">
        <v>1</v>
      </c>
      <c r="G2014" s="261"/>
      <c r="H2014" s="261"/>
      <c r="I2014" s="261"/>
    </row>
    <row r="2015" spans="1:9" hidden="1">
      <c r="B2015" s="261">
        <v>130018</v>
      </c>
      <c r="C2015" s="262">
        <v>200022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130018</v>
      </c>
      <c r="C2016" s="262">
        <v>200023</v>
      </c>
      <c r="D2016" s="261">
        <v>1</v>
      </c>
      <c r="E2016" s="261">
        <v>410</v>
      </c>
      <c r="F2016" s="261">
        <v>1</v>
      </c>
      <c r="G2016" s="261"/>
      <c r="H2016" s="261"/>
      <c r="I2016" s="261"/>
    </row>
    <row r="2017" spans="2:9" hidden="1">
      <c r="B2017" s="261">
        <v>130018</v>
      </c>
      <c r="C2017" s="262">
        <v>200025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2:9" hidden="1">
      <c r="B2018" s="261">
        <v>130018</v>
      </c>
      <c r="C2018" s="262">
        <v>200027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2:9" hidden="1">
      <c r="B2019" s="261">
        <v>130018</v>
      </c>
      <c r="C2019" s="262">
        <v>200030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2:9" hidden="1">
      <c r="B2020" s="261">
        <v>130018</v>
      </c>
      <c r="C2020" s="262">
        <v>200031</v>
      </c>
      <c r="D2020" s="261">
        <v>1</v>
      </c>
      <c r="E2020" s="261">
        <v>4720</v>
      </c>
      <c r="F2020" s="261">
        <v>1</v>
      </c>
      <c r="G2020" s="261"/>
      <c r="H2020" s="261"/>
      <c r="I2020" s="261"/>
    </row>
    <row r="2021" spans="2:9" hidden="1">
      <c r="B2021" s="261">
        <v>130018</v>
      </c>
      <c r="C2021" s="262">
        <v>200039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2:9" hidden="1">
      <c r="B2022" s="261">
        <v>130018</v>
      </c>
      <c r="C2022" s="262">
        <v>200045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2:9" hidden="1">
      <c r="B2023" s="261">
        <v>130018</v>
      </c>
      <c r="C2023" s="262">
        <v>200047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2:9" hidden="1">
      <c r="B2024" s="261">
        <v>130018</v>
      </c>
      <c r="C2024" s="262">
        <v>200049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2:9" hidden="1">
      <c r="B2025" s="261">
        <v>130018</v>
      </c>
      <c r="C2025" s="262">
        <v>200054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2:9" hidden="1">
      <c r="B2026" s="261">
        <v>130018</v>
      </c>
      <c r="C2026" s="262">
        <v>200060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2:9" hidden="1">
      <c r="B2027" s="261">
        <v>130018</v>
      </c>
      <c r="C2027" s="262">
        <v>200075</v>
      </c>
      <c r="D2027" s="261">
        <v>1</v>
      </c>
      <c r="E2027" s="261">
        <v>410</v>
      </c>
      <c r="F2027" s="261">
        <v>1</v>
      </c>
      <c r="G2027" s="261"/>
      <c r="H2027" s="261"/>
      <c r="I2027" s="261"/>
    </row>
    <row r="2028" spans="2:9" hidden="1">
      <c r="B2028" s="261">
        <v>130018</v>
      </c>
      <c r="C2028" s="262">
        <v>200078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2:9" hidden="1">
      <c r="B2029" s="138">
        <v>100300</v>
      </c>
      <c r="C2029" s="138">
        <v>302005</v>
      </c>
      <c r="D2029" s="138">
        <v>1</v>
      </c>
      <c r="E2029" s="138">
        <v>1</v>
      </c>
      <c r="F2029" s="138">
        <v>0</v>
      </c>
      <c r="G2029" s="138"/>
      <c r="H2029" s="138"/>
      <c r="I2029" s="138" t="s">
        <v>641</v>
      </c>
    </row>
    <row r="2030" spans="2:9" hidden="1">
      <c r="B2030" s="138">
        <v>100300</v>
      </c>
      <c r="C2030" s="138">
        <v>302006</v>
      </c>
      <c r="D2030" s="138">
        <v>1</v>
      </c>
      <c r="E2030" s="138">
        <v>1</v>
      </c>
      <c r="F2030" s="138">
        <v>0</v>
      </c>
      <c r="G2030" s="138"/>
      <c r="H2030" s="138"/>
      <c r="I2030" s="138"/>
    </row>
    <row r="2031" spans="2:9" hidden="1">
      <c r="B2031" s="138">
        <v>100300</v>
      </c>
      <c r="C2031" s="138">
        <v>302007</v>
      </c>
      <c r="D2031" s="138">
        <v>1</v>
      </c>
      <c r="E2031" s="138">
        <v>1</v>
      </c>
      <c r="F2031" s="138">
        <v>0</v>
      </c>
      <c r="G2031" s="138"/>
      <c r="H2031" s="138"/>
      <c r="I2031" s="138"/>
    </row>
    <row r="2032" spans="2:9" hidden="1">
      <c r="B2032" s="138">
        <v>100300</v>
      </c>
      <c r="C2032" s="138">
        <v>302008</v>
      </c>
      <c r="D2032" s="138">
        <v>1</v>
      </c>
      <c r="E2032" s="138">
        <v>1</v>
      </c>
      <c r="F2032" s="138">
        <v>0</v>
      </c>
      <c r="G2032" s="138"/>
      <c r="H2032" s="138"/>
      <c r="I2032" s="138"/>
    </row>
    <row r="2033" spans="2:10" hidden="1">
      <c r="B2033" s="138">
        <v>100300</v>
      </c>
      <c r="C2033" s="138">
        <v>302009</v>
      </c>
      <c r="D2033" s="138">
        <v>1</v>
      </c>
      <c r="E2033" s="138">
        <v>1</v>
      </c>
      <c r="F2033" s="138">
        <v>0</v>
      </c>
      <c r="G2033" s="138"/>
      <c r="H2033" s="138"/>
      <c r="I2033" s="138"/>
    </row>
    <row r="2034" spans="2:10" hidden="1">
      <c r="B2034" s="138">
        <v>100300</v>
      </c>
      <c r="C2034" s="138">
        <v>302010</v>
      </c>
      <c r="D2034" s="138">
        <v>1</v>
      </c>
      <c r="E2034" s="138">
        <v>1</v>
      </c>
      <c r="F2034" s="138">
        <v>0</v>
      </c>
      <c r="G2034" s="138"/>
      <c r="H2034" s="138"/>
      <c r="I2034" s="138"/>
    </row>
    <row r="2035" spans="2:10" hidden="1">
      <c r="B2035" s="138">
        <v>100300</v>
      </c>
      <c r="C2035" s="138">
        <v>302011</v>
      </c>
      <c r="D2035" s="138">
        <v>1</v>
      </c>
      <c r="E2035" s="138">
        <v>1</v>
      </c>
      <c r="F2035" s="138">
        <v>0</v>
      </c>
      <c r="G2035" s="138"/>
      <c r="H2035" s="138"/>
      <c r="I2035" s="138"/>
    </row>
    <row r="2036" spans="2:10" hidden="1">
      <c r="B2036" s="138">
        <v>100300</v>
      </c>
      <c r="C2036" s="138">
        <v>302012</v>
      </c>
      <c r="D2036" s="138">
        <v>1</v>
      </c>
      <c r="E2036" s="138">
        <v>1</v>
      </c>
      <c r="F2036" s="138">
        <v>0</v>
      </c>
      <c r="G2036" s="138"/>
      <c r="H2036" s="138"/>
      <c r="I2036" s="138"/>
    </row>
    <row r="2037" spans="2:10" hidden="1">
      <c r="B2037" s="120">
        <v>100301</v>
      </c>
      <c r="C2037" s="120">
        <v>100002</v>
      </c>
      <c r="D2037" s="120">
        <v>500</v>
      </c>
      <c r="E2037" s="120">
        <v>6</v>
      </c>
      <c r="F2037" s="120">
        <v>0</v>
      </c>
      <c r="I2037" s="144"/>
      <c r="J2037" t="s">
        <v>642</v>
      </c>
    </row>
    <row r="2038" spans="2:10" hidden="1">
      <c r="B2038" s="120">
        <v>100301</v>
      </c>
      <c r="C2038" s="120">
        <v>100002</v>
      </c>
      <c r="D2038" s="120">
        <v>800</v>
      </c>
      <c r="E2038" s="120">
        <v>10</v>
      </c>
      <c r="F2038" s="120">
        <v>0</v>
      </c>
      <c r="I2038" s="144"/>
    </row>
    <row r="2039" spans="2:10" hidden="1">
      <c r="B2039" s="120">
        <v>100301</v>
      </c>
      <c r="C2039" s="120">
        <v>100002</v>
      </c>
      <c r="D2039" s="120">
        <v>1000</v>
      </c>
      <c r="E2039" s="120">
        <v>3</v>
      </c>
      <c r="F2039" s="120">
        <v>0</v>
      </c>
      <c r="I2039" s="144"/>
    </row>
    <row r="2040" spans="2:10" hidden="1">
      <c r="B2040" s="120">
        <v>100301</v>
      </c>
      <c r="C2040" s="120">
        <v>100002</v>
      </c>
      <c r="D2040" s="120">
        <v>2000</v>
      </c>
      <c r="E2040" s="120">
        <v>1</v>
      </c>
      <c r="F2040" s="120">
        <v>0</v>
      </c>
      <c r="I2040" s="144"/>
    </row>
    <row r="2041" spans="2:10" hidden="1">
      <c r="B2041" s="172">
        <v>100302</v>
      </c>
      <c r="C2041" s="143">
        <v>309022</v>
      </c>
      <c r="D2041" s="172">
        <v>1</v>
      </c>
      <c r="E2041" s="172">
        <v>1</v>
      </c>
      <c r="F2041" s="172">
        <v>0</v>
      </c>
      <c r="G2041" s="143"/>
      <c r="H2041" s="143"/>
      <c r="I2041" s="143" t="s">
        <v>643</v>
      </c>
    </row>
    <row r="2042" spans="2:10" hidden="1">
      <c r="B2042" s="120">
        <v>100303</v>
      </c>
      <c r="C2042" s="120">
        <v>100002</v>
      </c>
      <c r="D2042" s="120">
        <v>2000</v>
      </c>
      <c r="E2042" s="120">
        <v>6</v>
      </c>
      <c r="F2042" s="120">
        <v>0</v>
      </c>
      <c r="I2042" s="144"/>
    </row>
    <row r="2043" spans="2:10" hidden="1">
      <c r="B2043" s="120">
        <v>100303</v>
      </c>
      <c r="C2043" s="120">
        <v>100002</v>
      </c>
      <c r="D2043" s="120">
        <v>5000</v>
      </c>
      <c r="E2043" s="120">
        <v>10</v>
      </c>
      <c r="F2043" s="120">
        <v>0</v>
      </c>
      <c r="I2043" s="144"/>
    </row>
    <row r="2044" spans="2:10" hidden="1">
      <c r="B2044" s="120">
        <v>100303</v>
      </c>
      <c r="C2044" s="120">
        <v>100002</v>
      </c>
      <c r="D2044" s="120">
        <v>10000</v>
      </c>
      <c r="E2044" s="120">
        <v>3</v>
      </c>
      <c r="F2044" s="120">
        <v>0</v>
      </c>
      <c r="I2044" s="144"/>
    </row>
    <row r="2045" spans="2:10" hidden="1">
      <c r="B2045" s="120">
        <v>100303</v>
      </c>
      <c r="C2045" s="120">
        <v>100002</v>
      </c>
      <c r="D2045" s="120">
        <v>20000</v>
      </c>
      <c r="E2045" s="120">
        <v>1</v>
      </c>
      <c r="F2045" s="120">
        <v>0</v>
      </c>
      <c r="I2045" s="144"/>
    </row>
    <row r="2046" spans="2:10" hidden="1">
      <c r="B2046" s="120">
        <v>100304</v>
      </c>
      <c r="C2046">
        <v>304008</v>
      </c>
      <c r="D2046">
        <v>1</v>
      </c>
      <c r="E2046">
        <v>5</v>
      </c>
      <c r="F2046">
        <v>0</v>
      </c>
      <c r="I2046" s="144">
        <v>0.83</v>
      </c>
      <c r="J2046" t="s">
        <v>644</v>
      </c>
    </row>
    <row r="2047" spans="2:10" hidden="1">
      <c r="B2047" s="120">
        <v>100304</v>
      </c>
      <c r="C2047">
        <v>304009</v>
      </c>
      <c r="D2047">
        <v>1</v>
      </c>
      <c r="E2047">
        <v>1</v>
      </c>
      <c r="F2047">
        <v>1</v>
      </c>
      <c r="I2047" s="144">
        <v>0.17</v>
      </c>
      <c r="J2047" t="s">
        <v>645</v>
      </c>
    </row>
    <row r="2048" spans="2:10" hidden="1">
      <c r="B2048" s="120">
        <v>100305</v>
      </c>
      <c r="C2048">
        <v>304008</v>
      </c>
      <c r="D2048">
        <v>1</v>
      </c>
      <c r="E2048">
        <v>3</v>
      </c>
      <c r="F2048">
        <v>0</v>
      </c>
      <c r="I2048" s="144">
        <v>0.75</v>
      </c>
      <c r="J2048" t="s">
        <v>646</v>
      </c>
    </row>
    <row r="2049" spans="2:10" hidden="1">
      <c r="B2049" s="120">
        <v>100305</v>
      </c>
      <c r="C2049">
        <v>304009</v>
      </c>
      <c r="D2049">
        <v>1</v>
      </c>
      <c r="E2049">
        <v>1</v>
      </c>
      <c r="F2049">
        <v>1</v>
      </c>
      <c r="I2049" s="144">
        <v>0.25</v>
      </c>
    </row>
    <row r="2050" spans="2:10" hidden="1">
      <c r="B2050" s="120">
        <v>100306</v>
      </c>
      <c r="C2050">
        <v>304008</v>
      </c>
      <c r="D2050">
        <v>1</v>
      </c>
      <c r="E2050">
        <v>1</v>
      </c>
      <c r="F2050">
        <v>0</v>
      </c>
      <c r="I2050" s="144">
        <v>0.5</v>
      </c>
      <c r="J2050" t="s">
        <v>647</v>
      </c>
    </row>
    <row r="2051" spans="2:10" hidden="1">
      <c r="B2051" s="120">
        <v>100306</v>
      </c>
      <c r="C2051">
        <v>304009</v>
      </c>
      <c r="D2051">
        <v>1</v>
      </c>
      <c r="E2051">
        <v>1</v>
      </c>
      <c r="F2051">
        <v>1</v>
      </c>
      <c r="I2051" s="144">
        <v>0.5</v>
      </c>
    </row>
    <row r="2052" spans="2:10" hidden="1">
      <c r="B2052" s="120">
        <v>100307</v>
      </c>
      <c r="C2052">
        <v>304009</v>
      </c>
      <c r="D2052" s="120">
        <v>1</v>
      </c>
      <c r="E2052" s="120">
        <v>1</v>
      </c>
      <c r="F2052" s="120">
        <v>1</v>
      </c>
      <c r="I2052" s="144">
        <v>1</v>
      </c>
      <c r="J2052" t="s">
        <v>648</v>
      </c>
    </row>
    <row r="2053" spans="2:10" hidden="1">
      <c r="B2053" s="123">
        <v>100308</v>
      </c>
      <c r="C2053" s="123">
        <v>303011</v>
      </c>
      <c r="D2053" s="123">
        <v>1</v>
      </c>
      <c r="E2053" s="123">
        <v>1</v>
      </c>
      <c r="F2053" s="123">
        <v>0</v>
      </c>
      <c r="G2053" s="123"/>
      <c r="H2053" s="123"/>
      <c r="I2053" s="143" t="s">
        <v>649</v>
      </c>
    </row>
    <row r="2054" spans="2:10" hidden="1">
      <c r="B2054" s="123">
        <v>100308</v>
      </c>
      <c r="C2054" s="123">
        <v>303021</v>
      </c>
      <c r="D2054" s="123">
        <v>1</v>
      </c>
      <c r="E2054" s="123">
        <v>1</v>
      </c>
      <c r="F2054" s="123">
        <v>0</v>
      </c>
      <c r="G2054" s="123"/>
      <c r="H2054" s="123"/>
    </row>
    <row r="2055" spans="2:10" hidden="1">
      <c r="B2055" s="123">
        <v>100308</v>
      </c>
      <c r="C2055" s="123">
        <v>303031</v>
      </c>
      <c r="D2055" s="123">
        <v>1</v>
      </c>
      <c r="E2055" s="123">
        <v>1</v>
      </c>
      <c r="F2055" s="123">
        <v>0</v>
      </c>
      <c r="G2055" s="123"/>
      <c r="H2055" s="123"/>
    </row>
    <row r="2056" spans="2:10" hidden="1">
      <c r="B2056" s="123">
        <v>100308</v>
      </c>
      <c r="C2056" s="123">
        <v>303041</v>
      </c>
      <c r="D2056" s="123">
        <v>1</v>
      </c>
      <c r="E2056" s="123">
        <v>1</v>
      </c>
      <c r="F2056" s="123">
        <v>0</v>
      </c>
      <c r="G2056" s="123"/>
      <c r="H2056" s="123"/>
    </row>
    <row r="2057" spans="2:10" hidden="1">
      <c r="B2057" s="123">
        <v>100308</v>
      </c>
      <c r="C2057" s="123">
        <v>303051</v>
      </c>
      <c r="D2057" s="123">
        <v>1</v>
      </c>
      <c r="E2057" s="123">
        <v>1</v>
      </c>
      <c r="F2057" s="123">
        <v>0</v>
      </c>
      <c r="G2057" s="123"/>
      <c r="H2057" s="123"/>
    </row>
    <row r="2058" spans="2:10" hidden="1">
      <c r="B2058" s="123">
        <v>100308</v>
      </c>
      <c r="C2058" s="123">
        <v>303061</v>
      </c>
      <c r="D2058" s="123">
        <v>1</v>
      </c>
      <c r="E2058" s="123">
        <v>1</v>
      </c>
      <c r="F2058" s="123">
        <v>0</v>
      </c>
      <c r="G2058" s="123"/>
      <c r="H2058" s="123"/>
    </row>
    <row r="2059" spans="2:10" hidden="1">
      <c r="B2059" s="123">
        <v>100308</v>
      </c>
      <c r="C2059" s="123">
        <v>303071</v>
      </c>
      <c r="D2059" s="123">
        <v>1</v>
      </c>
      <c r="E2059" s="123">
        <v>1</v>
      </c>
      <c r="F2059" s="123">
        <v>0</v>
      </c>
      <c r="G2059" s="123"/>
      <c r="H2059" s="123"/>
    </row>
    <row r="2060" spans="2:10" hidden="1">
      <c r="B2060" s="123">
        <v>100308</v>
      </c>
      <c r="C2060" s="123">
        <v>303081</v>
      </c>
      <c r="D2060" s="123">
        <v>1</v>
      </c>
      <c r="E2060" s="123">
        <v>1</v>
      </c>
      <c r="F2060" s="123">
        <v>0</v>
      </c>
      <c r="G2060" s="123"/>
      <c r="H2060" s="123"/>
    </row>
  </sheetData>
  <phoneticPr fontId="40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39"/>
  <sheetViews>
    <sheetView topLeftCell="A205" zoomScaleNormal="100" workbookViewId="0">
      <selection activeCell="F225" sqref="F225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650</v>
      </c>
      <c r="D1" t="s">
        <v>619</v>
      </c>
    </row>
    <row r="2" spans="1:6">
      <c r="A2" t="s">
        <v>49</v>
      </c>
      <c r="C2" t="s">
        <v>651</v>
      </c>
      <c r="D2" t="s">
        <v>621</v>
      </c>
    </row>
    <row r="3" spans="1:6">
      <c r="A3" t="s">
        <v>64</v>
      </c>
      <c r="B3" t="s">
        <v>65</v>
      </c>
      <c r="C3" t="s">
        <v>65</v>
      </c>
      <c r="D3" t="s">
        <v>65</v>
      </c>
    </row>
    <row r="4" spans="1:6">
      <c r="A4" t="s">
        <v>67</v>
      </c>
      <c r="B4" t="s">
        <v>68</v>
      </c>
      <c r="C4" t="s">
        <v>68</v>
      </c>
      <c r="D4" t="s">
        <v>68</v>
      </c>
    </row>
    <row r="5" spans="1:6" hidden="1">
      <c r="B5" s="6">
        <v>10000</v>
      </c>
      <c r="C5" s="138">
        <v>100001</v>
      </c>
      <c r="D5" s="137">
        <v>1440</v>
      </c>
      <c r="F5" t="s">
        <v>652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653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654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655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656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657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658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659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660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661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662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663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664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665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610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644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645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666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667</v>
      </c>
    </row>
    <row r="66" spans="2:10">
      <c r="B66" s="131">
        <v>10104</v>
      </c>
      <c r="C66" s="123">
        <v>100004</v>
      </c>
      <c r="D66">
        <v>0</v>
      </c>
      <c r="F66" s="167" t="s">
        <v>1942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1942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1942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1942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1942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1942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1942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668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669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670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671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672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673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1943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1943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1943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1943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1943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1943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1943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1944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1944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1944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1944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1944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1944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1944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1945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1945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1945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1945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1945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1945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1945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1814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1814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1814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1814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1814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1814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1814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1816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1820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1820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1820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1820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1820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1820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1820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1821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1851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1851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1851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1851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1851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1851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1851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1850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1928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1928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1928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1928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1928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1928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1928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1929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1815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1815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1815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1815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1815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1815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1815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1817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1853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1853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1853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1853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1853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1853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1853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1852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1912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1912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1912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1912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1912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1912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1912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1913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1912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1912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1912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1912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1912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1912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1912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1913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1791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681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682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683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684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685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686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1747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681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682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683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684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685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686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1798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681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682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683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684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685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686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1799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681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682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683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684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685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686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1800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681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682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683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684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685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686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1809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681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682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683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684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685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686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1822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681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682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683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684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685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686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1826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681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682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683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684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685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686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1843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681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682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683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684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685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686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1844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681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682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683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684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685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686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1846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681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682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683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684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685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686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1854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681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682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683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684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685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686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1855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681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682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683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684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685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686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1860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681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682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683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684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685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686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1861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681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682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683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684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685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686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1759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681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682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683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684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685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686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1902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681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682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683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684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685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686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1904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681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682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683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684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685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686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1908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681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682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683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684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685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686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1909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681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682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683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684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685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686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1925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681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682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683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684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685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686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1919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681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682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683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684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685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686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1920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681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682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683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684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685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686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1921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681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682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683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684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685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686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1792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687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688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689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690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691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692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1793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687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688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689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690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691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692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1802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687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688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689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690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691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692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1810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687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688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689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690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691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692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1823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687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688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689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690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691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692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1847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687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688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689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690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691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692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1849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687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688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689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690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691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692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1856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687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688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689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690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691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692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1862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687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688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689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690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691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692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1863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687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688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689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690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691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692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1903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687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688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689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690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691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692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1907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687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688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689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690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691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692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1910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687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688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689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690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691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692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1761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687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688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689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690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691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692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1918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687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688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689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690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691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692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1922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687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688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689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690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691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692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1923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687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688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689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690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691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692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1924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687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688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689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690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691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692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693</v>
      </c>
    </row>
    <row r="1987" spans="1:10" hidden="1">
      <c r="B1987">
        <v>60102</v>
      </c>
      <c r="C1987">
        <v>100302</v>
      </c>
      <c r="D1987" s="34">
        <v>1</v>
      </c>
      <c r="F1987" t="s">
        <v>694</v>
      </c>
    </row>
    <row r="1988" spans="1:10" hidden="1">
      <c r="B1988">
        <v>60103</v>
      </c>
      <c r="C1988" s="123">
        <v>100308</v>
      </c>
      <c r="D1988" s="34">
        <v>1</v>
      </c>
      <c r="F1988" t="s">
        <v>695</v>
      </c>
    </row>
    <row r="1989" spans="1:10" hidden="1">
      <c r="B1989">
        <v>60104</v>
      </c>
      <c r="C1989" s="143">
        <v>100300</v>
      </c>
      <c r="D1989" s="34">
        <v>1</v>
      </c>
      <c r="F1989" t="s">
        <v>696</v>
      </c>
    </row>
    <row r="1990" spans="1:10" hidden="1">
      <c r="B1990">
        <v>60105</v>
      </c>
      <c r="C1990" s="143">
        <v>100300</v>
      </c>
      <c r="D1990" s="34">
        <v>1</v>
      </c>
      <c r="F1990" t="s">
        <v>697</v>
      </c>
    </row>
    <row r="1991" spans="1:10" hidden="1">
      <c r="B1991">
        <v>60105</v>
      </c>
      <c r="C1991">
        <v>100303</v>
      </c>
      <c r="D1991" s="34">
        <v>3</v>
      </c>
      <c r="F1991" t="s">
        <v>698</v>
      </c>
    </row>
    <row r="1992" spans="1:10" hidden="1">
      <c r="B1992">
        <v>60105</v>
      </c>
      <c r="C1992">
        <v>100304</v>
      </c>
      <c r="D1992" s="34">
        <v>1</v>
      </c>
      <c r="F1992" t="s">
        <v>699</v>
      </c>
    </row>
    <row r="1993" spans="1:10" hidden="1">
      <c r="B1993">
        <v>60107</v>
      </c>
      <c r="C1993" s="143">
        <v>100300</v>
      </c>
      <c r="D1993" s="34">
        <v>1</v>
      </c>
      <c r="F1993" t="s">
        <v>646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700</v>
      </c>
    </row>
    <row r="1996" spans="1:10" hidden="1">
      <c r="B1996">
        <v>60108</v>
      </c>
      <c r="C1996" s="143">
        <v>100300</v>
      </c>
      <c r="D1996" s="34">
        <v>1</v>
      </c>
      <c r="F1996" t="s">
        <v>647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701</v>
      </c>
    </row>
    <row r="1999" spans="1:10" hidden="1">
      <c r="B1999">
        <v>60109</v>
      </c>
      <c r="C1999" s="120">
        <v>100307</v>
      </c>
      <c r="D1999" s="34">
        <v>1</v>
      </c>
      <c r="F1999" t="s">
        <v>702</v>
      </c>
    </row>
    <row r="2000" spans="1:10">
      <c r="A2000" s="167" t="s">
        <v>1898</v>
      </c>
      <c r="B2000" s="126">
        <v>80104</v>
      </c>
      <c r="C2000" s="123">
        <v>100004</v>
      </c>
      <c r="D2000">
        <v>0</v>
      </c>
      <c r="F2000" s="142" t="s">
        <v>1948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1948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1948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1948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1948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1948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1948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1899</v>
      </c>
      <c r="B2035" s="126">
        <v>80404</v>
      </c>
      <c r="C2035" s="123">
        <v>100004</v>
      </c>
      <c r="D2035">
        <v>0</v>
      </c>
      <c r="F2035" s="264" t="s">
        <v>1949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1949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1949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1949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1949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1949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1949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1900</v>
      </c>
      <c r="B2070" s="126">
        <v>80504</v>
      </c>
      <c r="C2070" s="123">
        <v>100004</v>
      </c>
      <c r="D2070">
        <v>0</v>
      </c>
      <c r="F2070" s="142" t="s">
        <v>1946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1946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1946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1946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1946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1946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1946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1901</v>
      </c>
      <c r="B2105" s="126">
        <v>80514</v>
      </c>
      <c r="C2105" s="123">
        <v>100004</v>
      </c>
      <c r="D2105">
        <v>0</v>
      </c>
      <c r="F2105" s="264" t="s">
        <v>1947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1947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1947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1947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1947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1947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1947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40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 tint="0.499984740745262"/>
  </sheetPr>
  <dimension ref="A1:H544"/>
  <sheetViews>
    <sheetView topLeftCell="A523" workbookViewId="0">
      <selection activeCell="I568" sqref="I568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703</v>
      </c>
      <c r="D1" t="s">
        <v>704</v>
      </c>
    </row>
    <row r="2" spans="1:8">
      <c r="A2" t="s">
        <v>49</v>
      </c>
      <c r="B2" t="s">
        <v>705</v>
      </c>
      <c r="C2" t="s">
        <v>706</v>
      </c>
      <c r="D2" t="s">
        <v>707</v>
      </c>
    </row>
    <row r="3" spans="1:8">
      <c r="A3" t="s">
        <v>64</v>
      </c>
      <c r="B3" t="s">
        <v>65</v>
      </c>
      <c r="C3" t="s">
        <v>65</v>
      </c>
      <c r="D3" t="s">
        <v>65</v>
      </c>
    </row>
    <row r="4" spans="1:8">
      <c r="A4" t="s">
        <v>67</v>
      </c>
      <c r="B4" t="s">
        <v>68</v>
      </c>
      <c r="C4" t="s">
        <v>68</v>
      </c>
      <c r="D4" t="s">
        <v>68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1791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1747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1798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1799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1800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E45"/>
      <c r="F45"/>
      <c r="G45"/>
      <c r="H45" s="9" t="s">
        <v>1809</v>
      </c>
    </row>
    <row r="46" spans="1:8" s="135" customFormat="1">
      <c r="A46"/>
      <c r="B46">
        <v>2006</v>
      </c>
      <c r="C46">
        <v>10105</v>
      </c>
      <c r="D46">
        <v>12145</v>
      </c>
      <c r="E46"/>
      <c r="F46"/>
      <c r="G46"/>
      <c r="H46"/>
    </row>
    <row r="47" spans="1:8" s="135" customFormat="1">
      <c r="A47"/>
      <c r="B47">
        <v>2006</v>
      </c>
      <c r="C47">
        <v>10106</v>
      </c>
      <c r="D47">
        <v>12146</v>
      </c>
      <c r="E47"/>
      <c r="F47"/>
      <c r="G47"/>
      <c r="H47"/>
    </row>
    <row r="48" spans="1:8" s="135" customFormat="1">
      <c r="A48"/>
      <c r="B48">
        <v>2006</v>
      </c>
      <c r="C48">
        <v>10107</v>
      </c>
      <c r="D48">
        <v>12147</v>
      </c>
      <c r="E48"/>
      <c r="F48"/>
      <c r="G48"/>
      <c r="H48"/>
    </row>
    <row r="49" spans="1:8" s="135" customFormat="1">
      <c r="A49"/>
      <c r="B49">
        <v>2006</v>
      </c>
      <c r="C49">
        <v>10108</v>
      </c>
      <c r="D49">
        <v>12148</v>
      </c>
      <c r="E49"/>
      <c r="F49"/>
      <c r="G49"/>
      <c r="H49"/>
    </row>
    <row r="50" spans="1:8" s="135" customFormat="1">
      <c r="A50"/>
      <c r="B50">
        <v>2006</v>
      </c>
      <c r="C50">
        <v>10109</v>
      </c>
      <c r="D50">
        <v>12149</v>
      </c>
      <c r="E50"/>
      <c r="F50"/>
      <c r="G50"/>
      <c r="H50"/>
    </row>
    <row r="51" spans="1:8" s="135" customFormat="1">
      <c r="A51"/>
      <c r="B51">
        <v>2006</v>
      </c>
      <c r="C51">
        <v>10110</v>
      </c>
      <c r="D51">
        <v>12150</v>
      </c>
      <c r="E51"/>
      <c r="F51"/>
      <c r="G51"/>
      <c r="H51"/>
    </row>
    <row r="52" spans="1:8" s="135" customFormat="1">
      <c r="A52">
        <v>230320</v>
      </c>
      <c r="B52">
        <v>2006</v>
      </c>
      <c r="C52">
        <v>10504</v>
      </c>
      <c r="D52">
        <v>10604</v>
      </c>
      <c r="E52"/>
      <c r="F52"/>
      <c r="G52"/>
      <c r="H52" s="9" t="s">
        <v>1813</v>
      </c>
    </row>
    <row r="53" spans="1:8" s="135" customFormat="1">
      <c r="A53"/>
      <c r="B53">
        <v>2006</v>
      </c>
      <c r="C53">
        <v>10505</v>
      </c>
      <c r="D53">
        <v>10605</v>
      </c>
      <c r="E53"/>
      <c r="F53"/>
      <c r="G53"/>
      <c r="H53"/>
    </row>
    <row r="54" spans="1:8" s="135" customFormat="1">
      <c r="A54"/>
      <c r="B54">
        <v>2006</v>
      </c>
      <c r="C54">
        <v>10506</v>
      </c>
      <c r="D54">
        <v>10606</v>
      </c>
      <c r="E54"/>
      <c r="F54"/>
      <c r="G54"/>
      <c r="H54"/>
    </row>
    <row r="55" spans="1:8" s="135" customFormat="1">
      <c r="A55"/>
      <c r="B55">
        <v>2006</v>
      </c>
      <c r="C55">
        <v>10507</v>
      </c>
      <c r="D55">
        <v>10607</v>
      </c>
      <c r="E55"/>
      <c r="F55"/>
      <c r="G55"/>
      <c r="H55"/>
    </row>
    <row r="56" spans="1:8" s="135" customFormat="1">
      <c r="A56"/>
      <c r="B56">
        <v>2006</v>
      </c>
      <c r="C56">
        <v>10508</v>
      </c>
      <c r="D56">
        <v>10608</v>
      </c>
      <c r="E56"/>
      <c r="F56"/>
      <c r="G56"/>
      <c r="H56"/>
    </row>
    <row r="57" spans="1:8" s="135" customFormat="1">
      <c r="A57"/>
      <c r="B57">
        <v>2006</v>
      </c>
      <c r="C57">
        <v>10509</v>
      </c>
      <c r="D57">
        <v>10609</v>
      </c>
      <c r="E57"/>
      <c r="F57"/>
      <c r="G57"/>
      <c r="H57"/>
    </row>
    <row r="58" spans="1:8" s="135" customFormat="1">
      <c r="A58"/>
      <c r="B58">
        <v>2006</v>
      </c>
      <c r="C58">
        <v>10510</v>
      </c>
      <c r="D58">
        <v>10610</v>
      </c>
      <c r="E58"/>
      <c r="F58"/>
      <c r="G58"/>
      <c r="H58"/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1818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1813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1825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1813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1843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1813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1844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1813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1846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1813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1854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1813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1855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1813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1860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1813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1861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1813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1759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1813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1902</v>
      </c>
    </row>
    <row r="200" spans="1:8" s="135" customFormat="1">
      <c r="A200"/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A201"/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A202"/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A203"/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A204"/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A205"/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A206"/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1813</v>
      </c>
    </row>
    <row r="207" spans="1:8" s="135" customFormat="1">
      <c r="A207"/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A208"/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A209"/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A210"/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A211"/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A212"/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1904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1813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1908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1813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1909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1813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1925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1813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1919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1813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1920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1813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1921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1813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1792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1793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1801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E335"/>
      <c r="F335"/>
      <c r="G335"/>
      <c r="H335" s="9" t="s">
        <v>1810</v>
      </c>
    </row>
    <row r="336" spans="1:8" s="229" customFormat="1">
      <c r="A336"/>
      <c r="B336">
        <v>3020</v>
      </c>
      <c r="C336">
        <v>10405</v>
      </c>
      <c r="D336">
        <v>50995</v>
      </c>
      <c r="E336"/>
      <c r="F336"/>
      <c r="G336"/>
      <c r="H336"/>
    </row>
    <row r="337" spans="1:8" s="229" customFormat="1">
      <c r="A337"/>
      <c r="B337">
        <v>3020</v>
      </c>
      <c r="C337">
        <v>10406</v>
      </c>
      <c r="D337">
        <v>50996</v>
      </c>
      <c r="E337"/>
      <c r="F337"/>
      <c r="G337"/>
      <c r="H337"/>
    </row>
    <row r="338" spans="1:8" s="229" customFormat="1">
      <c r="A338"/>
      <c r="B338">
        <v>3020</v>
      </c>
      <c r="C338">
        <v>10407</v>
      </c>
      <c r="D338">
        <v>50997</v>
      </c>
      <c r="E338"/>
      <c r="F338"/>
      <c r="G338"/>
      <c r="H338"/>
    </row>
    <row r="339" spans="1:8" s="229" customFormat="1">
      <c r="A339"/>
      <c r="B339">
        <v>3020</v>
      </c>
      <c r="C339">
        <v>10408</v>
      </c>
      <c r="D339">
        <v>50998</v>
      </c>
      <c r="E339"/>
      <c r="F339"/>
      <c r="G339"/>
      <c r="H339"/>
    </row>
    <row r="340" spans="1:8" s="229" customFormat="1">
      <c r="A340"/>
      <c r="B340">
        <v>3020</v>
      </c>
      <c r="C340">
        <v>10409</v>
      </c>
      <c r="D340">
        <v>50999</v>
      </c>
      <c r="E340"/>
      <c r="F340"/>
      <c r="G340"/>
      <c r="H340"/>
    </row>
    <row r="341" spans="1:8" s="229" customFormat="1">
      <c r="A341"/>
      <c r="B341">
        <v>3020</v>
      </c>
      <c r="C341">
        <v>10410</v>
      </c>
      <c r="D341">
        <v>51000</v>
      </c>
      <c r="E341"/>
      <c r="F341"/>
      <c r="G341"/>
      <c r="H341"/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E342"/>
      <c r="F342"/>
      <c r="G342"/>
      <c r="H342" s="9" t="s">
        <v>1813</v>
      </c>
    </row>
    <row r="343" spans="1:8" s="135" customFormat="1">
      <c r="A343"/>
      <c r="B343">
        <v>3020</v>
      </c>
      <c r="C343">
        <v>10515</v>
      </c>
      <c r="D343">
        <v>10705</v>
      </c>
      <c r="E343"/>
      <c r="F343"/>
      <c r="G343"/>
      <c r="H343"/>
    </row>
    <row r="344" spans="1:8" s="135" customFormat="1">
      <c r="A344"/>
      <c r="B344">
        <v>3020</v>
      </c>
      <c r="C344">
        <v>10516</v>
      </c>
      <c r="D344">
        <v>10706</v>
      </c>
      <c r="E344"/>
      <c r="F344"/>
      <c r="G344"/>
      <c r="H344"/>
    </row>
    <row r="345" spans="1:8" s="135" customFormat="1">
      <c r="A345"/>
      <c r="B345">
        <v>3020</v>
      </c>
      <c r="C345">
        <v>10517</v>
      </c>
      <c r="D345">
        <v>10707</v>
      </c>
      <c r="E345"/>
      <c r="F345"/>
      <c r="G345"/>
      <c r="H345"/>
    </row>
    <row r="346" spans="1:8" s="135" customFormat="1">
      <c r="A346"/>
      <c r="B346">
        <v>3020</v>
      </c>
      <c r="C346">
        <v>10518</v>
      </c>
      <c r="D346">
        <v>10708</v>
      </c>
      <c r="E346"/>
      <c r="F346"/>
      <c r="G346"/>
      <c r="H346"/>
    </row>
    <row r="347" spans="1:8" s="135" customFormat="1">
      <c r="A347"/>
      <c r="B347">
        <v>3020</v>
      </c>
      <c r="C347">
        <v>10519</v>
      </c>
      <c r="D347">
        <v>10709</v>
      </c>
      <c r="E347"/>
      <c r="F347"/>
      <c r="G347"/>
      <c r="H347"/>
    </row>
    <row r="348" spans="1:8" s="135" customFormat="1">
      <c r="A348"/>
      <c r="B348">
        <v>3020</v>
      </c>
      <c r="C348">
        <v>10520</v>
      </c>
      <c r="D348">
        <v>10710</v>
      </c>
      <c r="E348"/>
      <c r="F348"/>
      <c r="G348"/>
      <c r="H348"/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1819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1813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1847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1813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1849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1813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1856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1813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1862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1813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1863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1813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1903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1813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1907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1813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1911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1813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1761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1813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1918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1813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1922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1813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1923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1813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1924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1813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40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708</v>
      </c>
      <c r="D1" t="s">
        <v>709</v>
      </c>
      <c r="E1" t="s">
        <v>19</v>
      </c>
      <c r="F1" t="s">
        <v>710</v>
      </c>
      <c r="G1" t="s">
        <v>711</v>
      </c>
      <c r="H1" t="s">
        <v>2</v>
      </c>
    </row>
    <row r="2" spans="1:8">
      <c r="A2" t="s">
        <v>49</v>
      </c>
      <c r="B2" t="s">
        <v>5</v>
      </c>
      <c r="C2" t="s">
        <v>712</v>
      </c>
      <c r="D2" t="s">
        <v>713</v>
      </c>
      <c r="E2" t="s">
        <v>714</v>
      </c>
      <c r="F2" t="s">
        <v>715</v>
      </c>
      <c r="G2" t="s">
        <v>716</v>
      </c>
      <c r="H2" t="s">
        <v>717</v>
      </c>
    </row>
    <row r="3" spans="1:8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  <c r="G3" t="s">
        <v>65</v>
      </c>
      <c r="H3" t="s">
        <v>65</v>
      </c>
    </row>
    <row r="4" spans="1:8">
      <c r="A4" t="s">
        <v>67</v>
      </c>
      <c r="E4" t="s">
        <v>68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40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596</v>
      </c>
      <c r="D1" t="s">
        <v>619</v>
      </c>
      <c r="E1" t="s">
        <v>718</v>
      </c>
      <c r="F1" t="s">
        <v>719</v>
      </c>
    </row>
    <row r="2" spans="1:6">
      <c r="A2" t="s">
        <v>49</v>
      </c>
      <c r="C2" t="s">
        <v>598</v>
      </c>
      <c r="D2" t="s">
        <v>621</v>
      </c>
      <c r="E2" t="s">
        <v>720</v>
      </c>
      <c r="F2" t="s">
        <v>721</v>
      </c>
    </row>
    <row r="3" spans="1:6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</row>
    <row r="4" spans="1:6">
      <c r="A4" t="s">
        <v>67</v>
      </c>
      <c r="D4" t="s">
        <v>68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4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76"/>
  <sheetViews>
    <sheetView zoomScale="85" zoomScaleNormal="85" workbookViewId="0">
      <pane ySplit="4" topLeftCell="A32" activePane="bottomLeft" state="frozen"/>
      <selection pane="bottomLeft" activeCell="L56" sqref="L56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722</v>
      </c>
      <c r="D1" t="s">
        <v>723</v>
      </c>
    </row>
    <row r="2" spans="1:8">
      <c r="A2" t="s">
        <v>49</v>
      </c>
      <c r="B2" t="s">
        <v>724</v>
      </c>
      <c r="C2" t="s">
        <v>725</v>
      </c>
      <c r="D2" t="s">
        <v>726</v>
      </c>
    </row>
    <row r="3" spans="1:8">
      <c r="A3" t="s">
        <v>64</v>
      </c>
      <c r="B3" t="s">
        <v>65</v>
      </c>
      <c r="C3" t="s">
        <v>65</v>
      </c>
      <c r="D3" t="s">
        <v>65</v>
      </c>
    </row>
    <row r="4" spans="1:8">
      <c r="A4" t="s">
        <v>67</v>
      </c>
      <c r="B4" t="s">
        <v>68</v>
      </c>
      <c r="C4" t="s">
        <v>68</v>
      </c>
      <c r="D4" t="s">
        <v>68</v>
      </c>
    </row>
    <row r="5" spans="1:8">
      <c r="A5" s="209" t="s">
        <v>1942</v>
      </c>
      <c r="B5">
        <v>1001</v>
      </c>
      <c r="C5">
        <v>5</v>
      </c>
      <c r="D5" s="135">
        <v>10104</v>
      </c>
      <c r="F5" s="8"/>
      <c r="G5" t="s">
        <v>727</v>
      </c>
      <c r="H5" t="s">
        <v>728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729</v>
      </c>
      <c r="H6" t="s">
        <v>730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1943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1944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1945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1948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1949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1946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1947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8"/>
      <c r="B60" s="319">
        <v>9002</v>
      </c>
      <c r="C60" s="173">
        <v>999</v>
      </c>
      <c r="D60" s="320">
        <v>80520</v>
      </c>
    </row>
    <row r="61" spans="1:4">
      <c r="A61" s="9" t="s">
        <v>1955</v>
      </c>
      <c r="B61" s="216">
        <v>1101</v>
      </c>
      <c r="C61">
        <v>5</v>
      </c>
      <c r="D61" s="126">
        <v>80104</v>
      </c>
    </row>
    <row r="62" spans="1:4">
      <c r="A62" s="317" t="s">
        <v>2101</v>
      </c>
      <c r="B62" s="216">
        <v>1101</v>
      </c>
      <c r="C62">
        <v>10</v>
      </c>
      <c r="D62" s="126">
        <v>80105</v>
      </c>
    </row>
    <row r="63" spans="1:4">
      <c r="B63" s="216">
        <v>1101</v>
      </c>
      <c r="C63">
        <v>27</v>
      </c>
      <c r="D63" s="126">
        <v>80106</v>
      </c>
    </row>
    <row r="64" spans="1:4">
      <c r="B64" s="216">
        <v>1101</v>
      </c>
      <c r="C64">
        <v>36</v>
      </c>
      <c r="D64" s="126">
        <v>80107</v>
      </c>
    </row>
    <row r="65" spans="1:4">
      <c r="B65" s="216">
        <v>1101</v>
      </c>
      <c r="C65">
        <v>54</v>
      </c>
      <c r="D65" s="126">
        <v>80108</v>
      </c>
    </row>
    <row r="66" spans="1:4">
      <c r="B66" s="216">
        <v>1101</v>
      </c>
      <c r="C66">
        <v>63</v>
      </c>
      <c r="D66" s="126">
        <v>80109</v>
      </c>
    </row>
    <row r="67" spans="1:4">
      <c r="B67" s="216">
        <v>1101</v>
      </c>
      <c r="C67">
        <v>999</v>
      </c>
      <c r="D67" s="126">
        <v>80110</v>
      </c>
    </row>
    <row r="68" spans="1:4">
      <c r="A68" s="9" t="s">
        <v>1936</v>
      </c>
      <c r="B68" s="216">
        <v>1102</v>
      </c>
      <c r="C68">
        <v>5</v>
      </c>
      <c r="D68" s="126">
        <v>80404</v>
      </c>
    </row>
    <row r="69" spans="1:4">
      <c r="B69" s="216">
        <v>1102</v>
      </c>
      <c r="C69">
        <v>10</v>
      </c>
      <c r="D69" s="126">
        <v>80405</v>
      </c>
    </row>
    <row r="70" spans="1:4">
      <c r="B70" s="216">
        <v>1102</v>
      </c>
      <c r="C70">
        <v>27</v>
      </c>
      <c r="D70" s="126">
        <v>80406</v>
      </c>
    </row>
    <row r="71" spans="1:4">
      <c r="B71" s="216">
        <v>1102</v>
      </c>
      <c r="C71">
        <v>36</v>
      </c>
      <c r="D71" s="126">
        <v>80407</v>
      </c>
    </row>
    <row r="72" spans="1:4">
      <c r="B72" s="216">
        <v>1102</v>
      </c>
      <c r="C72">
        <v>54</v>
      </c>
      <c r="D72" s="126">
        <v>80408</v>
      </c>
    </row>
    <row r="73" spans="1:4">
      <c r="B73" s="216">
        <v>1102</v>
      </c>
      <c r="C73">
        <v>63</v>
      </c>
      <c r="D73" s="126">
        <v>80409</v>
      </c>
    </row>
    <row r="74" spans="1:4">
      <c r="B74" s="216">
        <v>1102</v>
      </c>
      <c r="C74">
        <v>999</v>
      </c>
      <c r="D74" s="126">
        <v>80410</v>
      </c>
    </row>
    <row r="75" spans="1:4">
      <c r="A75" s="9" t="s">
        <v>1938</v>
      </c>
      <c r="B75" s="134">
        <v>2101</v>
      </c>
      <c r="C75">
        <v>5</v>
      </c>
      <c r="D75" s="126">
        <v>80504</v>
      </c>
    </row>
    <row r="76" spans="1:4">
      <c r="B76" s="134">
        <v>2101</v>
      </c>
      <c r="C76">
        <v>10</v>
      </c>
      <c r="D76" s="126">
        <v>80505</v>
      </c>
    </row>
    <row r="77" spans="1:4">
      <c r="B77" s="134">
        <v>2101</v>
      </c>
      <c r="C77">
        <v>27</v>
      </c>
      <c r="D77" s="126">
        <v>80506</v>
      </c>
    </row>
    <row r="78" spans="1:4">
      <c r="B78" s="134">
        <v>2101</v>
      </c>
      <c r="C78">
        <v>36</v>
      </c>
      <c r="D78" s="126">
        <v>80507</v>
      </c>
    </row>
    <row r="79" spans="1:4">
      <c r="B79" s="134">
        <v>2101</v>
      </c>
      <c r="C79">
        <v>54</v>
      </c>
      <c r="D79" s="126">
        <v>80508</v>
      </c>
    </row>
    <row r="80" spans="1:4">
      <c r="B80" s="134">
        <v>2101</v>
      </c>
      <c r="C80">
        <v>63</v>
      </c>
      <c r="D80" s="126">
        <v>80509</v>
      </c>
    </row>
    <row r="81" spans="1:4">
      <c r="B81" s="134">
        <v>2101</v>
      </c>
      <c r="C81">
        <v>999</v>
      </c>
      <c r="D81" s="126">
        <v>80510</v>
      </c>
    </row>
    <row r="82" spans="1:4">
      <c r="A82" s="9" t="s">
        <v>1939</v>
      </c>
      <c r="B82" s="134">
        <v>2102</v>
      </c>
      <c r="C82">
        <v>5</v>
      </c>
      <c r="D82" s="126">
        <v>80514</v>
      </c>
    </row>
    <row r="83" spans="1:4">
      <c r="B83" s="134">
        <v>2102</v>
      </c>
      <c r="C83">
        <v>10</v>
      </c>
      <c r="D83" s="126">
        <v>80515</v>
      </c>
    </row>
    <row r="84" spans="1:4">
      <c r="B84" s="134">
        <v>2102</v>
      </c>
      <c r="C84">
        <v>27</v>
      </c>
      <c r="D84" s="126">
        <v>80516</v>
      </c>
    </row>
    <row r="85" spans="1:4">
      <c r="B85" s="134">
        <v>2102</v>
      </c>
      <c r="C85">
        <v>36</v>
      </c>
      <c r="D85" s="126">
        <v>80517</v>
      </c>
    </row>
    <row r="86" spans="1:4">
      <c r="B86" s="134">
        <v>2102</v>
      </c>
      <c r="C86">
        <v>54</v>
      </c>
      <c r="D86" s="126">
        <v>80518</v>
      </c>
    </row>
    <row r="87" spans="1:4">
      <c r="B87" s="134">
        <v>2102</v>
      </c>
      <c r="C87">
        <v>63</v>
      </c>
      <c r="D87" s="126">
        <v>80519</v>
      </c>
    </row>
    <row r="88" spans="1:4">
      <c r="B88" s="134">
        <v>2102</v>
      </c>
      <c r="C88">
        <v>999</v>
      </c>
      <c r="D88" s="320">
        <v>80520</v>
      </c>
    </row>
    <row r="89" spans="1:4">
      <c r="A89" s="142" t="s">
        <v>1956</v>
      </c>
      <c r="B89" s="216">
        <v>1103</v>
      </c>
      <c r="C89">
        <v>5</v>
      </c>
      <c r="D89" s="126">
        <v>80104</v>
      </c>
    </row>
    <row r="90" spans="1:4">
      <c r="A90" s="317" t="s">
        <v>2101</v>
      </c>
      <c r="B90" s="216">
        <v>1103</v>
      </c>
      <c r="C90">
        <v>10</v>
      </c>
      <c r="D90" s="126">
        <v>80105</v>
      </c>
    </row>
    <row r="91" spans="1:4">
      <c r="A91" s="1"/>
      <c r="B91" s="216">
        <v>1103</v>
      </c>
      <c r="C91">
        <v>27</v>
      </c>
      <c r="D91" s="126">
        <v>80106</v>
      </c>
    </row>
    <row r="92" spans="1:4">
      <c r="A92" s="1"/>
      <c r="B92" s="216">
        <v>1103</v>
      </c>
      <c r="C92">
        <v>36</v>
      </c>
      <c r="D92" s="126">
        <v>80107</v>
      </c>
    </row>
    <row r="93" spans="1:4">
      <c r="A93" s="1"/>
      <c r="B93" s="216">
        <v>1103</v>
      </c>
      <c r="C93">
        <v>54</v>
      </c>
      <c r="D93" s="126">
        <v>80108</v>
      </c>
    </row>
    <row r="94" spans="1:4">
      <c r="A94" s="1"/>
      <c r="B94" s="216">
        <v>1103</v>
      </c>
      <c r="C94">
        <v>63</v>
      </c>
      <c r="D94" s="126">
        <v>80109</v>
      </c>
    </row>
    <row r="95" spans="1:4">
      <c r="A95" s="1"/>
      <c r="B95" s="216">
        <v>1103</v>
      </c>
      <c r="C95">
        <v>999</v>
      </c>
      <c r="D95" s="126">
        <v>80110</v>
      </c>
    </row>
    <row r="96" spans="1:4">
      <c r="A96" s="142" t="s">
        <v>1937</v>
      </c>
      <c r="B96" s="216">
        <v>1104</v>
      </c>
      <c r="C96">
        <v>5</v>
      </c>
      <c r="D96" s="126">
        <v>80404</v>
      </c>
    </row>
    <row r="97" spans="1:4">
      <c r="A97" s="1"/>
      <c r="B97" s="216">
        <v>1104</v>
      </c>
      <c r="C97">
        <v>10</v>
      </c>
      <c r="D97" s="126">
        <v>80405</v>
      </c>
    </row>
    <row r="98" spans="1:4">
      <c r="A98" s="1"/>
      <c r="B98" s="216">
        <v>1104</v>
      </c>
      <c r="C98">
        <v>27</v>
      </c>
      <c r="D98" s="126">
        <v>80406</v>
      </c>
    </row>
    <row r="99" spans="1:4">
      <c r="A99" s="1"/>
      <c r="B99" s="216">
        <v>1104</v>
      </c>
      <c r="C99">
        <v>36</v>
      </c>
      <c r="D99" s="126">
        <v>80407</v>
      </c>
    </row>
    <row r="100" spans="1:4">
      <c r="A100" s="1"/>
      <c r="B100" s="216">
        <v>1104</v>
      </c>
      <c r="C100">
        <v>54</v>
      </c>
      <c r="D100" s="126">
        <v>80408</v>
      </c>
    </row>
    <row r="101" spans="1:4">
      <c r="A101" s="1"/>
      <c r="B101" s="216">
        <v>1104</v>
      </c>
      <c r="C101">
        <v>63</v>
      </c>
      <c r="D101" s="126">
        <v>80409</v>
      </c>
    </row>
    <row r="102" spans="1:4">
      <c r="A102" s="1"/>
      <c r="B102" s="216">
        <v>1104</v>
      </c>
      <c r="C102">
        <v>999</v>
      </c>
      <c r="D102" s="126">
        <v>80410</v>
      </c>
    </row>
    <row r="103" spans="1:4">
      <c r="A103" s="142" t="s">
        <v>1940</v>
      </c>
      <c r="B103" s="134">
        <v>2103</v>
      </c>
      <c r="C103">
        <v>5</v>
      </c>
      <c r="D103" s="126">
        <v>80504</v>
      </c>
    </row>
    <row r="104" spans="1:4">
      <c r="A104" s="1"/>
      <c r="B104" s="134">
        <v>2103</v>
      </c>
      <c r="C104">
        <v>10</v>
      </c>
      <c r="D104" s="126">
        <v>80505</v>
      </c>
    </row>
    <row r="105" spans="1:4">
      <c r="A105" s="1"/>
      <c r="B105" s="134">
        <v>2103</v>
      </c>
      <c r="C105">
        <v>27</v>
      </c>
      <c r="D105" s="126">
        <v>80506</v>
      </c>
    </row>
    <row r="106" spans="1:4">
      <c r="A106" s="1"/>
      <c r="B106" s="134">
        <v>2103</v>
      </c>
      <c r="C106">
        <v>36</v>
      </c>
      <c r="D106" s="126">
        <v>80507</v>
      </c>
    </row>
    <row r="107" spans="1:4">
      <c r="A107" s="1"/>
      <c r="B107" s="134">
        <v>2103</v>
      </c>
      <c r="C107">
        <v>54</v>
      </c>
      <c r="D107" s="126">
        <v>80508</v>
      </c>
    </row>
    <row r="108" spans="1:4">
      <c r="A108" s="1"/>
      <c r="B108" s="134">
        <v>2103</v>
      </c>
      <c r="C108">
        <v>63</v>
      </c>
      <c r="D108" s="126">
        <v>80509</v>
      </c>
    </row>
    <row r="109" spans="1:4">
      <c r="A109" s="1"/>
      <c r="B109" s="134">
        <v>2103</v>
      </c>
      <c r="C109">
        <v>999</v>
      </c>
      <c r="D109" s="126">
        <v>80510</v>
      </c>
    </row>
    <row r="110" spans="1:4">
      <c r="A110" s="142" t="s">
        <v>1941</v>
      </c>
      <c r="B110" s="134">
        <v>2104</v>
      </c>
      <c r="C110">
        <v>5</v>
      </c>
      <c r="D110" s="126">
        <v>80514</v>
      </c>
    </row>
    <row r="111" spans="1:4">
      <c r="A111" s="1"/>
      <c r="B111" s="134">
        <v>2104</v>
      </c>
      <c r="C111">
        <v>10</v>
      </c>
      <c r="D111" s="126">
        <v>80515</v>
      </c>
    </row>
    <row r="112" spans="1:4">
      <c r="A112" s="1"/>
      <c r="B112" s="134">
        <v>2104</v>
      </c>
      <c r="C112">
        <v>27</v>
      </c>
      <c r="D112" s="126">
        <v>80516</v>
      </c>
    </row>
    <row r="113" spans="1:4">
      <c r="A113" s="1"/>
      <c r="B113" s="134">
        <v>2104</v>
      </c>
      <c r="C113">
        <v>36</v>
      </c>
      <c r="D113" s="126">
        <v>80517</v>
      </c>
    </row>
    <row r="114" spans="1:4">
      <c r="A114" s="1"/>
      <c r="B114" s="134">
        <v>2104</v>
      </c>
      <c r="C114">
        <v>54</v>
      </c>
      <c r="D114" s="126">
        <v>80518</v>
      </c>
    </row>
    <row r="115" spans="1:4">
      <c r="A115" s="1"/>
      <c r="B115" s="134">
        <v>2104</v>
      </c>
      <c r="C115">
        <v>63</v>
      </c>
      <c r="D115" s="126">
        <v>80519</v>
      </c>
    </row>
    <row r="116" spans="1:4">
      <c r="A116" s="1"/>
      <c r="B116" s="134">
        <v>2104</v>
      </c>
      <c r="C116">
        <v>999</v>
      </c>
      <c r="D116" s="320">
        <v>80520</v>
      </c>
    </row>
    <row r="117" spans="1:4">
      <c r="A117" s="142" t="s">
        <v>1977</v>
      </c>
      <c r="B117" s="216">
        <v>1105</v>
      </c>
      <c r="C117">
        <v>5</v>
      </c>
      <c r="D117" s="126">
        <v>80104</v>
      </c>
    </row>
    <row r="118" spans="1:4">
      <c r="A118" s="317" t="s">
        <v>2101</v>
      </c>
      <c r="B118" s="216">
        <v>1105</v>
      </c>
      <c r="C118">
        <v>10</v>
      </c>
      <c r="D118" s="126">
        <v>80105</v>
      </c>
    </row>
    <row r="119" spans="1:4">
      <c r="A119" s="1"/>
      <c r="B119" s="216">
        <v>1105</v>
      </c>
      <c r="C119">
        <v>27</v>
      </c>
      <c r="D119" s="126">
        <v>80106</v>
      </c>
    </row>
    <row r="120" spans="1:4">
      <c r="A120" s="1"/>
      <c r="B120" s="216">
        <v>1105</v>
      </c>
      <c r="C120">
        <v>36</v>
      </c>
      <c r="D120" s="126">
        <v>80107</v>
      </c>
    </row>
    <row r="121" spans="1:4">
      <c r="A121" s="1"/>
      <c r="B121" s="216">
        <v>1105</v>
      </c>
      <c r="C121">
        <v>54</v>
      </c>
      <c r="D121" s="126">
        <v>80108</v>
      </c>
    </row>
    <row r="122" spans="1:4">
      <c r="A122" s="1"/>
      <c r="B122" s="216">
        <v>1105</v>
      </c>
      <c r="C122">
        <v>63</v>
      </c>
      <c r="D122" s="126">
        <v>80109</v>
      </c>
    </row>
    <row r="123" spans="1:4">
      <c r="A123" s="1"/>
      <c r="B123" s="216">
        <v>1105</v>
      </c>
      <c r="C123">
        <v>999</v>
      </c>
      <c r="D123" s="126">
        <v>80110</v>
      </c>
    </row>
    <row r="124" spans="1:4">
      <c r="A124" s="142" t="s">
        <v>1974</v>
      </c>
      <c r="B124" s="216">
        <v>1106</v>
      </c>
      <c r="C124">
        <v>5</v>
      </c>
      <c r="D124" s="126">
        <v>80404</v>
      </c>
    </row>
    <row r="125" spans="1:4">
      <c r="A125" s="1"/>
      <c r="B125" s="216">
        <v>1106</v>
      </c>
      <c r="C125">
        <v>10</v>
      </c>
      <c r="D125" s="126">
        <v>80405</v>
      </c>
    </row>
    <row r="126" spans="1:4">
      <c r="A126" s="1"/>
      <c r="B126" s="216">
        <v>1106</v>
      </c>
      <c r="C126">
        <v>27</v>
      </c>
      <c r="D126" s="126">
        <v>80406</v>
      </c>
    </row>
    <row r="127" spans="1:4">
      <c r="A127" s="1"/>
      <c r="B127" s="216">
        <v>1106</v>
      </c>
      <c r="C127">
        <v>36</v>
      </c>
      <c r="D127" s="126">
        <v>80407</v>
      </c>
    </row>
    <row r="128" spans="1:4">
      <c r="A128" s="1"/>
      <c r="B128" s="216">
        <v>1106</v>
      </c>
      <c r="C128">
        <v>54</v>
      </c>
      <c r="D128" s="126">
        <v>80408</v>
      </c>
    </row>
    <row r="129" spans="1:4">
      <c r="A129" s="1"/>
      <c r="B129" s="216">
        <v>1106</v>
      </c>
      <c r="C129">
        <v>63</v>
      </c>
      <c r="D129" s="126">
        <v>80409</v>
      </c>
    </row>
    <row r="130" spans="1:4">
      <c r="A130" s="1"/>
      <c r="B130" s="216">
        <v>1106</v>
      </c>
      <c r="C130">
        <v>999</v>
      </c>
      <c r="D130" s="126">
        <v>80410</v>
      </c>
    </row>
    <row r="131" spans="1:4">
      <c r="A131" s="142" t="s">
        <v>1975</v>
      </c>
      <c r="B131" s="134">
        <v>2105</v>
      </c>
      <c r="C131">
        <v>5</v>
      </c>
      <c r="D131" s="126">
        <v>80504</v>
      </c>
    </row>
    <row r="132" spans="1:4">
      <c r="A132" s="1"/>
      <c r="B132" s="134">
        <v>2105</v>
      </c>
      <c r="C132">
        <v>10</v>
      </c>
      <c r="D132" s="126">
        <v>80505</v>
      </c>
    </row>
    <row r="133" spans="1:4">
      <c r="A133" s="1"/>
      <c r="B133" s="134">
        <v>2105</v>
      </c>
      <c r="C133">
        <v>27</v>
      </c>
      <c r="D133" s="126">
        <v>80506</v>
      </c>
    </row>
    <row r="134" spans="1:4">
      <c r="A134" s="1"/>
      <c r="B134" s="134">
        <v>2105</v>
      </c>
      <c r="C134">
        <v>36</v>
      </c>
      <c r="D134" s="126">
        <v>80507</v>
      </c>
    </row>
    <row r="135" spans="1:4">
      <c r="A135" s="1"/>
      <c r="B135" s="134">
        <v>2105</v>
      </c>
      <c r="C135">
        <v>54</v>
      </c>
      <c r="D135" s="126">
        <v>80508</v>
      </c>
    </row>
    <row r="136" spans="1:4">
      <c r="A136" s="1"/>
      <c r="B136" s="134">
        <v>2105</v>
      </c>
      <c r="C136">
        <v>63</v>
      </c>
      <c r="D136" s="126">
        <v>80509</v>
      </c>
    </row>
    <row r="137" spans="1:4">
      <c r="A137" s="1"/>
      <c r="B137" s="134">
        <v>2105</v>
      </c>
      <c r="C137">
        <v>999</v>
      </c>
      <c r="D137" s="126">
        <v>80510</v>
      </c>
    </row>
    <row r="138" spans="1:4">
      <c r="A138" s="142" t="s">
        <v>1976</v>
      </c>
      <c r="B138" s="134">
        <v>2106</v>
      </c>
      <c r="C138">
        <v>5</v>
      </c>
      <c r="D138" s="126">
        <v>80514</v>
      </c>
    </row>
    <row r="139" spans="1:4">
      <c r="A139" s="1"/>
      <c r="B139" s="134">
        <v>2106</v>
      </c>
      <c r="C139">
        <v>10</v>
      </c>
      <c r="D139" s="126">
        <v>80515</v>
      </c>
    </row>
    <row r="140" spans="1:4">
      <c r="A140" s="1"/>
      <c r="B140" s="134">
        <v>2106</v>
      </c>
      <c r="C140">
        <v>27</v>
      </c>
      <c r="D140" s="126">
        <v>80516</v>
      </c>
    </row>
    <row r="141" spans="1:4">
      <c r="A141" s="1"/>
      <c r="B141" s="134">
        <v>2106</v>
      </c>
      <c r="C141">
        <v>36</v>
      </c>
      <c r="D141" s="126">
        <v>80517</v>
      </c>
    </row>
    <row r="142" spans="1:4">
      <c r="A142" s="1"/>
      <c r="B142" s="134">
        <v>2106</v>
      </c>
      <c r="C142">
        <v>54</v>
      </c>
      <c r="D142" s="126">
        <v>80518</v>
      </c>
    </row>
    <row r="143" spans="1:4">
      <c r="A143" s="1"/>
      <c r="B143" s="134">
        <v>2106</v>
      </c>
      <c r="C143">
        <v>63</v>
      </c>
      <c r="D143" s="126">
        <v>80519</v>
      </c>
    </row>
    <row r="144" spans="1:4">
      <c r="A144" s="1"/>
      <c r="B144" s="134">
        <v>2106</v>
      </c>
      <c r="C144">
        <v>999</v>
      </c>
      <c r="D144" s="320">
        <v>80520</v>
      </c>
    </row>
    <row r="145" spans="1:6">
      <c r="A145" s="1" t="s">
        <v>2056</v>
      </c>
      <c r="B145" s="216">
        <v>1107</v>
      </c>
      <c r="C145">
        <v>5</v>
      </c>
      <c r="D145" s="126">
        <v>80104</v>
      </c>
      <c r="F145" s="8"/>
    </row>
    <row r="146" spans="1:6">
      <c r="A146" s="317" t="s">
        <v>2101</v>
      </c>
      <c r="B146" s="216">
        <v>1107</v>
      </c>
      <c r="C146">
        <v>10</v>
      </c>
      <c r="D146" s="126">
        <v>80105</v>
      </c>
      <c r="F146" s="8"/>
    </row>
    <row r="147" spans="1:6">
      <c r="A147" s="1"/>
      <c r="B147" s="216">
        <v>1107</v>
      </c>
      <c r="C147">
        <v>27</v>
      </c>
      <c r="D147" s="126">
        <v>80106</v>
      </c>
      <c r="F147" s="8"/>
    </row>
    <row r="148" spans="1:6">
      <c r="A148" s="1"/>
      <c r="B148" s="216">
        <v>1107</v>
      </c>
      <c r="C148">
        <v>36</v>
      </c>
      <c r="D148" s="126">
        <v>80107</v>
      </c>
      <c r="F148" s="8"/>
    </row>
    <row r="149" spans="1:6">
      <c r="A149" s="1"/>
      <c r="B149" s="216">
        <v>1107</v>
      </c>
      <c r="C149">
        <v>54</v>
      </c>
      <c r="D149" s="126">
        <v>80108</v>
      </c>
      <c r="F149" s="8"/>
    </row>
    <row r="150" spans="1:6">
      <c r="A150" s="1"/>
      <c r="B150" s="216">
        <v>1107</v>
      </c>
      <c r="C150">
        <v>63</v>
      </c>
      <c r="D150" s="126">
        <v>80109</v>
      </c>
      <c r="F150" s="8"/>
    </row>
    <row r="151" spans="1:6">
      <c r="A151" s="1"/>
      <c r="B151" s="216">
        <v>1107</v>
      </c>
      <c r="C151">
        <v>999</v>
      </c>
      <c r="D151" s="126">
        <v>80110</v>
      </c>
      <c r="F151" s="8"/>
    </row>
    <row r="152" spans="1:6">
      <c r="A152" s="142" t="s">
        <v>2057</v>
      </c>
      <c r="B152" s="216">
        <v>1108</v>
      </c>
      <c r="C152">
        <v>5</v>
      </c>
      <c r="D152" s="126">
        <v>80404</v>
      </c>
      <c r="F152" s="8"/>
    </row>
    <row r="153" spans="1:6">
      <c r="A153" s="1"/>
      <c r="B153" s="216">
        <v>1108</v>
      </c>
      <c r="C153">
        <v>10</v>
      </c>
      <c r="D153" s="126">
        <v>80405</v>
      </c>
      <c r="F153" s="8"/>
    </row>
    <row r="154" spans="1:6">
      <c r="A154" s="1"/>
      <c r="B154" s="216">
        <v>1108</v>
      </c>
      <c r="C154">
        <v>27</v>
      </c>
      <c r="D154" s="126">
        <v>80406</v>
      </c>
      <c r="F154" s="8"/>
    </row>
    <row r="155" spans="1:6">
      <c r="A155" s="1"/>
      <c r="B155" s="216">
        <v>1108</v>
      </c>
      <c r="C155">
        <v>36</v>
      </c>
      <c r="D155" s="126">
        <v>80407</v>
      </c>
      <c r="F155" s="8"/>
    </row>
    <row r="156" spans="1:6">
      <c r="A156" s="1"/>
      <c r="B156" s="216">
        <v>1108</v>
      </c>
      <c r="C156">
        <v>54</v>
      </c>
      <c r="D156" s="126">
        <v>80408</v>
      </c>
      <c r="F156" s="8"/>
    </row>
    <row r="157" spans="1:6">
      <c r="A157" s="1"/>
      <c r="B157" s="216">
        <v>1108</v>
      </c>
      <c r="C157">
        <v>63</v>
      </c>
      <c r="D157" s="126">
        <v>80409</v>
      </c>
      <c r="F157" s="8"/>
    </row>
    <row r="158" spans="1:6">
      <c r="A158" s="1"/>
      <c r="B158" s="216">
        <v>1108</v>
      </c>
      <c r="C158">
        <v>999</v>
      </c>
      <c r="D158" s="126">
        <v>80410</v>
      </c>
      <c r="F158" s="8"/>
    </row>
    <row r="159" spans="1:6">
      <c r="A159" s="142" t="s">
        <v>2058</v>
      </c>
      <c r="B159" s="134">
        <v>2107</v>
      </c>
      <c r="C159">
        <v>5</v>
      </c>
      <c r="D159" s="126">
        <v>80504</v>
      </c>
    </row>
    <row r="160" spans="1:6">
      <c r="A160" s="1"/>
      <c r="B160" s="134">
        <v>2107</v>
      </c>
      <c r="C160">
        <v>10</v>
      </c>
      <c r="D160" s="126">
        <v>80505</v>
      </c>
    </row>
    <row r="161" spans="1:8">
      <c r="A161" s="1"/>
      <c r="B161" s="134">
        <v>2107</v>
      </c>
      <c r="C161">
        <v>27</v>
      </c>
      <c r="D161" s="126">
        <v>80506</v>
      </c>
    </row>
    <row r="162" spans="1:8">
      <c r="A162" s="1"/>
      <c r="B162" s="134">
        <v>2107</v>
      </c>
      <c r="C162">
        <v>36</v>
      </c>
      <c r="D162" s="126">
        <v>80507</v>
      </c>
    </row>
    <row r="163" spans="1:8">
      <c r="A163" s="1"/>
      <c r="B163" s="134">
        <v>2107</v>
      </c>
      <c r="C163">
        <v>54</v>
      </c>
      <c r="D163" s="126">
        <v>80508</v>
      </c>
    </row>
    <row r="164" spans="1:8">
      <c r="A164" s="1"/>
      <c r="B164" s="134">
        <v>2107</v>
      </c>
      <c r="C164">
        <v>63</v>
      </c>
      <c r="D164" s="126">
        <v>80509</v>
      </c>
    </row>
    <row r="165" spans="1:8">
      <c r="A165" s="1"/>
      <c r="B165" s="134">
        <v>2107</v>
      </c>
      <c r="C165">
        <v>999</v>
      </c>
      <c r="D165" s="126">
        <v>80510</v>
      </c>
    </row>
    <row r="166" spans="1:8">
      <c r="A166" s="142" t="s">
        <v>2059</v>
      </c>
      <c r="B166" s="134">
        <v>2108</v>
      </c>
      <c r="C166">
        <v>5</v>
      </c>
      <c r="D166" s="126">
        <v>80514</v>
      </c>
    </row>
    <row r="167" spans="1:8">
      <c r="A167" s="1"/>
      <c r="B167" s="134">
        <v>2108</v>
      </c>
      <c r="C167">
        <v>10</v>
      </c>
      <c r="D167" s="126">
        <v>80515</v>
      </c>
    </row>
    <row r="168" spans="1:8">
      <c r="A168" s="1"/>
      <c r="B168" s="134">
        <v>2108</v>
      </c>
      <c r="C168">
        <v>27</v>
      </c>
      <c r="D168" s="126">
        <v>80516</v>
      </c>
    </row>
    <row r="169" spans="1:8">
      <c r="A169" s="1"/>
      <c r="B169" s="134">
        <v>2108</v>
      </c>
      <c r="C169">
        <v>36</v>
      </c>
      <c r="D169" s="126">
        <v>80517</v>
      </c>
    </row>
    <row r="170" spans="1:8">
      <c r="A170" s="1"/>
      <c r="B170" s="134">
        <v>2108</v>
      </c>
      <c r="C170">
        <v>54</v>
      </c>
      <c r="D170" s="126">
        <v>80518</v>
      </c>
    </row>
    <row r="171" spans="1:8">
      <c r="A171" s="1"/>
      <c r="B171" s="134">
        <v>2108</v>
      </c>
      <c r="C171">
        <v>63</v>
      </c>
      <c r="D171" s="126">
        <v>80519</v>
      </c>
    </row>
    <row r="172" spans="1:8">
      <c r="A172" s="1"/>
      <c r="B172" s="134">
        <v>2108</v>
      </c>
      <c r="C172">
        <v>999</v>
      </c>
      <c r="D172" s="320">
        <v>80520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731</v>
      </c>
      <c r="G174" s="210"/>
      <c r="H174" s="210" t="s">
        <v>732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733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734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5" tint="0.59999389629810485"/>
  </sheetPr>
  <dimension ref="A1:V2852"/>
  <sheetViews>
    <sheetView tabSelected="1" workbookViewId="0">
      <pane ySplit="3" topLeftCell="A845" activePane="bottomLeft" state="frozen"/>
      <selection pane="bottomLeft" activeCell="E850" sqref="E850"/>
    </sheetView>
  </sheetViews>
  <sheetFormatPr defaultColWidth="9" defaultRowHeight="14.25"/>
  <cols>
    <col min="1" max="2" width="9" style="10"/>
    <col min="3" max="3" width="10" style="10" customWidth="1"/>
    <col min="4" max="4" width="9" style="10"/>
    <col min="5" max="5" width="15.125" style="10" customWidth="1"/>
    <col min="6" max="16384" width="9" style="10"/>
  </cols>
  <sheetData>
    <row r="1" spans="1:5">
      <c r="A1" s="10" t="s">
        <v>30</v>
      </c>
      <c r="B1" s="270" t="s">
        <v>2040</v>
      </c>
      <c r="C1" s="10" t="s">
        <v>92</v>
      </c>
      <c r="D1" s="10" t="s">
        <v>2</v>
      </c>
      <c r="E1" s="270" t="s">
        <v>1777</v>
      </c>
    </row>
    <row r="2" spans="1:5">
      <c r="A2" s="10" t="s">
        <v>49</v>
      </c>
      <c r="D2" s="10" t="s">
        <v>735</v>
      </c>
      <c r="E2" s="10" t="s">
        <v>101</v>
      </c>
    </row>
    <row r="3" spans="1:5">
      <c r="A3" s="10" t="s">
        <v>64</v>
      </c>
      <c r="B3" s="10" t="s">
        <v>65</v>
      </c>
      <c r="C3" s="10" t="s">
        <v>65</v>
      </c>
      <c r="D3" s="10" t="s">
        <v>66</v>
      </c>
      <c r="E3" s="10" t="s">
        <v>65</v>
      </c>
    </row>
    <row r="4" spans="1:5">
      <c r="A4" s="10" t="s">
        <v>67</v>
      </c>
      <c r="B4" s="270" t="s">
        <v>1965</v>
      </c>
      <c r="C4" s="270" t="s">
        <v>1965</v>
      </c>
      <c r="D4" s="270" t="s">
        <v>1965</v>
      </c>
      <c r="E4" s="270" t="s">
        <v>1965</v>
      </c>
    </row>
    <row r="5" spans="1:5">
      <c r="B5" s="283">
        <v>1000</v>
      </c>
      <c r="C5" s="43">
        <v>200004</v>
      </c>
      <c r="D5" s="10" t="s">
        <v>736</v>
      </c>
    </row>
    <row r="6" spans="1:5">
      <c r="B6" s="283">
        <v>1000</v>
      </c>
      <c r="C6" s="43">
        <v>200003</v>
      </c>
      <c r="D6" s="10" t="s">
        <v>736</v>
      </c>
    </row>
    <row r="7" spans="1:5">
      <c r="B7" s="283">
        <v>1000</v>
      </c>
      <c r="C7" s="43">
        <v>200005</v>
      </c>
      <c r="D7" s="10" t="s">
        <v>736</v>
      </c>
    </row>
    <row r="8" spans="1:5">
      <c r="B8" s="283">
        <v>1000</v>
      </c>
      <c r="C8" s="43">
        <v>200006</v>
      </c>
      <c r="D8" s="10" t="s">
        <v>736</v>
      </c>
    </row>
    <row r="9" spans="1:5">
      <c r="B9" s="283">
        <v>1000</v>
      </c>
      <c r="C9" s="43">
        <v>200007</v>
      </c>
      <c r="D9" s="10" t="s">
        <v>736</v>
      </c>
    </row>
    <row r="10" spans="1:5">
      <c r="B10" s="283">
        <v>1000</v>
      </c>
      <c r="C10" s="43">
        <v>200008</v>
      </c>
      <c r="D10" s="10" t="s">
        <v>736</v>
      </c>
    </row>
    <row r="11" spans="1:5">
      <c r="B11" s="283">
        <v>1000</v>
      </c>
      <c r="C11" s="43">
        <v>200009</v>
      </c>
      <c r="D11" s="10" t="s">
        <v>736</v>
      </c>
    </row>
    <row r="12" spans="1:5">
      <c r="B12" s="283">
        <v>1000</v>
      </c>
      <c r="C12" s="43">
        <v>200010</v>
      </c>
      <c r="D12" s="10" t="s">
        <v>736</v>
      </c>
    </row>
    <row r="13" spans="1:5">
      <c r="B13" s="283">
        <v>1000</v>
      </c>
      <c r="C13" s="43">
        <v>200016</v>
      </c>
      <c r="D13" s="10" t="s">
        <v>736</v>
      </c>
    </row>
    <row r="14" spans="1:5">
      <c r="B14" s="283">
        <v>1000</v>
      </c>
      <c r="C14" s="43">
        <v>200017</v>
      </c>
      <c r="D14" s="10" t="s">
        <v>736</v>
      </c>
    </row>
    <row r="15" spans="1:5">
      <c r="B15" s="283">
        <v>1000</v>
      </c>
      <c r="C15" s="43">
        <v>200018</v>
      </c>
      <c r="D15" s="10" t="s">
        <v>736</v>
      </c>
    </row>
    <row r="16" spans="1:5">
      <c r="B16" s="283">
        <v>1000</v>
      </c>
      <c r="C16" s="43">
        <v>200019</v>
      </c>
      <c r="D16" s="10" t="s">
        <v>736</v>
      </c>
    </row>
    <row r="17" spans="2:4">
      <c r="B17" s="283">
        <v>1000</v>
      </c>
      <c r="C17" s="43">
        <v>200020</v>
      </c>
      <c r="D17" s="10" t="s">
        <v>736</v>
      </c>
    </row>
    <row r="18" spans="2:4">
      <c r="B18" s="283">
        <v>1000</v>
      </c>
      <c r="C18" s="43">
        <v>200021</v>
      </c>
      <c r="D18" s="10" t="s">
        <v>736</v>
      </c>
    </row>
    <row r="19" spans="2:4">
      <c r="B19" s="283">
        <v>1000</v>
      </c>
      <c r="C19" s="43">
        <v>200024</v>
      </c>
      <c r="D19" s="10" t="s">
        <v>736</v>
      </c>
    </row>
    <row r="20" spans="2:4">
      <c r="B20" s="283">
        <v>1000</v>
      </c>
      <c r="C20" s="43">
        <v>200026</v>
      </c>
      <c r="D20" s="10" t="s">
        <v>736</v>
      </c>
    </row>
    <row r="21" spans="2:4">
      <c r="B21" s="283">
        <v>1000</v>
      </c>
      <c r="C21" s="43">
        <v>200029</v>
      </c>
      <c r="D21" s="10" t="s">
        <v>736</v>
      </c>
    </row>
    <row r="22" spans="2:4">
      <c r="B22" s="283">
        <v>1000</v>
      </c>
      <c r="C22" s="43">
        <v>200028</v>
      </c>
      <c r="D22" s="10" t="s">
        <v>736</v>
      </c>
    </row>
    <row r="23" spans="2:4">
      <c r="B23" s="10">
        <v>1000</v>
      </c>
      <c r="C23" s="43">
        <v>200032</v>
      </c>
      <c r="D23" s="10" t="s">
        <v>736</v>
      </c>
    </row>
    <row r="24" spans="2:4">
      <c r="B24" s="10">
        <v>1000</v>
      </c>
      <c r="C24" s="43">
        <v>200033</v>
      </c>
      <c r="D24" s="10" t="s">
        <v>736</v>
      </c>
    </row>
    <row r="25" spans="2:4" ht="13.5" customHeight="1">
      <c r="B25" s="10">
        <v>1000</v>
      </c>
      <c r="C25" s="43">
        <v>200038</v>
      </c>
      <c r="D25" s="10" t="s">
        <v>736</v>
      </c>
    </row>
    <row r="26" spans="2:4" ht="13.5" customHeight="1">
      <c r="B26" s="10">
        <v>1000</v>
      </c>
      <c r="C26" s="43">
        <v>200044</v>
      </c>
      <c r="D26" s="10" t="s">
        <v>736</v>
      </c>
    </row>
    <row r="27" spans="2:4" ht="13.5" customHeight="1">
      <c r="B27" s="10">
        <v>1000</v>
      </c>
      <c r="C27" s="43">
        <v>200046</v>
      </c>
      <c r="D27" s="10" t="s">
        <v>736</v>
      </c>
    </row>
    <row r="28" spans="2:4" ht="13.5" customHeight="1">
      <c r="B28" s="10">
        <v>1000</v>
      </c>
      <c r="C28" s="43">
        <v>200048</v>
      </c>
      <c r="D28" s="10" t="s">
        <v>736</v>
      </c>
    </row>
    <row r="29" spans="2:4" ht="13.5" customHeight="1">
      <c r="B29" s="10">
        <v>1000</v>
      </c>
      <c r="C29" s="10">
        <v>200053</v>
      </c>
      <c r="D29" s="10" t="s">
        <v>736</v>
      </c>
    </row>
    <row r="30" spans="2:4" ht="13.5" customHeight="1">
      <c r="B30" s="10">
        <v>1000</v>
      </c>
      <c r="C30" s="43">
        <v>200059</v>
      </c>
      <c r="D30" s="10" t="s">
        <v>736</v>
      </c>
    </row>
    <row r="31" spans="2:4" ht="13.5" customHeight="1">
      <c r="B31" s="10">
        <v>1000</v>
      </c>
      <c r="C31" s="43">
        <v>200066</v>
      </c>
      <c r="D31" s="10" t="s">
        <v>736</v>
      </c>
    </row>
    <row r="32" spans="2:4" ht="13.5" customHeight="1">
      <c r="B32" s="10">
        <v>1000</v>
      </c>
      <c r="C32" s="43">
        <v>200067</v>
      </c>
      <c r="D32" s="10" t="s">
        <v>736</v>
      </c>
    </row>
    <row r="33" spans="1:12" ht="13.5" customHeight="1">
      <c r="B33" s="10">
        <v>1000</v>
      </c>
      <c r="C33" s="43">
        <v>200068</v>
      </c>
      <c r="D33" s="10" t="s">
        <v>736</v>
      </c>
    </row>
    <row r="34" spans="1:12" ht="13.5" customHeight="1">
      <c r="B34" s="10">
        <v>1000</v>
      </c>
      <c r="C34" s="43">
        <v>200069</v>
      </c>
      <c r="D34" s="10" t="s">
        <v>736</v>
      </c>
    </row>
    <row r="35" spans="1:12" ht="13.5" customHeight="1">
      <c r="B35" s="10">
        <v>1000</v>
      </c>
      <c r="C35" s="43">
        <v>200074</v>
      </c>
      <c r="D35" s="270" t="s">
        <v>1842</v>
      </c>
    </row>
    <row r="36" spans="1:12" ht="13.5" customHeight="1">
      <c r="B36" s="10">
        <v>1000</v>
      </c>
      <c r="C36" s="43">
        <v>200077</v>
      </c>
      <c r="D36" s="270" t="s">
        <v>1842</v>
      </c>
    </row>
    <row r="37" spans="1:12" ht="13.5" customHeight="1">
      <c r="A37" s="270" t="s">
        <v>2031</v>
      </c>
      <c r="B37" s="270">
        <v>1000</v>
      </c>
      <c r="C37" s="10">
        <v>200083</v>
      </c>
      <c r="D37" s="270" t="s">
        <v>1842</v>
      </c>
    </row>
    <row r="38" spans="1:12" ht="13.5" customHeight="1">
      <c r="A38" s="270" t="s">
        <v>2029</v>
      </c>
      <c r="B38" s="270">
        <v>1000</v>
      </c>
      <c r="C38" s="10">
        <v>200084</v>
      </c>
      <c r="D38" s="270" t="s">
        <v>1842</v>
      </c>
    </row>
    <row r="39" spans="1:12" ht="13.5" customHeight="1">
      <c r="A39" s="270" t="s">
        <v>2027</v>
      </c>
      <c r="B39" s="43">
        <v>1000</v>
      </c>
      <c r="C39" s="43">
        <v>200093</v>
      </c>
      <c r="D39" s="43" t="s">
        <v>1842</v>
      </c>
    </row>
    <row r="40" spans="1:12" ht="13.5" customHeight="1">
      <c r="A40" s="270" t="s">
        <v>2025</v>
      </c>
      <c r="B40" s="43">
        <v>1000</v>
      </c>
      <c r="C40" s="43">
        <v>200094</v>
      </c>
      <c r="D40" s="43" t="s">
        <v>1842</v>
      </c>
    </row>
    <row r="41" spans="1:12" ht="13.5" customHeight="1">
      <c r="A41" s="270" t="s">
        <v>2023</v>
      </c>
      <c r="B41" s="43">
        <v>1000</v>
      </c>
      <c r="C41" s="43">
        <v>200091</v>
      </c>
      <c r="D41" s="43" t="s">
        <v>1842</v>
      </c>
    </row>
    <row r="42" spans="1:12" s="285" customFormat="1" ht="13.5" customHeight="1">
      <c r="A42" s="284" t="s">
        <v>2060</v>
      </c>
      <c r="B42" s="281">
        <v>1000</v>
      </c>
      <c r="C42" s="281">
        <v>20000107</v>
      </c>
      <c r="D42" s="281" t="s">
        <v>1842</v>
      </c>
    </row>
    <row r="43" spans="1:12" s="285" customFormat="1" ht="13.5" customHeight="1">
      <c r="A43" s="284" t="s">
        <v>2061</v>
      </c>
      <c r="B43" s="281">
        <v>1000</v>
      </c>
      <c r="C43" s="281">
        <v>200099</v>
      </c>
      <c r="D43" s="281" t="s">
        <v>1842</v>
      </c>
    </row>
    <row r="44" spans="1:12" s="285" customFormat="1" ht="13.5" customHeight="1">
      <c r="A44" s="284" t="s">
        <v>2062</v>
      </c>
      <c r="B44" s="281">
        <v>1000</v>
      </c>
      <c r="C44" s="281">
        <v>200098</v>
      </c>
      <c r="D44" s="281" t="s">
        <v>1842</v>
      </c>
    </row>
    <row r="45" spans="1:12">
      <c r="B45" s="283">
        <v>1000</v>
      </c>
      <c r="C45" s="286">
        <v>305007</v>
      </c>
      <c r="D45" s="10" t="s">
        <v>737</v>
      </c>
      <c r="I45" s="286">
        <v>305007</v>
      </c>
      <c r="J45" s="286" t="s">
        <v>1213</v>
      </c>
      <c r="K45" s="286">
        <v>1</v>
      </c>
      <c r="L45" s="287" t="s">
        <v>1828</v>
      </c>
    </row>
    <row r="46" spans="1:12">
      <c r="B46" s="283">
        <v>1000</v>
      </c>
      <c r="C46" s="286">
        <v>305008</v>
      </c>
      <c r="D46" s="10" t="s">
        <v>737</v>
      </c>
      <c r="I46" s="286">
        <v>305008</v>
      </c>
      <c r="J46" s="286" t="s">
        <v>1217</v>
      </c>
      <c r="K46" s="286">
        <v>1</v>
      </c>
      <c r="L46" s="287" t="s">
        <v>1828</v>
      </c>
    </row>
    <row r="47" spans="1:12">
      <c r="B47" s="283">
        <v>1000</v>
      </c>
      <c r="C47" s="286">
        <v>305009</v>
      </c>
      <c r="D47" s="10" t="s">
        <v>737</v>
      </c>
      <c r="I47" s="286">
        <v>305009</v>
      </c>
      <c r="J47" s="286" t="s">
        <v>1220</v>
      </c>
      <c r="K47" s="286">
        <v>1</v>
      </c>
      <c r="L47" s="287" t="s">
        <v>1828</v>
      </c>
    </row>
    <row r="48" spans="1:12">
      <c r="B48" s="283">
        <v>1000</v>
      </c>
      <c r="C48" s="286">
        <v>305023</v>
      </c>
      <c r="D48" s="10" t="s">
        <v>737</v>
      </c>
      <c r="I48" s="286">
        <v>305023</v>
      </c>
      <c r="J48" s="286" t="s">
        <v>1277</v>
      </c>
      <c r="K48" s="286">
        <v>1</v>
      </c>
      <c r="L48" s="287" t="s">
        <v>1828</v>
      </c>
    </row>
    <row r="49" spans="2:12">
      <c r="B49" s="283">
        <v>1000</v>
      </c>
      <c r="C49" s="286">
        <v>305034</v>
      </c>
      <c r="D49" s="10" t="s">
        <v>737</v>
      </c>
      <c r="I49" s="286">
        <v>305034</v>
      </c>
      <c r="J49" s="286" t="s">
        <v>222</v>
      </c>
      <c r="K49" s="286">
        <v>1</v>
      </c>
      <c r="L49" s="287" t="s">
        <v>1828</v>
      </c>
    </row>
    <row r="50" spans="2:12">
      <c r="B50" s="283">
        <v>1000</v>
      </c>
      <c r="C50" s="286">
        <v>305035</v>
      </c>
      <c r="D50" s="10" t="s">
        <v>737</v>
      </c>
      <c r="I50" s="286">
        <v>305035</v>
      </c>
      <c r="J50" s="286" t="s">
        <v>227</v>
      </c>
      <c r="K50" s="286">
        <v>1</v>
      </c>
      <c r="L50" s="287" t="s">
        <v>1828</v>
      </c>
    </row>
    <row r="51" spans="2:12">
      <c r="B51" s="283">
        <v>1000</v>
      </c>
      <c r="C51" s="286">
        <v>305036</v>
      </c>
      <c r="D51" s="10" t="s">
        <v>737</v>
      </c>
      <c r="I51" s="286">
        <v>305036</v>
      </c>
      <c r="J51" s="286" t="s">
        <v>232</v>
      </c>
      <c r="K51" s="286">
        <v>1</v>
      </c>
      <c r="L51" s="287" t="s">
        <v>1828</v>
      </c>
    </row>
    <row r="52" spans="2:12">
      <c r="B52" s="283">
        <v>1000</v>
      </c>
      <c r="C52" s="286">
        <v>305039</v>
      </c>
      <c r="D52" s="10" t="s">
        <v>737</v>
      </c>
      <c r="I52" s="286">
        <v>305039</v>
      </c>
      <c r="J52" s="286" t="s">
        <v>1829</v>
      </c>
      <c r="K52" s="286">
        <v>1</v>
      </c>
      <c r="L52" s="287" t="s">
        <v>1828</v>
      </c>
    </row>
    <row r="53" spans="2:12">
      <c r="B53" s="283">
        <v>1000</v>
      </c>
      <c r="C53" s="286">
        <v>305040</v>
      </c>
      <c r="D53" s="10" t="s">
        <v>737</v>
      </c>
      <c r="I53" s="286">
        <v>305040</v>
      </c>
      <c r="J53" s="286" t="s">
        <v>277</v>
      </c>
      <c r="K53" s="286">
        <v>1</v>
      </c>
      <c r="L53" s="287" t="s">
        <v>1828</v>
      </c>
    </row>
    <row r="54" spans="2:12">
      <c r="B54" s="283">
        <v>1000</v>
      </c>
      <c r="C54" s="286">
        <v>305200</v>
      </c>
      <c r="D54" s="10" t="s">
        <v>737</v>
      </c>
      <c r="I54" s="286">
        <v>305200</v>
      </c>
      <c r="J54" s="286" t="s">
        <v>313</v>
      </c>
      <c r="K54" s="286">
        <v>1</v>
      </c>
      <c r="L54" s="287" t="s">
        <v>1828</v>
      </c>
    </row>
    <row r="55" spans="2:12">
      <c r="B55" s="283">
        <v>1000</v>
      </c>
      <c r="C55" s="288">
        <v>305224</v>
      </c>
      <c r="D55" s="10" t="s">
        <v>737</v>
      </c>
      <c r="I55" s="288">
        <v>305224</v>
      </c>
      <c r="J55" s="10" t="s">
        <v>1890</v>
      </c>
      <c r="K55" s="286">
        <v>1</v>
      </c>
      <c r="L55" s="287" t="s">
        <v>1828</v>
      </c>
    </row>
    <row r="56" spans="2:12">
      <c r="B56" s="283">
        <v>1000</v>
      </c>
      <c r="C56" s="288">
        <v>305225</v>
      </c>
      <c r="D56" s="10" t="s">
        <v>737</v>
      </c>
      <c r="I56" s="288">
        <v>305225</v>
      </c>
      <c r="J56" s="10" t="s">
        <v>1888</v>
      </c>
      <c r="K56" s="286">
        <v>1</v>
      </c>
      <c r="L56" s="287" t="s">
        <v>1828</v>
      </c>
    </row>
    <row r="57" spans="2:12">
      <c r="B57" s="283">
        <v>1000</v>
      </c>
      <c r="C57" s="288">
        <v>305226</v>
      </c>
      <c r="D57" s="10" t="s">
        <v>737</v>
      </c>
      <c r="I57" s="288">
        <v>305226</v>
      </c>
      <c r="J57" s="10" t="s">
        <v>1891</v>
      </c>
      <c r="K57" s="286">
        <v>1</v>
      </c>
      <c r="L57" s="287" t="s">
        <v>1828</v>
      </c>
    </row>
    <row r="58" spans="2:12">
      <c r="B58" s="283">
        <v>1000</v>
      </c>
      <c r="C58" s="289">
        <v>305010</v>
      </c>
      <c r="D58" s="10" t="s">
        <v>737</v>
      </c>
      <c r="I58" s="289">
        <v>305010</v>
      </c>
      <c r="J58" s="289" t="s">
        <v>1223</v>
      </c>
      <c r="K58" s="289">
        <v>2</v>
      </c>
      <c r="L58" s="290" t="s">
        <v>1830</v>
      </c>
    </row>
    <row r="59" spans="2:12">
      <c r="B59" s="283">
        <v>1000</v>
      </c>
      <c r="C59" s="289">
        <v>305021</v>
      </c>
      <c r="D59" s="10" t="s">
        <v>737</v>
      </c>
      <c r="I59" s="289">
        <v>305021</v>
      </c>
      <c r="J59" s="289" t="s">
        <v>1270</v>
      </c>
      <c r="K59" s="289">
        <v>2</v>
      </c>
      <c r="L59" s="290" t="s">
        <v>1830</v>
      </c>
    </row>
    <row r="60" spans="2:12">
      <c r="B60" s="283">
        <v>1000</v>
      </c>
      <c r="C60" s="289">
        <v>305022</v>
      </c>
      <c r="D60" s="10" t="s">
        <v>737</v>
      </c>
      <c r="I60" s="289">
        <v>305022</v>
      </c>
      <c r="J60" s="289" t="s">
        <v>1273</v>
      </c>
      <c r="K60" s="289">
        <v>2</v>
      </c>
      <c r="L60" s="290" t="s">
        <v>1830</v>
      </c>
    </row>
    <row r="61" spans="2:12">
      <c r="B61" s="283">
        <v>1000</v>
      </c>
      <c r="C61" s="289">
        <v>305032</v>
      </c>
      <c r="D61" s="10" t="s">
        <v>737</v>
      </c>
      <c r="I61" s="289">
        <v>305032</v>
      </c>
      <c r="J61" s="289" t="s">
        <v>213</v>
      </c>
      <c r="K61" s="289">
        <v>2</v>
      </c>
      <c r="L61" s="290" t="s">
        <v>1830</v>
      </c>
    </row>
    <row r="62" spans="2:12">
      <c r="B62" s="283">
        <v>1000</v>
      </c>
      <c r="C62" s="289">
        <v>305033</v>
      </c>
      <c r="D62" s="10" t="s">
        <v>737</v>
      </c>
      <c r="I62" s="289">
        <v>305033</v>
      </c>
      <c r="J62" s="289" t="s">
        <v>217</v>
      </c>
      <c r="K62" s="289">
        <v>2</v>
      </c>
      <c r="L62" s="290" t="s">
        <v>1830</v>
      </c>
    </row>
    <row r="63" spans="2:12">
      <c r="B63" s="283">
        <v>1000</v>
      </c>
      <c r="C63" s="289">
        <v>305037</v>
      </c>
      <c r="D63" s="10" t="s">
        <v>737</v>
      </c>
      <c r="I63" s="289">
        <v>305037</v>
      </c>
      <c r="J63" s="289" t="s">
        <v>264</v>
      </c>
      <c r="K63" s="289">
        <v>2</v>
      </c>
      <c r="L63" s="290" t="s">
        <v>1830</v>
      </c>
    </row>
    <row r="64" spans="2:12">
      <c r="B64" s="283">
        <v>1000</v>
      </c>
      <c r="C64" s="289">
        <v>305038</v>
      </c>
      <c r="D64" s="10" t="s">
        <v>737</v>
      </c>
      <c r="I64" s="289">
        <v>305038</v>
      </c>
      <c r="J64" s="289" t="s">
        <v>268</v>
      </c>
      <c r="K64" s="289">
        <v>2</v>
      </c>
      <c r="L64" s="290" t="s">
        <v>1830</v>
      </c>
    </row>
    <row r="65" spans="2:12">
      <c r="B65" s="283">
        <v>1000</v>
      </c>
      <c r="C65" s="289">
        <v>305300</v>
      </c>
      <c r="D65" s="10" t="s">
        <v>737</v>
      </c>
      <c r="I65" s="289">
        <v>305300</v>
      </c>
      <c r="J65" s="289" t="s">
        <v>318</v>
      </c>
      <c r="K65" s="289">
        <v>2</v>
      </c>
      <c r="L65" s="290" t="s">
        <v>1830</v>
      </c>
    </row>
    <row r="66" spans="2:12">
      <c r="B66" s="283">
        <v>1000</v>
      </c>
      <c r="C66" s="288">
        <v>305324</v>
      </c>
      <c r="D66" s="10" t="s">
        <v>737</v>
      </c>
      <c r="I66" s="288">
        <v>305324</v>
      </c>
      <c r="J66" s="10" t="s">
        <v>1887</v>
      </c>
      <c r="K66" s="289">
        <v>2</v>
      </c>
      <c r="L66" s="290" t="s">
        <v>1830</v>
      </c>
    </row>
    <row r="67" spans="2:12">
      <c r="B67" s="283">
        <v>1000</v>
      </c>
      <c r="C67" s="288">
        <v>305325</v>
      </c>
      <c r="D67" s="10" t="s">
        <v>737</v>
      </c>
      <c r="I67" s="288">
        <v>305325</v>
      </c>
      <c r="J67" s="10" t="s">
        <v>1888</v>
      </c>
      <c r="K67" s="289">
        <v>2</v>
      </c>
      <c r="L67" s="290" t="s">
        <v>1830</v>
      </c>
    </row>
    <row r="68" spans="2:12">
      <c r="B68" s="283">
        <v>1000</v>
      </c>
      <c r="C68" s="288">
        <v>305326</v>
      </c>
      <c r="D68" s="10" t="s">
        <v>737</v>
      </c>
      <c r="I68" s="288">
        <v>305326</v>
      </c>
      <c r="J68" s="10" t="s">
        <v>1889</v>
      </c>
      <c r="K68" s="289">
        <v>2</v>
      </c>
      <c r="L68" s="290" t="s">
        <v>1830</v>
      </c>
    </row>
    <row r="69" spans="2:12">
      <c r="B69" s="283">
        <v>1000</v>
      </c>
      <c r="C69" s="291">
        <v>305001</v>
      </c>
      <c r="D69" s="10" t="s">
        <v>737</v>
      </c>
      <c r="I69" s="291">
        <v>305001</v>
      </c>
      <c r="J69" s="291" t="s">
        <v>176</v>
      </c>
      <c r="K69" s="291">
        <v>0</v>
      </c>
      <c r="L69" s="292" t="s">
        <v>1827</v>
      </c>
    </row>
    <row r="70" spans="2:12">
      <c r="B70" s="283">
        <v>1000</v>
      </c>
      <c r="C70" s="291">
        <v>305002</v>
      </c>
      <c r="D70" s="10" t="s">
        <v>737</v>
      </c>
      <c r="I70" s="291">
        <v>305002</v>
      </c>
      <c r="J70" s="291" t="s">
        <v>181</v>
      </c>
      <c r="K70" s="291">
        <v>0</v>
      </c>
      <c r="L70" s="292" t="s">
        <v>1827</v>
      </c>
    </row>
    <row r="71" spans="2:12">
      <c r="B71" s="283">
        <v>1000</v>
      </c>
      <c r="C71" s="291">
        <v>305003</v>
      </c>
      <c r="D71" s="10" t="s">
        <v>737</v>
      </c>
      <c r="I71" s="291">
        <v>305003</v>
      </c>
      <c r="J71" s="291" t="s">
        <v>186</v>
      </c>
      <c r="K71" s="291">
        <v>0</v>
      </c>
      <c r="L71" s="292" t="s">
        <v>1827</v>
      </c>
    </row>
    <row r="72" spans="2:12">
      <c r="B72" s="283">
        <v>1000</v>
      </c>
      <c r="C72" s="291">
        <v>305018</v>
      </c>
      <c r="D72" s="10" t="s">
        <v>737</v>
      </c>
      <c r="I72" s="291">
        <v>305018</v>
      </c>
      <c r="J72" s="291" t="s">
        <v>191</v>
      </c>
      <c r="K72" s="291">
        <v>0</v>
      </c>
      <c r="L72" s="292" t="s">
        <v>1827</v>
      </c>
    </row>
    <row r="73" spans="2:12">
      <c r="B73" s="283">
        <v>1000</v>
      </c>
      <c r="C73" s="291">
        <v>305019</v>
      </c>
      <c r="D73" s="10" t="s">
        <v>737</v>
      </c>
      <c r="I73" s="291">
        <v>305019</v>
      </c>
      <c r="J73" s="291" t="s">
        <v>196</v>
      </c>
      <c r="K73" s="291">
        <v>0</v>
      </c>
      <c r="L73" s="292" t="s">
        <v>1827</v>
      </c>
    </row>
    <row r="74" spans="2:12">
      <c r="B74" s="283">
        <v>1000</v>
      </c>
      <c r="C74" s="291">
        <v>305041</v>
      </c>
      <c r="D74" s="10" t="s">
        <v>737</v>
      </c>
      <c r="I74" s="291">
        <v>305041</v>
      </c>
      <c r="J74" s="291" t="s">
        <v>282</v>
      </c>
      <c r="K74" s="291">
        <v>0</v>
      </c>
      <c r="L74" s="292" t="s">
        <v>1827</v>
      </c>
    </row>
    <row r="75" spans="2:12">
      <c r="B75" s="283">
        <v>1000</v>
      </c>
      <c r="C75" s="291">
        <v>305042</v>
      </c>
      <c r="D75" s="10" t="s">
        <v>737</v>
      </c>
      <c r="I75" s="291">
        <v>305042</v>
      </c>
      <c r="J75" s="291" t="s">
        <v>287</v>
      </c>
      <c r="K75" s="291">
        <v>0</v>
      </c>
      <c r="L75" s="292" t="s">
        <v>1827</v>
      </c>
    </row>
    <row r="76" spans="2:12">
      <c r="B76" s="283">
        <v>1000</v>
      </c>
      <c r="C76" s="291">
        <v>305600</v>
      </c>
      <c r="D76" s="10" t="s">
        <v>737</v>
      </c>
      <c r="I76" s="291">
        <v>305600</v>
      </c>
      <c r="J76" s="291" t="s">
        <v>323</v>
      </c>
      <c r="K76" s="291">
        <v>0</v>
      </c>
      <c r="L76" s="292" t="s">
        <v>1827</v>
      </c>
    </row>
    <row r="77" spans="2:12">
      <c r="B77" s="283">
        <v>1000</v>
      </c>
      <c r="C77" s="288">
        <v>305623</v>
      </c>
      <c r="D77" s="10" t="s">
        <v>737</v>
      </c>
      <c r="I77" s="288">
        <v>305623</v>
      </c>
      <c r="J77" s="10" t="s">
        <v>1864</v>
      </c>
      <c r="K77" s="291">
        <v>0</v>
      </c>
      <c r="L77" s="292" t="s">
        <v>1827</v>
      </c>
    </row>
    <row r="78" spans="2:12">
      <c r="B78" s="283">
        <v>1000</v>
      </c>
      <c r="C78" s="288">
        <v>305624</v>
      </c>
      <c r="D78" s="10" t="s">
        <v>737</v>
      </c>
      <c r="I78" s="288">
        <v>305624</v>
      </c>
      <c r="J78" s="10" t="s">
        <v>1865</v>
      </c>
      <c r="K78" s="291">
        <v>0</v>
      </c>
      <c r="L78" s="292" t="s">
        <v>1827</v>
      </c>
    </row>
    <row r="79" spans="2:12">
      <c r="B79" s="283">
        <v>1000</v>
      </c>
      <c r="C79" s="288">
        <v>305625</v>
      </c>
      <c r="D79" s="10" t="s">
        <v>737</v>
      </c>
      <c r="I79" s="288">
        <v>305625</v>
      </c>
      <c r="J79" s="10" t="s">
        <v>1866</v>
      </c>
      <c r="K79" s="291">
        <v>0</v>
      </c>
      <c r="L79" s="292" t="s">
        <v>1827</v>
      </c>
    </row>
    <row r="80" spans="2:12">
      <c r="B80" s="283">
        <v>1000</v>
      </c>
      <c r="C80" s="288">
        <v>305626</v>
      </c>
      <c r="D80" s="10" t="s">
        <v>737</v>
      </c>
      <c r="I80" s="288">
        <v>305626</v>
      </c>
      <c r="J80" s="10" t="s">
        <v>1867</v>
      </c>
      <c r="K80" s="291">
        <v>0</v>
      </c>
      <c r="L80" s="292" t="s">
        <v>1827</v>
      </c>
    </row>
    <row r="81" spans="2:22">
      <c r="B81" s="283">
        <v>1000</v>
      </c>
      <c r="C81" s="293">
        <v>305012</v>
      </c>
      <c r="D81" s="10" t="s">
        <v>737</v>
      </c>
      <c r="I81" s="293">
        <v>305012</v>
      </c>
      <c r="J81" s="293" t="s">
        <v>1230</v>
      </c>
      <c r="K81" s="293">
        <v>6</v>
      </c>
      <c r="L81" s="294" t="s">
        <v>1833</v>
      </c>
    </row>
    <row r="82" spans="2:22">
      <c r="B82" s="283">
        <v>1000</v>
      </c>
      <c r="C82" s="293">
        <v>305013</v>
      </c>
      <c r="D82" s="10" t="s">
        <v>737</v>
      </c>
      <c r="I82" s="293">
        <v>305013</v>
      </c>
      <c r="J82" s="293" t="s">
        <v>1237</v>
      </c>
      <c r="K82" s="293">
        <v>6</v>
      </c>
      <c r="L82" s="294" t="s">
        <v>1833</v>
      </c>
    </row>
    <row r="83" spans="2:22">
      <c r="B83" s="283">
        <v>1000</v>
      </c>
      <c r="C83" s="293">
        <v>305014</v>
      </c>
      <c r="D83" s="10" t="s">
        <v>737</v>
      </c>
      <c r="I83" s="293">
        <v>305014</v>
      </c>
      <c r="J83" s="293" t="s">
        <v>1241</v>
      </c>
      <c r="K83" s="293">
        <v>6</v>
      </c>
      <c r="L83" s="294" t="s">
        <v>1833</v>
      </c>
    </row>
    <row r="84" spans="2:22" s="285" customFormat="1">
      <c r="B84" s="283">
        <v>1000</v>
      </c>
      <c r="C84" s="293">
        <v>305046</v>
      </c>
      <c r="D84" s="285" t="s">
        <v>737</v>
      </c>
      <c r="G84" s="10"/>
      <c r="H84" s="10"/>
      <c r="I84" s="293">
        <v>305046</v>
      </c>
      <c r="J84" s="293" t="s">
        <v>309</v>
      </c>
      <c r="K84" s="293">
        <v>6</v>
      </c>
      <c r="L84" s="294" t="s">
        <v>1833</v>
      </c>
      <c r="M84" s="10"/>
      <c r="R84" s="10"/>
      <c r="S84" s="10"/>
      <c r="T84" s="10"/>
      <c r="U84" s="10"/>
      <c r="V84" s="10"/>
    </row>
    <row r="85" spans="2:22">
      <c r="B85" s="283">
        <v>1000</v>
      </c>
      <c r="C85" s="288">
        <v>305815</v>
      </c>
      <c r="D85" s="10" t="s">
        <v>737</v>
      </c>
      <c r="I85" s="288">
        <v>305815</v>
      </c>
      <c r="J85" s="10" t="s">
        <v>1868</v>
      </c>
      <c r="K85" s="293">
        <v>6</v>
      </c>
      <c r="L85" s="294" t="s">
        <v>1833</v>
      </c>
    </row>
    <row r="86" spans="2:22">
      <c r="B86" s="283">
        <v>1000</v>
      </c>
      <c r="C86" s="288">
        <v>305816</v>
      </c>
      <c r="D86" s="10" t="s">
        <v>737</v>
      </c>
      <c r="I86" s="288">
        <v>305816</v>
      </c>
      <c r="J86" s="10" t="s">
        <v>1869</v>
      </c>
      <c r="K86" s="293">
        <v>6</v>
      </c>
      <c r="L86" s="294" t="s">
        <v>1833</v>
      </c>
    </row>
    <row r="87" spans="2:22">
      <c r="B87" s="283">
        <v>1000</v>
      </c>
      <c r="C87" s="288">
        <v>305817</v>
      </c>
      <c r="D87" s="10" t="s">
        <v>737</v>
      </c>
      <c r="I87" s="288">
        <v>305817</v>
      </c>
      <c r="J87" s="10" t="s">
        <v>1870</v>
      </c>
      <c r="K87" s="293">
        <v>6</v>
      </c>
      <c r="L87" s="294" t="s">
        <v>1833</v>
      </c>
    </row>
    <row r="88" spans="2:22" s="285" customFormat="1">
      <c r="B88" s="283">
        <v>1000</v>
      </c>
      <c r="C88" s="288">
        <v>305818</v>
      </c>
      <c r="D88" s="285" t="s">
        <v>737</v>
      </c>
      <c r="G88" s="10"/>
      <c r="H88" s="10"/>
      <c r="I88" s="288">
        <v>305818</v>
      </c>
      <c r="J88" s="10" t="s">
        <v>1871</v>
      </c>
      <c r="K88" s="293">
        <v>6</v>
      </c>
      <c r="L88" s="294" t="s">
        <v>1833</v>
      </c>
      <c r="M88" s="10"/>
      <c r="R88" s="10"/>
      <c r="S88" s="10"/>
      <c r="T88" s="10"/>
      <c r="U88" s="10"/>
      <c r="V88" s="10"/>
    </row>
    <row r="89" spans="2:22">
      <c r="B89" s="283">
        <v>1000</v>
      </c>
      <c r="C89" s="288">
        <v>305819</v>
      </c>
      <c r="D89" s="10" t="s">
        <v>737</v>
      </c>
      <c r="I89" s="288">
        <v>305819</v>
      </c>
      <c r="J89" s="10" t="s">
        <v>1872</v>
      </c>
      <c r="K89" s="293">
        <v>6</v>
      </c>
      <c r="L89" s="294" t="s">
        <v>1833</v>
      </c>
    </row>
    <row r="90" spans="2:22" s="285" customFormat="1">
      <c r="B90" s="283">
        <v>1000</v>
      </c>
      <c r="C90" s="288">
        <v>305820</v>
      </c>
      <c r="D90" s="285" t="s">
        <v>737</v>
      </c>
      <c r="G90" s="10"/>
      <c r="H90" s="10"/>
      <c r="I90" s="288">
        <v>305820</v>
      </c>
      <c r="J90" s="10" t="s">
        <v>1873</v>
      </c>
      <c r="K90" s="293">
        <v>6</v>
      </c>
      <c r="L90" s="294" t="s">
        <v>1833</v>
      </c>
      <c r="M90" s="10"/>
      <c r="R90" s="10"/>
      <c r="S90" s="10"/>
      <c r="T90" s="10"/>
      <c r="U90" s="10"/>
      <c r="V90" s="10"/>
    </row>
    <row r="91" spans="2:22">
      <c r="B91" s="283">
        <v>1000</v>
      </c>
      <c r="C91" s="295">
        <v>305015</v>
      </c>
      <c r="D91" s="10" t="s">
        <v>737</v>
      </c>
      <c r="I91" s="295">
        <v>305015</v>
      </c>
      <c r="J91" s="295" t="s">
        <v>1245</v>
      </c>
      <c r="K91" s="295">
        <v>7</v>
      </c>
      <c r="L91" s="296" t="s">
        <v>538</v>
      </c>
    </row>
    <row r="92" spans="2:22">
      <c r="B92" s="283">
        <v>1000</v>
      </c>
      <c r="C92" s="295">
        <v>305016</v>
      </c>
      <c r="D92" s="10" t="s">
        <v>737</v>
      </c>
      <c r="I92" s="295">
        <v>305016</v>
      </c>
      <c r="J92" s="295" t="s">
        <v>1251</v>
      </c>
      <c r="K92" s="295">
        <v>7</v>
      </c>
      <c r="L92" s="296" t="s">
        <v>538</v>
      </c>
    </row>
    <row r="93" spans="2:22">
      <c r="B93" s="283">
        <v>1000</v>
      </c>
      <c r="C93" s="295">
        <v>305017</v>
      </c>
      <c r="D93" s="10" t="s">
        <v>737</v>
      </c>
      <c r="I93" s="295">
        <v>305017</v>
      </c>
      <c r="J93" s="295" t="s">
        <v>1255</v>
      </c>
      <c r="K93" s="295">
        <v>7</v>
      </c>
      <c r="L93" s="296" t="s">
        <v>538</v>
      </c>
    </row>
    <row r="94" spans="2:22">
      <c r="B94" s="283">
        <v>1000</v>
      </c>
      <c r="C94" s="295">
        <v>305700</v>
      </c>
      <c r="D94" s="10" t="s">
        <v>737</v>
      </c>
      <c r="I94" s="295">
        <v>305700</v>
      </c>
      <c r="J94" s="295" t="s">
        <v>328</v>
      </c>
      <c r="K94" s="295">
        <v>7</v>
      </c>
      <c r="L94" s="296" t="s">
        <v>538</v>
      </c>
    </row>
    <row r="95" spans="2:22">
      <c r="B95" s="283">
        <v>1000</v>
      </c>
      <c r="C95" s="288">
        <v>305719</v>
      </c>
      <c r="D95" s="10" t="s">
        <v>737</v>
      </c>
      <c r="I95" s="288">
        <v>305719</v>
      </c>
      <c r="J95" s="10" t="s">
        <v>1874</v>
      </c>
      <c r="K95" s="295">
        <v>7</v>
      </c>
      <c r="L95" s="296" t="s">
        <v>538</v>
      </c>
    </row>
    <row r="96" spans="2:22">
      <c r="B96" s="283">
        <v>1000</v>
      </c>
      <c r="C96" s="288">
        <v>305720</v>
      </c>
      <c r="D96" s="10" t="s">
        <v>737</v>
      </c>
      <c r="I96" s="288">
        <v>305720</v>
      </c>
      <c r="J96" s="10" t="s">
        <v>1875</v>
      </c>
      <c r="K96" s="295">
        <v>7</v>
      </c>
      <c r="L96" s="296" t="s">
        <v>538</v>
      </c>
    </row>
    <row r="97" spans="1:22">
      <c r="B97" s="283">
        <v>1000</v>
      </c>
      <c r="C97" s="288">
        <v>305721</v>
      </c>
      <c r="D97" s="10" t="s">
        <v>737</v>
      </c>
      <c r="I97" s="288">
        <v>305721</v>
      </c>
      <c r="J97" s="10" t="s">
        <v>1876</v>
      </c>
      <c r="K97" s="295">
        <v>7</v>
      </c>
      <c r="L97" s="296" t="s">
        <v>538</v>
      </c>
    </row>
    <row r="98" spans="1:22">
      <c r="B98" s="283">
        <v>1000</v>
      </c>
      <c r="C98" s="288">
        <v>305722</v>
      </c>
      <c r="D98" s="10" t="s">
        <v>737</v>
      </c>
      <c r="I98" s="288">
        <v>305722</v>
      </c>
      <c r="J98" s="10" t="s">
        <v>1877</v>
      </c>
      <c r="K98" s="295">
        <v>7</v>
      </c>
      <c r="L98" s="296" t="s">
        <v>538</v>
      </c>
    </row>
    <row r="99" spans="1:22">
      <c r="B99" s="283">
        <v>1000</v>
      </c>
      <c r="C99" s="288">
        <v>305723</v>
      </c>
      <c r="D99" s="10" t="s">
        <v>737</v>
      </c>
      <c r="I99" s="288">
        <v>305723</v>
      </c>
      <c r="J99" s="10" t="s">
        <v>1878</v>
      </c>
      <c r="K99" s="295">
        <v>7</v>
      </c>
      <c r="L99" s="296" t="s">
        <v>538</v>
      </c>
    </row>
    <row r="100" spans="1:22">
      <c r="B100" s="283">
        <v>1000</v>
      </c>
      <c r="C100" s="288">
        <v>305724</v>
      </c>
      <c r="D100" s="10" t="s">
        <v>737</v>
      </c>
      <c r="I100" s="288">
        <v>305724</v>
      </c>
      <c r="J100" s="10" t="s">
        <v>1879</v>
      </c>
      <c r="K100" s="295">
        <v>7</v>
      </c>
      <c r="L100" s="296" t="s">
        <v>538</v>
      </c>
    </row>
    <row r="101" spans="1:22">
      <c r="B101" s="283">
        <v>1000</v>
      </c>
      <c r="C101" s="297">
        <v>305011</v>
      </c>
      <c r="D101" s="10" t="s">
        <v>737</v>
      </c>
      <c r="I101" s="297">
        <v>305011</v>
      </c>
      <c r="J101" s="297" t="s">
        <v>161</v>
      </c>
      <c r="K101" s="297">
        <v>3</v>
      </c>
      <c r="L101" s="298" t="s">
        <v>1831</v>
      </c>
    </row>
    <row r="102" spans="1:22">
      <c r="B102" s="283">
        <v>1000</v>
      </c>
      <c r="C102" s="299">
        <v>305025</v>
      </c>
      <c r="D102" s="10" t="s">
        <v>737</v>
      </c>
      <c r="I102" s="299">
        <v>305025</v>
      </c>
      <c r="J102" s="299" t="s">
        <v>200</v>
      </c>
      <c r="K102" s="299">
        <v>4</v>
      </c>
      <c r="L102" s="300" t="s">
        <v>1832</v>
      </c>
    </row>
    <row r="103" spans="1:22" s="285" customFormat="1">
      <c r="A103" s="10"/>
      <c r="B103" s="283">
        <v>1000</v>
      </c>
      <c r="C103" s="299">
        <v>305026</v>
      </c>
      <c r="D103" s="10" t="s">
        <v>737</v>
      </c>
      <c r="E103" s="10"/>
      <c r="F103" s="10"/>
      <c r="G103" s="10"/>
      <c r="H103" s="10"/>
      <c r="I103" s="299">
        <v>305026</v>
      </c>
      <c r="J103" s="299" t="s">
        <v>204</v>
      </c>
      <c r="K103" s="299">
        <v>4</v>
      </c>
      <c r="L103" s="300" t="s">
        <v>1832</v>
      </c>
      <c r="M103" s="10"/>
      <c r="N103" s="10"/>
      <c r="O103" s="10"/>
      <c r="P103" s="10"/>
      <c r="Q103" s="10"/>
      <c r="R103" s="10"/>
      <c r="S103" s="10"/>
      <c r="T103" s="10"/>
      <c r="U103" s="10"/>
      <c r="V103" s="10"/>
    </row>
    <row r="104" spans="1:22" s="285" customFormat="1">
      <c r="A104" s="10"/>
      <c r="B104" s="283">
        <v>1000</v>
      </c>
      <c r="C104" s="299">
        <v>305050</v>
      </c>
      <c r="D104" s="10" t="s">
        <v>737</v>
      </c>
      <c r="E104" s="10"/>
      <c r="F104" s="10"/>
      <c r="G104" s="10"/>
      <c r="H104" s="10"/>
      <c r="I104" s="299">
        <v>305050</v>
      </c>
      <c r="J104" s="299" t="s">
        <v>300</v>
      </c>
      <c r="K104" s="299">
        <v>4</v>
      </c>
      <c r="L104" s="300" t="s">
        <v>1832</v>
      </c>
      <c r="M104" s="10"/>
      <c r="N104" s="10"/>
      <c r="O104" s="10"/>
      <c r="P104" s="10"/>
      <c r="Q104" s="10"/>
      <c r="R104" s="10"/>
      <c r="S104" s="10"/>
      <c r="T104" s="10"/>
      <c r="U104" s="10"/>
      <c r="V104" s="10"/>
    </row>
    <row r="105" spans="1:22" s="285" customFormat="1">
      <c r="A105" s="10"/>
      <c r="B105" s="283">
        <v>1000</v>
      </c>
      <c r="C105" s="299">
        <v>305051</v>
      </c>
      <c r="D105" s="10" t="s">
        <v>737</v>
      </c>
      <c r="E105" s="10"/>
      <c r="F105" s="10"/>
      <c r="G105" s="10"/>
      <c r="H105" s="10"/>
      <c r="I105" s="299">
        <v>305051</v>
      </c>
      <c r="J105" s="299" t="s">
        <v>340</v>
      </c>
      <c r="K105" s="299">
        <v>4</v>
      </c>
      <c r="L105" s="300" t="s">
        <v>1832</v>
      </c>
      <c r="M105" s="10"/>
      <c r="N105" s="10"/>
      <c r="O105" s="10"/>
      <c r="P105" s="10"/>
      <c r="Q105" s="10"/>
      <c r="R105" s="10"/>
      <c r="S105" s="10"/>
      <c r="T105" s="10"/>
      <c r="U105" s="10"/>
      <c r="V105" s="10"/>
    </row>
    <row r="106" spans="1:22">
      <c r="B106" s="283">
        <v>1000</v>
      </c>
      <c r="C106" s="288">
        <v>305055</v>
      </c>
      <c r="D106" s="10" t="s">
        <v>737</v>
      </c>
      <c r="I106" s="288">
        <v>305055</v>
      </c>
      <c r="J106" s="10" t="s">
        <v>1880</v>
      </c>
      <c r="K106" s="299">
        <v>4</v>
      </c>
      <c r="L106" s="300" t="s">
        <v>1832</v>
      </c>
    </row>
    <row r="107" spans="1:22" s="285" customFormat="1">
      <c r="A107" s="10"/>
      <c r="B107" s="283">
        <v>1000</v>
      </c>
      <c r="C107" s="288">
        <v>305056</v>
      </c>
      <c r="D107" s="10" t="s">
        <v>737</v>
      </c>
      <c r="E107" s="10"/>
      <c r="F107" s="10"/>
      <c r="G107" s="10"/>
      <c r="H107" s="10"/>
      <c r="I107" s="288">
        <v>305056</v>
      </c>
      <c r="J107" s="10" t="s">
        <v>1881</v>
      </c>
      <c r="K107" s="299">
        <v>4</v>
      </c>
      <c r="L107" s="300" t="s">
        <v>1832</v>
      </c>
      <c r="M107" s="10"/>
      <c r="N107" s="10"/>
      <c r="O107" s="10"/>
      <c r="P107" s="10"/>
      <c r="Q107" s="10"/>
      <c r="R107" s="10"/>
      <c r="S107" s="10"/>
      <c r="T107" s="10"/>
      <c r="U107" s="10"/>
      <c r="V107" s="10"/>
    </row>
    <row r="108" spans="1:22" s="285" customFormat="1">
      <c r="A108" s="10"/>
      <c r="B108" s="283">
        <v>1000</v>
      </c>
      <c r="C108" s="288">
        <v>306104</v>
      </c>
      <c r="D108" s="10" t="s">
        <v>737</v>
      </c>
      <c r="E108" s="10"/>
      <c r="F108" s="10"/>
      <c r="G108" s="10"/>
      <c r="H108" s="10"/>
      <c r="I108" s="288">
        <v>306104</v>
      </c>
      <c r="J108" s="10" t="s">
        <v>1882</v>
      </c>
      <c r="K108" s="299">
        <v>4</v>
      </c>
      <c r="L108" s="300" t="s">
        <v>1886</v>
      </c>
      <c r="M108" s="10"/>
      <c r="N108" s="10"/>
      <c r="O108" s="10"/>
      <c r="P108" s="10"/>
      <c r="Q108" s="10"/>
      <c r="R108" s="10"/>
      <c r="S108" s="10"/>
      <c r="T108" s="10"/>
      <c r="U108" s="10"/>
      <c r="V108" s="10"/>
    </row>
    <row r="109" spans="1:22" s="285" customFormat="1">
      <c r="A109" s="10"/>
      <c r="B109" s="283">
        <v>1000</v>
      </c>
      <c r="C109" s="288">
        <v>306105</v>
      </c>
      <c r="D109" s="10" t="s">
        <v>737</v>
      </c>
      <c r="E109" s="10"/>
      <c r="F109" s="10"/>
      <c r="G109" s="10"/>
      <c r="H109" s="10"/>
      <c r="I109" s="288">
        <v>306105</v>
      </c>
      <c r="J109" s="10" t="s">
        <v>1883</v>
      </c>
      <c r="K109" s="299">
        <v>4</v>
      </c>
      <c r="L109" s="300" t="s">
        <v>1886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5" customFormat="1">
      <c r="A110" s="10"/>
      <c r="B110" s="283">
        <v>1000</v>
      </c>
      <c r="C110" s="288">
        <v>306106</v>
      </c>
      <c r="D110" s="10" t="s">
        <v>737</v>
      </c>
      <c r="E110" s="10"/>
      <c r="F110" s="10"/>
      <c r="G110" s="10"/>
      <c r="H110" s="10"/>
      <c r="I110" s="288">
        <v>306106</v>
      </c>
      <c r="J110" s="10" t="s">
        <v>1884</v>
      </c>
      <c r="K110" s="299">
        <v>4</v>
      </c>
      <c r="L110" s="300" t="s">
        <v>1886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5" customFormat="1">
      <c r="A111" s="10"/>
      <c r="B111" s="283">
        <v>1000</v>
      </c>
      <c r="C111" s="288">
        <v>306107</v>
      </c>
      <c r="D111" s="10" t="s">
        <v>737</v>
      </c>
      <c r="E111" s="10"/>
      <c r="F111" s="10"/>
      <c r="G111" s="10"/>
      <c r="H111" s="10"/>
      <c r="I111" s="288">
        <v>306107</v>
      </c>
      <c r="J111" s="10" t="s">
        <v>1885</v>
      </c>
      <c r="K111" s="299">
        <v>4</v>
      </c>
      <c r="L111" s="300" t="s">
        <v>1886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>
      <c r="B112" s="283">
        <v>1000</v>
      </c>
      <c r="C112" s="282">
        <v>303012</v>
      </c>
      <c r="D112" s="301" t="s">
        <v>38</v>
      </c>
    </row>
    <row r="113" spans="2:4">
      <c r="B113" s="283">
        <v>1000</v>
      </c>
      <c r="C113" s="282">
        <v>303013</v>
      </c>
      <c r="D113" s="301" t="s">
        <v>38</v>
      </c>
    </row>
    <row r="114" spans="2:4">
      <c r="B114" s="283">
        <v>1000</v>
      </c>
      <c r="C114" s="282">
        <v>303022</v>
      </c>
      <c r="D114" s="301" t="s">
        <v>38</v>
      </c>
    </row>
    <row r="115" spans="2:4">
      <c r="B115" s="283">
        <v>1000</v>
      </c>
      <c r="C115" s="282">
        <v>303023</v>
      </c>
      <c r="D115" s="301" t="s">
        <v>38</v>
      </c>
    </row>
    <row r="116" spans="2:4">
      <c r="B116" s="283">
        <v>1000</v>
      </c>
      <c r="C116" s="282">
        <v>303032</v>
      </c>
      <c r="D116" s="301" t="s">
        <v>38</v>
      </c>
    </row>
    <row r="117" spans="2:4">
      <c r="B117" s="283">
        <v>1000</v>
      </c>
      <c r="C117" s="282">
        <v>303033</v>
      </c>
      <c r="D117" s="301" t="s">
        <v>38</v>
      </c>
    </row>
    <row r="118" spans="2:4">
      <c r="B118" s="283">
        <v>1000</v>
      </c>
      <c r="C118" s="282">
        <v>303042</v>
      </c>
      <c r="D118" s="301" t="s">
        <v>38</v>
      </c>
    </row>
    <row r="119" spans="2:4">
      <c r="B119" s="283">
        <v>1000</v>
      </c>
      <c r="C119" s="282">
        <v>303043</v>
      </c>
      <c r="D119" s="301" t="s">
        <v>38</v>
      </c>
    </row>
    <row r="120" spans="2:4">
      <c r="B120" s="283">
        <v>1000</v>
      </c>
      <c r="C120" s="282">
        <v>303052</v>
      </c>
      <c r="D120" s="301" t="s">
        <v>38</v>
      </c>
    </row>
    <row r="121" spans="2:4">
      <c r="B121" s="283">
        <v>1000</v>
      </c>
      <c r="C121" s="282">
        <v>303053</v>
      </c>
      <c r="D121" s="301" t="s">
        <v>38</v>
      </c>
    </row>
    <row r="122" spans="2:4">
      <c r="B122" s="283">
        <v>1000</v>
      </c>
      <c r="C122" s="282">
        <v>303062</v>
      </c>
      <c r="D122" s="301" t="s">
        <v>38</v>
      </c>
    </row>
    <row r="123" spans="2:4">
      <c r="B123" s="283">
        <v>1000</v>
      </c>
      <c r="C123" s="282">
        <v>303063</v>
      </c>
      <c r="D123" s="301" t="s">
        <v>38</v>
      </c>
    </row>
    <row r="124" spans="2:4">
      <c r="B124" s="283">
        <v>1000</v>
      </c>
      <c r="C124" s="282">
        <v>303072</v>
      </c>
      <c r="D124" s="301" t="s">
        <v>38</v>
      </c>
    </row>
    <row r="125" spans="2:4">
      <c r="B125" s="283">
        <v>1000</v>
      </c>
      <c r="C125" s="282">
        <v>303073</v>
      </c>
      <c r="D125" s="301" t="s">
        <v>38</v>
      </c>
    </row>
    <row r="126" spans="2:4">
      <c r="B126" s="283">
        <v>1000</v>
      </c>
      <c r="C126" s="282">
        <v>303082</v>
      </c>
      <c r="D126" s="301" t="s">
        <v>38</v>
      </c>
    </row>
    <row r="127" spans="2:4">
      <c r="B127" s="283">
        <v>1000</v>
      </c>
      <c r="C127" s="282">
        <v>303083</v>
      </c>
      <c r="D127" s="301" t="s">
        <v>38</v>
      </c>
    </row>
    <row r="128" spans="2:4">
      <c r="B128" s="283">
        <v>1001</v>
      </c>
      <c r="C128" s="43">
        <v>200004</v>
      </c>
      <c r="D128" s="10" t="s">
        <v>736</v>
      </c>
    </row>
    <row r="129" spans="2:4">
      <c r="B129" s="283">
        <v>1001</v>
      </c>
      <c r="C129" s="43">
        <v>200003</v>
      </c>
      <c r="D129" s="10" t="s">
        <v>736</v>
      </c>
    </row>
    <row r="130" spans="2:4">
      <c r="B130" s="283">
        <v>1001</v>
      </c>
      <c r="C130" s="43">
        <v>200005</v>
      </c>
      <c r="D130" s="10" t="s">
        <v>736</v>
      </c>
    </row>
    <row r="131" spans="2:4">
      <c r="B131" s="283">
        <v>1001</v>
      </c>
      <c r="C131" s="43">
        <v>200006</v>
      </c>
      <c r="D131" s="10" t="s">
        <v>736</v>
      </c>
    </row>
    <row r="132" spans="2:4">
      <c r="B132" s="283">
        <v>1001</v>
      </c>
      <c r="C132" s="43">
        <v>200007</v>
      </c>
      <c r="D132" s="10" t="s">
        <v>736</v>
      </c>
    </row>
    <row r="133" spans="2:4">
      <c r="B133" s="283">
        <v>1001</v>
      </c>
      <c r="C133" s="43">
        <v>200008</v>
      </c>
      <c r="D133" s="10" t="s">
        <v>736</v>
      </c>
    </row>
    <row r="134" spans="2:4">
      <c r="B134" s="283">
        <v>1001</v>
      </c>
      <c r="C134" s="43">
        <v>200009</v>
      </c>
      <c r="D134" s="10" t="s">
        <v>736</v>
      </c>
    </row>
    <row r="135" spans="2:4">
      <c r="B135" s="283">
        <v>1001</v>
      </c>
      <c r="C135" s="43">
        <v>200010</v>
      </c>
      <c r="D135" s="10" t="s">
        <v>736</v>
      </c>
    </row>
    <row r="136" spans="2:4">
      <c r="B136" s="283">
        <v>1001</v>
      </c>
      <c r="C136" s="43">
        <v>200016</v>
      </c>
      <c r="D136" s="10" t="s">
        <v>736</v>
      </c>
    </row>
    <row r="137" spans="2:4">
      <c r="B137" s="283">
        <v>1001</v>
      </c>
      <c r="C137" s="43">
        <v>200017</v>
      </c>
      <c r="D137" s="10" t="s">
        <v>736</v>
      </c>
    </row>
    <row r="138" spans="2:4">
      <c r="B138" s="283">
        <v>1001</v>
      </c>
      <c r="C138" s="43">
        <v>200018</v>
      </c>
      <c r="D138" s="10" t="s">
        <v>736</v>
      </c>
    </row>
    <row r="139" spans="2:4">
      <c r="B139" s="283">
        <v>1001</v>
      </c>
      <c r="C139" s="43">
        <v>200019</v>
      </c>
      <c r="D139" s="10" t="s">
        <v>736</v>
      </c>
    </row>
    <row r="140" spans="2:4">
      <c r="B140" s="283">
        <v>1001</v>
      </c>
      <c r="C140" s="43">
        <v>200020</v>
      </c>
      <c r="D140" s="10" t="s">
        <v>736</v>
      </c>
    </row>
    <row r="141" spans="2:4">
      <c r="B141" s="283">
        <v>1001</v>
      </c>
      <c r="C141" s="43">
        <v>200021</v>
      </c>
      <c r="D141" s="10" t="s">
        <v>736</v>
      </c>
    </row>
    <row r="142" spans="2:4">
      <c r="B142" s="283">
        <v>1001</v>
      </c>
      <c r="C142" s="43">
        <v>200024</v>
      </c>
      <c r="D142" s="10" t="s">
        <v>736</v>
      </c>
    </row>
    <row r="143" spans="2:4">
      <c r="B143" s="283">
        <v>1001</v>
      </c>
      <c r="C143" s="43">
        <v>200026</v>
      </c>
      <c r="D143" s="10" t="s">
        <v>736</v>
      </c>
    </row>
    <row r="144" spans="2:4">
      <c r="B144" s="283">
        <v>1001</v>
      </c>
      <c r="C144" s="43">
        <v>200029</v>
      </c>
      <c r="D144" s="10" t="s">
        <v>736</v>
      </c>
    </row>
    <row r="145" spans="1:4">
      <c r="B145" s="283">
        <v>1001</v>
      </c>
      <c r="C145" s="43">
        <v>200028</v>
      </c>
      <c r="D145" s="10" t="s">
        <v>736</v>
      </c>
    </row>
    <row r="146" spans="1:4">
      <c r="B146" s="10">
        <v>1001</v>
      </c>
      <c r="C146" s="43">
        <v>200032</v>
      </c>
      <c r="D146" s="10" t="s">
        <v>736</v>
      </c>
    </row>
    <row r="147" spans="1:4">
      <c r="B147" s="10">
        <v>1001</v>
      </c>
      <c r="C147" s="43">
        <v>200033</v>
      </c>
      <c r="D147" s="10" t="s">
        <v>736</v>
      </c>
    </row>
    <row r="148" spans="1:4" ht="13.5" customHeight="1">
      <c r="B148" s="10">
        <v>1001</v>
      </c>
      <c r="C148" s="43">
        <v>200038</v>
      </c>
      <c r="D148" s="10" t="s">
        <v>736</v>
      </c>
    </row>
    <row r="149" spans="1:4" ht="13.5" customHeight="1">
      <c r="B149" s="10">
        <v>1001</v>
      </c>
      <c r="C149" s="43">
        <v>200044</v>
      </c>
      <c r="D149" s="10" t="s">
        <v>736</v>
      </c>
    </row>
    <row r="150" spans="1:4" ht="13.5" customHeight="1">
      <c r="B150" s="10">
        <v>1001</v>
      </c>
      <c r="C150" s="43">
        <v>200046</v>
      </c>
      <c r="D150" s="10" t="s">
        <v>736</v>
      </c>
    </row>
    <row r="151" spans="1:4" ht="13.5" customHeight="1">
      <c r="B151" s="10">
        <v>1001</v>
      </c>
      <c r="C151" s="43">
        <v>200048</v>
      </c>
      <c r="D151" s="10" t="s">
        <v>736</v>
      </c>
    </row>
    <row r="152" spans="1:4" ht="13.5" customHeight="1">
      <c r="B152" s="10">
        <v>1001</v>
      </c>
      <c r="C152" s="43">
        <v>200053</v>
      </c>
      <c r="D152" s="10" t="s">
        <v>736</v>
      </c>
    </row>
    <row r="153" spans="1:4" ht="13.5" customHeight="1">
      <c r="B153" s="10">
        <v>1001</v>
      </c>
      <c r="C153" s="43">
        <v>200059</v>
      </c>
      <c r="D153" s="10" t="s">
        <v>736</v>
      </c>
    </row>
    <row r="154" spans="1:4" ht="13.5" customHeight="1">
      <c r="B154" s="10">
        <v>1001</v>
      </c>
      <c r="C154" s="43">
        <v>200066</v>
      </c>
      <c r="D154" s="10" t="s">
        <v>736</v>
      </c>
    </row>
    <row r="155" spans="1:4" ht="13.5" customHeight="1">
      <c r="B155" s="10">
        <v>1001</v>
      </c>
      <c r="C155" s="43">
        <v>200067</v>
      </c>
      <c r="D155" s="10" t="s">
        <v>736</v>
      </c>
    </row>
    <row r="156" spans="1:4" ht="13.5" customHeight="1">
      <c r="B156" s="10">
        <v>1001</v>
      </c>
      <c r="C156" s="43">
        <v>200068</v>
      </c>
      <c r="D156" s="10" t="s">
        <v>736</v>
      </c>
    </row>
    <row r="157" spans="1:4" ht="13.5" customHeight="1">
      <c r="B157" s="10">
        <v>1001</v>
      </c>
      <c r="C157" s="43">
        <v>200069</v>
      </c>
      <c r="D157" s="10" t="s">
        <v>736</v>
      </c>
    </row>
    <row r="158" spans="1:4" ht="13.5" customHeight="1">
      <c r="B158" s="10">
        <v>1001</v>
      </c>
      <c r="C158" s="43">
        <v>200074</v>
      </c>
      <c r="D158" s="270" t="s">
        <v>1842</v>
      </c>
    </row>
    <row r="159" spans="1:4" ht="13.5" customHeight="1">
      <c r="B159" s="10">
        <v>1001</v>
      </c>
      <c r="C159" s="43">
        <v>200077</v>
      </c>
      <c r="D159" s="270" t="s">
        <v>1842</v>
      </c>
    </row>
    <row r="160" spans="1:4" ht="13.5" customHeight="1">
      <c r="A160" s="270" t="s">
        <v>2031</v>
      </c>
      <c r="B160" s="43">
        <v>1001</v>
      </c>
      <c r="C160" s="43">
        <v>200083</v>
      </c>
      <c r="D160" s="270" t="s">
        <v>1842</v>
      </c>
    </row>
    <row r="161" spans="1:12" ht="13.5" customHeight="1">
      <c r="A161" s="270" t="s">
        <v>2029</v>
      </c>
      <c r="B161" s="43">
        <v>1001</v>
      </c>
      <c r="C161" s="43">
        <v>200084</v>
      </c>
      <c r="D161" s="270" t="s">
        <v>1842</v>
      </c>
    </row>
    <row r="162" spans="1:12" ht="13.5" customHeight="1">
      <c r="A162" s="270" t="s">
        <v>2027</v>
      </c>
      <c r="B162" s="43">
        <v>1001</v>
      </c>
      <c r="C162" s="43">
        <v>200093</v>
      </c>
      <c r="D162" s="43" t="s">
        <v>1842</v>
      </c>
    </row>
    <row r="163" spans="1:12" ht="13.5" customHeight="1">
      <c r="A163" s="270" t="s">
        <v>2025</v>
      </c>
      <c r="B163" s="43">
        <v>1001</v>
      </c>
      <c r="C163" s="43">
        <v>200094</v>
      </c>
      <c r="D163" s="43" t="s">
        <v>1842</v>
      </c>
    </row>
    <row r="164" spans="1:12" ht="13.5" customHeight="1">
      <c r="A164" s="270" t="s">
        <v>2023</v>
      </c>
      <c r="B164" s="43">
        <v>1001</v>
      </c>
      <c r="C164" s="43">
        <v>200091</v>
      </c>
      <c r="D164" s="43" t="s">
        <v>1842</v>
      </c>
    </row>
    <row r="165" spans="1:12" ht="13.5" customHeight="1">
      <c r="A165" s="270" t="s">
        <v>2060</v>
      </c>
      <c r="B165" s="43">
        <v>1001</v>
      </c>
      <c r="C165" s="43">
        <v>20000107</v>
      </c>
      <c r="D165" s="43" t="s">
        <v>1842</v>
      </c>
    </row>
    <row r="166" spans="1:12" ht="13.5" customHeight="1">
      <c r="A166" s="270" t="s">
        <v>2061</v>
      </c>
      <c r="B166" s="43">
        <v>1001</v>
      </c>
      <c r="C166" s="43">
        <v>200099</v>
      </c>
      <c r="D166" s="43" t="s">
        <v>1842</v>
      </c>
    </row>
    <row r="167" spans="1:12" ht="13.5" customHeight="1">
      <c r="A167" s="270" t="s">
        <v>2062</v>
      </c>
      <c r="B167" s="43">
        <v>1001</v>
      </c>
      <c r="C167" s="43">
        <v>200098</v>
      </c>
      <c r="D167" s="43" t="s">
        <v>1842</v>
      </c>
    </row>
    <row r="168" spans="1:12">
      <c r="B168" s="283">
        <v>1001</v>
      </c>
      <c r="C168" s="286">
        <v>305007</v>
      </c>
      <c r="D168" s="10" t="s">
        <v>737</v>
      </c>
      <c r="I168" s="286">
        <v>305007</v>
      </c>
      <c r="J168" s="286" t="s">
        <v>1213</v>
      </c>
      <c r="K168" s="286">
        <v>1</v>
      </c>
      <c r="L168" s="287" t="s">
        <v>1828</v>
      </c>
    </row>
    <row r="169" spans="1:12">
      <c r="B169" s="283">
        <v>1001</v>
      </c>
      <c r="C169" s="286">
        <v>305008</v>
      </c>
      <c r="D169" s="10" t="s">
        <v>737</v>
      </c>
      <c r="I169" s="286">
        <v>305008</v>
      </c>
      <c r="J169" s="286" t="s">
        <v>1217</v>
      </c>
      <c r="K169" s="286">
        <v>1</v>
      </c>
      <c r="L169" s="287" t="s">
        <v>1828</v>
      </c>
    </row>
    <row r="170" spans="1:12">
      <c r="B170" s="283">
        <v>1001</v>
      </c>
      <c r="C170" s="286">
        <v>305009</v>
      </c>
      <c r="D170" s="10" t="s">
        <v>737</v>
      </c>
      <c r="I170" s="286">
        <v>305009</v>
      </c>
      <c r="J170" s="286" t="s">
        <v>1220</v>
      </c>
      <c r="K170" s="286">
        <v>1</v>
      </c>
      <c r="L170" s="287" t="s">
        <v>1828</v>
      </c>
    </row>
    <row r="171" spans="1:12">
      <c r="B171" s="283">
        <v>1001</v>
      </c>
      <c r="C171" s="286">
        <v>305023</v>
      </c>
      <c r="D171" s="10" t="s">
        <v>737</v>
      </c>
      <c r="I171" s="286">
        <v>305023</v>
      </c>
      <c r="J171" s="286" t="s">
        <v>1277</v>
      </c>
      <c r="K171" s="286">
        <v>1</v>
      </c>
      <c r="L171" s="287" t="s">
        <v>1828</v>
      </c>
    </row>
    <row r="172" spans="1:12">
      <c r="B172" s="283">
        <v>1001</v>
      </c>
      <c r="C172" s="286">
        <v>305034</v>
      </c>
      <c r="D172" s="10" t="s">
        <v>737</v>
      </c>
      <c r="I172" s="286">
        <v>305034</v>
      </c>
      <c r="J172" s="286" t="s">
        <v>222</v>
      </c>
      <c r="K172" s="286">
        <v>1</v>
      </c>
      <c r="L172" s="287" t="s">
        <v>1828</v>
      </c>
    </row>
    <row r="173" spans="1:12">
      <c r="B173" s="283">
        <v>1001</v>
      </c>
      <c r="C173" s="286">
        <v>305035</v>
      </c>
      <c r="D173" s="10" t="s">
        <v>737</v>
      </c>
      <c r="I173" s="286">
        <v>305035</v>
      </c>
      <c r="J173" s="286" t="s">
        <v>227</v>
      </c>
      <c r="K173" s="286">
        <v>1</v>
      </c>
      <c r="L173" s="287" t="s">
        <v>1828</v>
      </c>
    </row>
    <row r="174" spans="1:12">
      <c r="B174" s="283">
        <v>1001</v>
      </c>
      <c r="C174" s="286">
        <v>305036</v>
      </c>
      <c r="D174" s="10" t="s">
        <v>737</v>
      </c>
      <c r="I174" s="286">
        <v>305036</v>
      </c>
      <c r="J174" s="286" t="s">
        <v>232</v>
      </c>
      <c r="K174" s="286">
        <v>1</v>
      </c>
      <c r="L174" s="287" t="s">
        <v>1828</v>
      </c>
    </row>
    <row r="175" spans="1:12">
      <c r="B175" s="283">
        <v>1001</v>
      </c>
      <c r="C175" s="286">
        <v>305039</v>
      </c>
      <c r="D175" s="10" t="s">
        <v>737</v>
      </c>
      <c r="I175" s="286">
        <v>305039</v>
      </c>
      <c r="J175" s="286" t="s">
        <v>1829</v>
      </c>
      <c r="K175" s="286">
        <v>1</v>
      </c>
      <c r="L175" s="287" t="s">
        <v>1828</v>
      </c>
    </row>
    <row r="176" spans="1:12">
      <c r="B176" s="283">
        <v>1001</v>
      </c>
      <c r="C176" s="286">
        <v>305040</v>
      </c>
      <c r="D176" s="10" t="s">
        <v>737</v>
      </c>
      <c r="I176" s="286">
        <v>305040</v>
      </c>
      <c r="J176" s="286" t="s">
        <v>277</v>
      </c>
      <c r="K176" s="286">
        <v>1</v>
      </c>
      <c r="L176" s="287" t="s">
        <v>1828</v>
      </c>
    </row>
    <row r="177" spans="2:12">
      <c r="B177" s="283">
        <v>1001</v>
      </c>
      <c r="C177" s="286">
        <v>305200</v>
      </c>
      <c r="D177" s="10" t="s">
        <v>737</v>
      </c>
      <c r="I177" s="286">
        <v>305200</v>
      </c>
      <c r="J177" s="286" t="s">
        <v>313</v>
      </c>
      <c r="K177" s="286">
        <v>1</v>
      </c>
      <c r="L177" s="287" t="s">
        <v>1828</v>
      </c>
    </row>
    <row r="178" spans="2:12">
      <c r="B178" s="283">
        <v>1001</v>
      </c>
      <c r="C178" s="288">
        <v>305224</v>
      </c>
      <c r="D178" s="10" t="s">
        <v>737</v>
      </c>
      <c r="I178" s="288">
        <v>305224</v>
      </c>
      <c r="J178" s="10" t="s">
        <v>1890</v>
      </c>
      <c r="K178" s="286">
        <v>1</v>
      </c>
      <c r="L178" s="287" t="s">
        <v>1828</v>
      </c>
    </row>
    <row r="179" spans="2:12">
      <c r="B179" s="283">
        <v>1001</v>
      </c>
      <c r="C179" s="288">
        <v>305225</v>
      </c>
      <c r="D179" s="10" t="s">
        <v>737</v>
      </c>
      <c r="I179" s="288">
        <v>305225</v>
      </c>
      <c r="J179" s="10" t="s">
        <v>1888</v>
      </c>
      <c r="K179" s="286">
        <v>1</v>
      </c>
      <c r="L179" s="287" t="s">
        <v>1828</v>
      </c>
    </row>
    <row r="180" spans="2:12">
      <c r="B180" s="283">
        <v>1001</v>
      </c>
      <c r="C180" s="288">
        <v>305226</v>
      </c>
      <c r="D180" s="10" t="s">
        <v>737</v>
      </c>
      <c r="I180" s="288">
        <v>305226</v>
      </c>
      <c r="J180" s="10" t="s">
        <v>1891</v>
      </c>
      <c r="K180" s="286">
        <v>1</v>
      </c>
      <c r="L180" s="287" t="s">
        <v>1828</v>
      </c>
    </row>
    <row r="181" spans="2:12">
      <c r="B181" s="283">
        <v>1001</v>
      </c>
      <c r="C181" s="289">
        <v>305010</v>
      </c>
      <c r="D181" s="10" t="s">
        <v>737</v>
      </c>
      <c r="I181" s="289">
        <v>305010</v>
      </c>
      <c r="J181" s="289" t="s">
        <v>1223</v>
      </c>
      <c r="K181" s="289">
        <v>2</v>
      </c>
      <c r="L181" s="290" t="s">
        <v>1830</v>
      </c>
    </row>
    <row r="182" spans="2:12">
      <c r="B182" s="283">
        <v>1001</v>
      </c>
      <c r="C182" s="289">
        <v>305021</v>
      </c>
      <c r="D182" s="10" t="s">
        <v>737</v>
      </c>
      <c r="I182" s="289">
        <v>305021</v>
      </c>
      <c r="J182" s="289" t="s">
        <v>1270</v>
      </c>
      <c r="K182" s="289">
        <v>2</v>
      </c>
      <c r="L182" s="290" t="s">
        <v>1830</v>
      </c>
    </row>
    <row r="183" spans="2:12">
      <c r="B183" s="283">
        <v>1001</v>
      </c>
      <c r="C183" s="289">
        <v>305022</v>
      </c>
      <c r="D183" s="10" t="s">
        <v>737</v>
      </c>
      <c r="I183" s="289">
        <v>305022</v>
      </c>
      <c r="J183" s="289" t="s">
        <v>1273</v>
      </c>
      <c r="K183" s="289">
        <v>2</v>
      </c>
      <c r="L183" s="290" t="s">
        <v>1830</v>
      </c>
    </row>
    <row r="184" spans="2:12">
      <c r="B184" s="283">
        <v>1001</v>
      </c>
      <c r="C184" s="289">
        <v>305032</v>
      </c>
      <c r="D184" s="10" t="s">
        <v>737</v>
      </c>
      <c r="I184" s="289">
        <v>305032</v>
      </c>
      <c r="J184" s="289" t="s">
        <v>213</v>
      </c>
      <c r="K184" s="289">
        <v>2</v>
      </c>
      <c r="L184" s="290" t="s">
        <v>1830</v>
      </c>
    </row>
    <row r="185" spans="2:12">
      <c r="B185" s="283">
        <v>1001</v>
      </c>
      <c r="C185" s="289">
        <v>305033</v>
      </c>
      <c r="D185" s="10" t="s">
        <v>737</v>
      </c>
      <c r="I185" s="289">
        <v>305033</v>
      </c>
      <c r="J185" s="289" t="s">
        <v>217</v>
      </c>
      <c r="K185" s="289">
        <v>2</v>
      </c>
      <c r="L185" s="290" t="s">
        <v>1830</v>
      </c>
    </row>
    <row r="186" spans="2:12">
      <c r="B186" s="283">
        <v>1001</v>
      </c>
      <c r="C186" s="289">
        <v>305037</v>
      </c>
      <c r="D186" s="10" t="s">
        <v>737</v>
      </c>
      <c r="I186" s="289">
        <v>305037</v>
      </c>
      <c r="J186" s="289" t="s">
        <v>264</v>
      </c>
      <c r="K186" s="289">
        <v>2</v>
      </c>
      <c r="L186" s="290" t="s">
        <v>1830</v>
      </c>
    </row>
    <row r="187" spans="2:12">
      <c r="B187" s="283">
        <v>1001</v>
      </c>
      <c r="C187" s="289">
        <v>305038</v>
      </c>
      <c r="D187" s="10" t="s">
        <v>737</v>
      </c>
      <c r="I187" s="289">
        <v>305038</v>
      </c>
      <c r="J187" s="289" t="s">
        <v>268</v>
      </c>
      <c r="K187" s="289">
        <v>2</v>
      </c>
      <c r="L187" s="290" t="s">
        <v>1830</v>
      </c>
    </row>
    <row r="188" spans="2:12">
      <c r="B188" s="283">
        <v>1001</v>
      </c>
      <c r="C188" s="289">
        <v>305300</v>
      </c>
      <c r="D188" s="10" t="s">
        <v>737</v>
      </c>
      <c r="I188" s="289">
        <v>305300</v>
      </c>
      <c r="J188" s="289" t="s">
        <v>318</v>
      </c>
      <c r="K188" s="289">
        <v>2</v>
      </c>
      <c r="L188" s="290" t="s">
        <v>1830</v>
      </c>
    </row>
    <row r="189" spans="2:12">
      <c r="B189" s="283">
        <v>1001</v>
      </c>
      <c r="C189" s="288">
        <v>305324</v>
      </c>
      <c r="D189" s="10" t="s">
        <v>737</v>
      </c>
      <c r="I189" s="288">
        <v>305324</v>
      </c>
      <c r="J189" s="10" t="s">
        <v>1887</v>
      </c>
      <c r="K189" s="289">
        <v>2</v>
      </c>
      <c r="L189" s="290" t="s">
        <v>1830</v>
      </c>
    </row>
    <row r="190" spans="2:12">
      <c r="B190" s="283">
        <v>1001</v>
      </c>
      <c r="C190" s="288">
        <v>305325</v>
      </c>
      <c r="D190" s="10" t="s">
        <v>737</v>
      </c>
      <c r="I190" s="288">
        <v>305325</v>
      </c>
      <c r="J190" s="10" t="s">
        <v>1888</v>
      </c>
      <c r="K190" s="289">
        <v>2</v>
      </c>
      <c r="L190" s="290" t="s">
        <v>1830</v>
      </c>
    </row>
    <row r="191" spans="2:12">
      <c r="B191" s="283">
        <v>1001</v>
      </c>
      <c r="C191" s="288">
        <v>305326</v>
      </c>
      <c r="D191" s="10" t="s">
        <v>737</v>
      </c>
      <c r="I191" s="288">
        <v>305326</v>
      </c>
      <c r="J191" s="10" t="s">
        <v>1889</v>
      </c>
      <c r="K191" s="289">
        <v>2</v>
      </c>
      <c r="L191" s="290" t="s">
        <v>1830</v>
      </c>
    </row>
    <row r="192" spans="2:12">
      <c r="B192" s="283">
        <v>1001</v>
      </c>
      <c r="C192" s="291">
        <v>305001</v>
      </c>
      <c r="D192" s="10" t="s">
        <v>737</v>
      </c>
      <c r="I192" s="291">
        <v>305001</v>
      </c>
      <c r="J192" s="291" t="s">
        <v>176</v>
      </c>
      <c r="K192" s="291">
        <v>0</v>
      </c>
      <c r="L192" s="292" t="s">
        <v>1827</v>
      </c>
    </row>
    <row r="193" spans="2:22">
      <c r="B193" s="283">
        <v>1001</v>
      </c>
      <c r="C193" s="291">
        <v>305002</v>
      </c>
      <c r="D193" s="10" t="s">
        <v>737</v>
      </c>
      <c r="I193" s="291">
        <v>305002</v>
      </c>
      <c r="J193" s="291" t="s">
        <v>181</v>
      </c>
      <c r="K193" s="291">
        <v>0</v>
      </c>
      <c r="L193" s="292" t="s">
        <v>1827</v>
      </c>
    </row>
    <row r="194" spans="2:22">
      <c r="B194" s="283">
        <v>1001</v>
      </c>
      <c r="C194" s="291">
        <v>305003</v>
      </c>
      <c r="D194" s="10" t="s">
        <v>737</v>
      </c>
      <c r="I194" s="291">
        <v>305003</v>
      </c>
      <c r="J194" s="291" t="s">
        <v>186</v>
      </c>
      <c r="K194" s="291">
        <v>0</v>
      </c>
      <c r="L194" s="292" t="s">
        <v>1827</v>
      </c>
    </row>
    <row r="195" spans="2:22">
      <c r="B195" s="283">
        <v>1001</v>
      </c>
      <c r="C195" s="291">
        <v>305018</v>
      </c>
      <c r="D195" s="10" t="s">
        <v>737</v>
      </c>
      <c r="I195" s="291">
        <v>305018</v>
      </c>
      <c r="J195" s="291" t="s">
        <v>191</v>
      </c>
      <c r="K195" s="291">
        <v>0</v>
      </c>
      <c r="L195" s="292" t="s">
        <v>1827</v>
      </c>
    </row>
    <row r="196" spans="2:22">
      <c r="B196" s="283">
        <v>1001</v>
      </c>
      <c r="C196" s="291">
        <v>305019</v>
      </c>
      <c r="D196" s="10" t="s">
        <v>737</v>
      </c>
      <c r="I196" s="291">
        <v>305019</v>
      </c>
      <c r="J196" s="291" t="s">
        <v>196</v>
      </c>
      <c r="K196" s="291">
        <v>0</v>
      </c>
      <c r="L196" s="292" t="s">
        <v>1827</v>
      </c>
    </row>
    <row r="197" spans="2:22">
      <c r="B197" s="283">
        <v>1001</v>
      </c>
      <c r="C197" s="291">
        <v>305041</v>
      </c>
      <c r="D197" s="10" t="s">
        <v>737</v>
      </c>
      <c r="I197" s="291">
        <v>305041</v>
      </c>
      <c r="J197" s="291" t="s">
        <v>282</v>
      </c>
      <c r="K197" s="291">
        <v>0</v>
      </c>
      <c r="L197" s="292" t="s">
        <v>1827</v>
      </c>
    </row>
    <row r="198" spans="2:22">
      <c r="B198" s="283">
        <v>1001</v>
      </c>
      <c r="C198" s="291">
        <v>305042</v>
      </c>
      <c r="D198" s="10" t="s">
        <v>737</v>
      </c>
      <c r="I198" s="291">
        <v>305042</v>
      </c>
      <c r="J198" s="291" t="s">
        <v>287</v>
      </c>
      <c r="K198" s="291">
        <v>0</v>
      </c>
      <c r="L198" s="292" t="s">
        <v>1827</v>
      </c>
    </row>
    <row r="199" spans="2:22">
      <c r="B199" s="283">
        <v>1001</v>
      </c>
      <c r="C199" s="291">
        <v>305600</v>
      </c>
      <c r="D199" s="10" t="s">
        <v>737</v>
      </c>
      <c r="I199" s="291">
        <v>305600</v>
      </c>
      <c r="J199" s="291" t="s">
        <v>323</v>
      </c>
      <c r="K199" s="291">
        <v>0</v>
      </c>
      <c r="L199" s="292" t="s">
        <v>1827</v>
      </c>
    </row>
    <row r="200" spans="2:22">
      <c r="B200" s="283">
        <v>1001</v>
      </c>
      <c r="C200" s="288">
        <v>305623</v>
      </c>
      <c r="D200" s="10" t="s">
        <v>737</v>
      </c>
      <c r="I200" s="288">
        <v>305623</v>
      </c>
      <c r="J200" s="10" t="s">
        <v>1864</v>
      </c>
      <c r="K200" s="291">
        <v>0</v>
      </c>
      <c r="L200" s="292" t="s">
        <v>1827</v>
      </c>
    </row>
    <row r="201" spans="2:22">
      <c r="B201" s="283">
        <v>1001</v>
      </c>
      <c r="C201" s="288">
        <v>305624</v>
      </c>
      <c r="D201" s="10" t="s">
        <v>737</v>
      </c>
      <c r="I201" s="288">
        <v>305624</v>
      </c>
      <c r="J201" s="10" t="s">
        <v>1865</v>
      </c>
      <c r="K201" s="291">
        <v>0</v>
      </c>
      <c r="L201" s="292" t="s">
        <v>1827</v>
      </c>
    </row>
    <row r="202" spans="2:22">
      <c r="B202" s="283">
        <v>1001</v>
      </c>
      <c r="C202" s="288">
        <v>305625</v>
      </c>
      <c r="D202" s="10" t="s">
        <v>737</v>
      </c>
      <c r="I202" s="288">
        <v>305625</v>
      </c>
      <c r="J202" s="10" t="s">
        <v>1866</v>
      </c>
      <c r="K202" s="291">
        <v>0</v>
      </c>
      <c r="L202" s="292" t="s">
        <v>1827</v>
      </c>
    </row>
    <row r="203" spans="2:22">
      <c r="B203" s="283">
        <v>1001</v>
      </c>
      <c r="C203" s="288">
        <v>305626</v>
      </c>
      <c r="D203" s="10" t="s">
        <v>737</v>
      </c>
      <c r="I203" s="288">
        <v>305626</v>
      </c>
      <c r="J203" s="10" t="s">
        <v>1867</v>
      </c>
      <c r="K203" s="291">
        <v>0</v>
      </c>
      <c r="L203" s="292" t="s">
        <v>1827</v>
      </c>
    </row>
    <row r="204" spans="2:22">
      <c r="B204" s="283">
        <v>1001</v>
      </c>
      <c r="C204" s="293">
        <v>305012</v>
      </c>
      <c r="D204" s="10" t="s">
        <v>737</v>
      </c>
      <c r="I204" s="293">
        <v>305012</v>
      </c>
      <c r="J204" s="293" t="s">
        <v>1230</v>
      </c>
      <c r="K204" s="293">
        <v>6</v>
      </c>
      <c r="L204" s="294" t="s">
        <v>1833</v>
      </c>
    </row>
    <row r="205" spans="2:22">
      <c r="B205" s="283">
        <v>1001</v>
      </c>
      <c r="C205" s="293">
        <v>305013</v>
      </c>
      <c r="D205" s="10" t="s">
        <v>737</v>
      </c>
      <c r="I205" s="293">
        <v>305013</v>
      </c>
      <c r="J205" s="293" t="s">
        <v>1237</v>
      </c>
      <c r="K205" s="293">
        <v>6</v>
      </c>
      <c r="L205" s="294" t="s">
        <v>1833</v>
      </c>
    </row>
    <row r="206" spans="2:22">
      <c r="B206" s="283">
        <v>1001</v>
      </c>
      <c r="C206" s="293">
        <v>305014</v>
      </c>
      <c r="D206" s="10" t="s">
        <v>737</v>
      </c>
      <c r="I206" s="293">
        <v>305014</v>
      </c>
      <c r="J206" s="293" t="s">
        <v>1241</v>
      </c>
      <c r="K206" s="293">
        <v>6</v>
      </c>
      <c r="L206" s="294" t="s">
        <v>1833</v>
      </c>
    </row>
    <row r="207" spans="2:22" s="285" customFormat="1">
      <c r="B207" s="283">
        <v>1001</v>
      </c>
      <c r="C207" s="293">
        <v>305046</v>
      </c>
      <c r="D207" s="285" t="s">
        <v>737</v>
      </c>
      <c r="G207" s="10"/>
      <c r="H207" s="10"/>
      <c r="I207" s="293">
        <v>305046</v>
      </c>
      <c r="J207" s="293" t="s">
        <v>309</v>
      </c>
      <c r="K207" s="293">
        <v>6</v>
      </c>
      <c r="L207" s="294" t="s">
        <v>1833</v>
      </c>
      <c r="M207" s="10"/>
      <c r="R207" s="10"/>
      <c r="S207" s="10"/>
      <c r="T207" s="10"/>
      <c r="U207" s="10"/>
      <c r="V207" s="10"/>
    </row>
    <row r="208" spans="2:22">
      <c r="B208" s="283">
        <v>1001</v>
      </c>
      <c r="C208" s="288">
        <v>305815</v>
      </c>
      <c r="D208" s="10" t="s">
        <v>737</v>
      </c>
      <c r="I208" s="288">
        <v>305815</v>
      </c>
      <c r="J208" s="10" t="s">
        <v>1868</v>
      </c>
      <c r="K208" s="293">
        <v>6</v>
      </c>
      <c r="L208" s="294" t="s">
        <v>1833</v>
      </c>
    </row>
    <row r="209" spans="2:22">
      <c r="B209" s="283">
        <v>1001</v>
      </c>
      <c r="C209" s="288">
        <v>305816</v>
      </c>
      <c r="D209" s="10" t="s">
        <v>737</v>
      </c>
      <c r="I209" s="288">
        <v>305816</v>
      </c>
      <c r="J209" s="10" t="s">
        <v>1869</v>
      </c>
      <c r="K209" s="293">
        <v>6</v>
      </c>
      <c r="L209" s="294" t="s">
        <v>1833</v>
      </c>
    </row>
    <row r="210" spans="2:22">
      <c r="B210" s="283">
        <v>1001</v>
      </c>
      <c r="C210" s="288">
        <v>305817</v>
      </c>
      <c r="D210" s="10" t="s">
        <v>737</v>
      </c>
      <c r="I210" s="288">
        <v>305817</v>
      </c>
      <c r="J210" s="10" t="s">
        <v>1870</v>
      </c>
      <c r="K210" s="293">
        <v>6</v>
      </c>
      <c r="L210" s="294" t="s">
        <v>1833</v>
      </c>
    </row>
    <row r="211" spans="2:22" s="285" customFormat="1">
      <c r="B211" s="283">
        <v>1001</v>
      </c>
      <c r="C211" s="288">
        <v>305818</v>
      </c>
      <c r="D211" s="285" t="s">
        <v>737</v>
      </c>
      <c r="G211" s="10"/>
      <c r="H211" s="10"/>
      <c r="I211" s="288">
        <v>305818</v>
      </c>
      <c r="J211" s="10" t="s">
        <v>1871</v>
      </c>
      <c r="K211" s="293">
        <v>6</v>
      </c>
      <c r="L211" s="294" t="s">
        <v>1833</v>
      </c>
      <c r="M211" s="10"/>
      <c r="R211" s="10"/>
      <c r="S211" s="10"/>
      <c r="T211" s="10"/>
      <c r="U211" s="10"/>
      <c r="V211" s="10"/>
    </row>
    <row r="212" spans="2:22">
      <c r="B212" s="283">
        <v>1001</v>
      </c>
      <c r="C212" s="288">
        <v>305819</v>
      </c>
      <c r="D212" s="10" t="s">
        <v>737</v>
      </c>
      <c r="I212" s="288">
        <v>305819</v>
      </c>
      <c r="J212" s="10" t="s">
        <v>1872</v>
      </c>
      <c r="K212" s="293">
        <v>6</v>
      </c>
      <c r="L212" s="294" t="s">
        <v>1833</v>
      </c>
    </row>
    <row r="213" spans="2:22" s="285" customFormat="1">
      <c r="B213" s="283">
        <v>1001</v>
      </c>
      <c r="C213" s="288">
        <v>305820</v>
      </c>
      <c r="D213" s="285" t="s">
        <v>737</v>
      </c>
      <c r="G213" s="10"/>
      <c r="H213" s="10"/>
      <c r="I213" s="288">
        <v>305820</v>
      </c>
      <c r="J213" s="10" t="s">
        <v>1873</v>
      </c>
      <c r="K213" s="293">
        <v>6</v>
      </c>
      <c r="L213" s="294" t="s">
        <v>1833</v>
      </c>
      <c r="M213" s="10"/>
      <c r="R213" s="10"/>
      <c r="S213" s="10"/>
      <c r="T213" s="10"/>
      <c r="U213" s="10"/>
      <c r="V213" s="10"/>
    </row>
    <row r="214" spans="2:22">
      <c r="B214" s="283">
        <v>1001</v>
      </c>
      <c r="C214" s="295">
        <v>305015</v>
      </c>
      <c r="D214" s="10" t="s">
        <v>737</v>
      </c>
      <c r="I214" s="295">
        <v>305015</v>
      </c>
      <c r="J214" s="295" t="s">
        <v>1245</v>
      </c>
      <c r="K214" s="295">
        <v>7</v>
      </c>
      <c r="L214" s="296" t="s">
        <v>538</v>
      </c>
    </row>
    <row r="215" spans="2:22">
      <c r="B215" s="283">
        <v>1001</v>
      </c>
      <c r="C215" s="295">
        <v>305016</v>
      </c>
      <c r="D215" s="10" t="s">
        <v>737</v>
      </c>
      <c r="I215" s="295">
        <v>305016</v>
      </c>
      <c r="J215" s="295" t="s">
        <v>1251</v>
      </c>
      <c r="K215" s="295">
        <v>7</v>
      </c>
      <c r="L215" s="296" t="s">
        <v>538</v>
      </c>
    </row>
    <row r="216" spans="2:22">
      <c r="B216" s="283">
        <v>1001</v>
      </c>
      <c r="C216" s="295">
        <v>305017</v>
      </c>
      <c r="D216" s="10" t="s">
        <v>737</v>
      </c>
      <c r="I216" s="295">
        <v>305017</v>
      </c>
      <c r="J216" s="295" t="s">
        <v>1255</v>
      </c>
      <c r="K216" s="295">
        <v>7</v>
      </c>
      <c r="L216" s="296" t="s">
        <v>538</v>
      </c>
    </row>
    <row r="217" spans="2:22">
      <c r="B217" s="283">
        <v>1001</v>
      </c>
      <c r="C217" s="295">
        <v>305700</v>
      </c>
      <c r="D217" s="10" t="s">
        <v>737</v>
      </c>
      <c r="I217" s="295">
        <v>305700</v>
      </c>
      <c r="J217" s="295" t="s">
        <v>328</v>
      </c>
      <c r="K217" s="295">
        <v>7</v>
      </c>
      <c r="L217" s="296" t="s">
        <v>538</v>
      </c>
    </row>
    <row r="218" spans="2:22">
      <c r="B218" s="283">
        <v>1001</v>
      </c>
      <c r="C218" s="288">
        <v>305719</v>
      </c>
      <c r="D218" s="10" t="s">
        <v>737</v>
      </c>
      <c r="I218" s="288">
        <v>305719</v>
      </c>
      <c r="J218" s="10" t="s">
        <v>1874</v>
      </c>
      <c r="K218" s="295">
        <v>7</v>
      </c>
      <c r="L218" s="296" t="s">
        <v>538</v>
      </c>
    </row>
    <row r="219" spans="2:22">
      <c r="B219" s="283">
        <v>1001</v>
      </c>
      <c r="C219" s="288">
        <v>305720</v>
      </c>
      <c r="D219" s="10" t="s">
        <v>737</v>
      </c>
      <c r="I219" s="288">
        <v>305720</v>
      </c>
      <c r="J219" s="10" t="s">
        <v>1875</v>
      </c>
      <c r="K219" s="295">
        <v>7</v>
      </c>
      <c r="L219" s="296" t="s">
        <v>538</v>
      </c>
    </row>
    <row r="220" spans="2:22">
      <c r="B220" s="283">
        <v>1001</v>
      </c>
      <c r="C220" s="288">
        <v>305721</v>
      </c>
      <c r="D220" s="10" t="s">
        <v>737</v>
      </c>
      <c r="I220" s="288">
        <v>305721</v>
      </c>
      <c r="J220" s="10" t="s">
        <v>1876</v>
      </c>
      <c r="K220" s="295">
        <v>7</v>
      </c>
      <c r="L220" s="296" t="s">
        <v>538</v>
      </c>
    </row>
    <row r="221" spans="2:22">
      <c r="B221" s="283">
        <v>1001</v>
      </c>
      <c r="C221" s="288">
        <v>305722</v>
      </c>
      <c r="D221" s="10" t="s">
        <v>737</v>
      </c>
      <c r="I221" s="288">
        <v>305722</v>
      </c>
      <c r="J221" s="10" t="s">
        <v>1877</v>
      </c>
      <c r="K221" s="295">
        <v>7</v>
      </c>
      <c r="L221" s="296" t="s">
        <v>538</v>
      </c>
    </row>
    <row r="222" spans="2:22">
      <c r="B222" s="283">
        <v>1001</v>
      </c>
      <c r="C222" s="288">
        <v>305723</v>
      </c>
      <c r="D222" s="10" t="s">
        <v>737</v>
      </c>
      <c r="I222" s="288">
        <v>305723</v>
      </c>
      <c r="J222" s="10" t="s">
        <v>1878</v>
      </c>
      <c r="K222" s="295">
        <v>7</v>
      </c>
      <c r="L222" s="296" t="s">
        <v>538</v>
      </c>
    </row>
    <row r="223" spans="2:22">
      <c r="B223" s="283">
        <v>1001</v>
      </c>
      <c r="C223" s="288">
        <v>305724</v>
      </c>
      <c r="D223" s="10" t="s">
        <v>737</v>
      </c>
      <c r="I223" s="288">
        <v>305724</v>
      </c>
      <c r="J223" s="10" t="s">
        <v>1879</v>
      </c>
      <c r="K223" s="295">
        <v>7</v>
      </c>
      <c r="L223" s="296" t="s">
        <v>538</v>
      </c>
    </row>
    <row r="224" spans="2:22">
      <c r="B224" s="283">
        <v>1001</v>
      </c>
      <c r="C224" s="297">
        <v>305011</v>
      </c>
      <c r="D224" s="10" t="s">
        <v>737</v>
      </c>
      <c r="I224" s="297">
        <v>305011</v>
      </c>
      <c r="J224" s="297" t="s">
        <v>161</v>
      </c>
      <c r="K224" s="297">
        <v>3</v>
      </c>
      <c r="L224" s="298" t="s">
        <v>1831</v>
      </c>
    </row>
    <row r="225" spans="1:22">
      <c r="B225" s="283">
        <v>1001</v>
      </c>
      <c r="C225" s="299">
        <v>305025</v>
      </c>
      <c r="D225" s="10" t="s">
        <v>737</v>
      </c>
      <c r="I225" s="299">
        <v>305025</v>
      </c>
      <c r="J225" s="299" t="s">
        <v>200</v>
      </c>
      <c r="K225" s="299">
        <v>4</v>
      </c>
      <c r="L225" s="300" t="s">
        <v>1832</v>
      </c>
    </row>
    <row r="226" spans="1:22" s="285" customFormat="1">
      <c r="A226" s="10"/>
      <c r="B226" s="283">
        <v>1001</v>
      </c>
      <c r="C226" s="299">
        <v>305026</v>
      </c>
      <c r="D226" s="10" t="s">
        <v>737</v>
      </c>
      <c r="E226" s="10"/>
      <c r="F226" s="10"/>
      <c r="G226" s="10"/>
      <c r="H226" s="10"/>
      <c r="I226" s="299">
        <v>305026</v>
      </c>
      <c r="J226" s="299" t="s">
        <v>204</v>
      </c>
      <c r="K226" s="299">
        <v>4</v>
      </c>
      <c r="L226" s="300" t="s">
        <v>1832</v>
      </c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spans="1:22" s="285" customFormat="1">
      <c r="A227" s="10"/>
      <c r="B227" s="283">
        <v>1001</v>
      </c>
      <c r="C227" s="299">
        <v>305050</v>
      </c>
      <c r="D227" s="10" t="s">
        <v>737</v>
      </c>
      <c r="E227" s="10"/>
      <c r="F227" s="10"/>
      <c r="G227" s="10"/>
      <c r="H227" s="10"/>
      <c r="I227" s="299">
        <v>305050</v>
      </c>
      <c r="J227" s="299" t="s">
        <v>300</v>
      </c>
      <c r="K227" s="299">
        <v>4</v>
      </c>
      <c r="L227" s="300" t="s">
        <v>1832</v>
      </c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spans="1:22" s="285" customFormat="1">
      <c r="A228" s="10"/>
      <c r="B228" s="283">
        <v>1001</v>
      </c>
      <c r="C228" s="299">
        <v>305051</v>
      </c>
      <c r="D228" s="10" t="s">
        <v>737</v>
      </c>
      <c r="E228" s="10"/>
      <c r="F228" s="10"/>
      <c r="G228" s="10"/>
      <c r="H228" s="10"/>
      <c r="I228" s="299">
        <v>305051</v>
      </c>
      <c r="J228" s="299" t="s">
        <v>340</v>
      </c>
      <c r="K228" s="299">
        <v>4</v>
      </c>
      <c r="L228" s="300" t="s">
        <v>1832</v>
      </c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spans="1:22">
      <c r="B229" s="283">
        <v>1001</v>
      </c>
      <c r="C229" s="288">
        <v>305055</v>
      </c>
      <c r="D229" s="10" t="s">
        <v>737</v>
      </c>
      <c r="I229" s="288">
        <v>305055</v>
      </c>
      <c r="J229" s="10" t="s">
        <v>1880</v>
      </c>
      <c r="K229" s="299">
        <v>4</v>
      </c>
      <c r="L229" s="300" t="s">
        <v>1832</v>
      </c>
    </row>
    <row r="230" spans="1:22" s="285" customFormat="1">
      <c r="A230" s="10"/>
      <c r="B230" s="283">
        <v>1001</v>
      </c>
      <c r="C230" s="288">
        <v>305056</v>
      </c>
      <c r="D230" s="10" t="s">
        <v>737</v>
      </c>
      <c r="E230" s="10"/>
      <c r="F230" s="10"/>
      <c r="G230" s="10"/>
      <c r="H230" s="10"/>
      <c r="I230" s="288">
        <v>305056</v>
      </c>
      <c r="J230" s="10" t="s">
        <v>1881</v>
      </c>
      <c r="K230" s="299">
        <v>4</v>
      </c>
      <c r="L230" s="300" t="s">
        <v>1832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5" customFormat="1">
      <c r="A231" s="10"/>
      <c r="B231" s="283">
        <v>1001</v>
      </c>
      <c r="C231" s="288">
        <v>306104</v>
      </c>
      <c r="D231" s="10" t="s">
        <v>737</v>
      </c>
      <c r="E231" s="10"/>
      <c r="F231" s="10"/>
      <c r="G231" s="10"/>
      <c r="H231" s="10"/>
      <c r="I231" s="288">
        <v>306104</v>
      </c>
      <c r="J231" s="10" t="s">
        <v>1882</v>
      </c>
      <c r="K231" s="299">
        <v>4</v>
      </c>
      <c r="L231" s="300" t="s">
        <v>1886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5" customFormat="1">
      <c r="A232" s="10"/>
      <c r="B232" s="283">
        <v>1001</v>
      </c>
      <c r="C232" s="288">
        <v>306105</v>
      </c>
      <c r="D232" s="10" t="s">
        <v>737</v>
      </c>
      <c r="E232" s="10"/>
      <c r="F232" s="10"/>
      <c r="G232" s="10"/>
      <c r="H232" s="10"/>
      <c r="I232" s="288">
        <v>306105</v>
      </c>
      <c r="J232" s="10" t="s">
        <v>1883</v>
      </c>
      <c r="K232" s="299">
        <v>4</v>
      </c>
      <c r="L232" s="300" t="s">
        <v>1886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 s="285" customFormat="1">
      <c r="A233" s="10"/>
      <c r="B233" s="283">
        <v>1001</v>
      </c>
      <c r="C233" s="288">
        <v>306106</v>
      </c>
      <c r="D233" s="10" t="s">
        <v>737</v>
      </c>
      <c r="E233" s="10"/>
      <c r="F233" s="10"/>
      <c r="G233" s="10"/>
      <c r="H233" s="10"/>
      <c r="I233" s="288">
        <v>306106</v>
      </c>
      <c r="J233" s="10" t="s">
        <v>1884</v>
      </c>
      <c r="K233" s="299">
        <v>4</v>
      </c>
      <c r="L233" s="300" t="s">
        <v>1886</v>
      </c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spans="1:22" s="285" customFormat="1">
      <c r="A234" s="10"/>
      <c r="B234" s="283">
        <v>1001</v>
      </c>
      <c r="C234" s="288">
        <v>306107</v>
      </c>
      <c r="D234" s="10" t="s">
        <v>737</v>
      </c>
      <c r="E234" s="10"/>
      <c r="F234" s="10"/>
      <c r="G234" s="10"/>
      <c r="H234" s="10"/>
      <c r="I234" s="288">
        <v>306107</v>
      </c>
      <c r="J234" s="10" t="s">
        <v>1885</v>
      </c>
      <c r="K234" s="299">
        <v>4</v>
      </c>
      <c r="L234" s="300" t="s">
        <v>1886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>
      <c r="B235" s="283">
        <v>1001</v>
      </c>
      <c r="C235" s="282">
        <v>303012</v>
      </c>
      <c r="D235" s="301" t="s">
        <v>38</v>
      </c>
    </row>
    <row r="236" spans="1:22">
      <c r="B236" s="283">
        <v>1001</v>
      </c>
      <c r="C236" s="282">
        <v>303013</v>
      </c>
      <c r="D236" s="301" t="s">
        <v>38</v>
      </c>
    </row>
    <row r="237" spans="1:22">
      <c r="B237" s="283">
        <v>1001</v>
      </c>
      <c r="C237" s="282">
        <v>303022</v>
      </c>
      <c r="D237" s="301" t="s">
        <v>38</v>
      </c>
    </row>
    <row r="238" spans="1:22">
      <c r="B238" s="283">
        <v>1001</v>
      </c>
      <c r="C238" s="282">
        <v>303023</v>
      </c>
      <c r="D238" s="301" t="s">
        <v>38</v>
      </c>
    </row>
    <row r="239" spans="1:22">
      <c r="B239" s="283">
        <v>1001</v>
      </c>
      <c r="C239" s="282">
        <v>303032</v>
      </c>
      <c r="D239" s="301" t="s">
        <v>38</v>
      </c>
    </row>
    <row r="240" spans="1:22">
      <c r="B240" s="283">
        <v>1001</v>
      </c>
      <c r="C240" s="282">
        <v>303033</v>
      </c>
      <c r="D240" s="301" t="s">
        <v>38</v>
      </c>
    </row>
    <row r="241" spans="2:4">
      <c r="B241" s="283">
        <v>1001</v>
      </c>
      <c r="C241" s="282">
        <v>303042</v>
      </c>
      <c r="D241" s="301" t="s">
        <v>38</v>
      </c>
    </row>
    <row r="242" spans="2:4">
      <c r="B242" s="283">
        <v>1001</v>
      </c>
      <c r="C242" s="282">
        <v>303043</v>
      </c>
      <c r="D242" s="301" t="s">
        <v>38</v>
      </c>
    </row>
    <row r="243" spans="2:4">
      <c r="B243" s="283">
        <v>1001</v>
      </c>
      <c r="C243" s="282">
        <v>303052</v>
      </c>
      <c r="D243" s="301" t="s">
        <v>38</v>
      </c>
    </row>
    <row r="244" spans="2:4">
      <c r="B244" s="283">
        <v>1001</v>
      </c>
      <c r="C244" s="282">
        <v>303053</v>
      </c>
      <c r="D244" s="301" t="s">
        <v>38</v>
      </c>
    </row>
    <row r="245" spans="2:4">
      <c r="B245" s="283">
        <v>1001</v>
      </c>
      <c r="C245" s="282">
        <v>303062</v>
      </c>
      <c r="D245" s="301" t="s">
        <v>38</v>
      </c>
    </row>
    <row r="246" spans="2:4">
      <c r="B246" s="283">
        <v>1001</v>
      </c>
      <c r="C246" s="282">
        <v>303063</v>
      </c>
      <c r="D246" s="301" t="s">
        <v>38</v>
      </c>
    </row>
    <row r="247" spans="2:4">
      <c r="B247" s="283">
        <v>1001</v>
      </c>
      <c r="C247" s="282">
        <v>303072</v>
      </c>
      <c r="D247" s="301" t="s">
        <v>38</v>
      </c>
    </row>
    <row r="248" spans="2:4">
      <c r="B248" s="283">
        <v>1001</v>
      </c>
      <c r="C248" s="282">
        <v>303073</v>
      </c>
      <c r="D248" s="301" t="s">
        <v>38</v>
      </c>
    </row>
    <row r="249" spans="2:4">
      <c r="B249" s="283">
        <v>1001</v>
      </c>
      <c r="C249" s="282">
        <v>303082</v>
      </c>
      <c r="D249" s="301" t="s">
        <v>38</v>
      </c>
    </row>
    <row r="250" spans="2:4">
      <c r="B250" s="283">
        <v>1001</v>
      </c>
      <c r="C250" s="282">
        <v>303083</v>
      </c>
      <c r="D250" s="301" t="s">
        <v>38</v>
      </c>
    </row>
    <row r="251" spans="2:4">
      <c r="B251" s="283">
        <v>1002</v>
      </c>
      <c r="C251" s="43">
        <v>200011</v>
      </c>
      <c r="D251" s="10" t="s">
        <v>736</v>
      </c>
    </row>
    <row r="252" spans="2:4">
      <c r="B252" s="283">
        <v>1002</v>
      </c>
      <c r="C252" s="43">
        <v>200012</v>
      </c>
      <c r="D252" s="10" t="s">
        <v>736</v>
      </c>
    </row>
    <row r="253" spans="2:4">
      <c r="B253" s="283">
        <v>1002</v>
      </c>
      <c r="C253" s="43">
        <v>200013</v>
      </c>
      <c r="D253" s="10" t="s">
        <v>736</v>
      </c>
    </row>
    <row r="254" spans="2:4">
      <c r="B254" s="283">
        <v>1002</v>
      </c>
      <c r="C254" s="43">
        <v>200014</v>
      </c>
      <c r="D254" s="10" t="s">
        <v>736</v>
      </c>
    </row>
    <row r="255" spans="2:4">
      <c r="B255" s="283">
        <v>1002</v>
      </c>
      <c r="C255" s="43">
        <v>200022</v>
      </c>
      <c r="D255" s="10" t="s">
        <v>736</v>
      </c>
    </row>
    <row r="256" spans="2:4">
      <c r="B256" s="283">
        <v>1002</v>
      </c>
      <c r="C256" s="43">
        <v>200023</v>
      </c>
      <c r="D256" s="10" t="s">
        <v>736</v>
      </c>
    </row>
    <row r="257" spans="1:4">
      <c r="B257" s="283">
        <v>1002</v>
      </c>
      <c r="C257" s="43">
        <v>200025</v>
      </c>
      <c r="D257" s="10" t="s">
        <v>736</v>
      </c>
    </row>
    <row r="258" spans="1:4">
      <c r="B258" s="283">
        <v>1002</v>
      </c>
      <c r="C258" s="43">
        <v>200027</v>
      </c>
      <c r="D258" s="10" t="s">
        <v>736</v>
      </c>
    </row>
    <row r="259" spans="1:4">
      <c r="B259" s="10">
        <v>1002</v>
      </c>
      <c r="C259" s="43">
        <v>200030</v>
      </c>
      <c r="D259" s="10" t="s">
        <v>736</v>
      </c>
    </row>
    <row r="260" spans="1:4">
      <c r="B260" s="10">
        <v>1002</v>
      </c>
      <c r="C260" s="43">
        <v>200031</v>
      </c>
      <c r="D260" s="10" t="s">
        <v>736</v>
      </c>
    </row>
    <row r="261" spans="1:4">
      <c r="B261" s="10">
        <v>1002</v>
      </c>
      <c r="C261" s="43">
        <v>200039</v>
      </c>
      <c r="D261" s="10" t="s">
        <v>736</v>
      </c>
    </row>
    <row r="262" spans="1:4">
      <c r="B262" s="10">
        <v>1002</v>
      </c>
      <c r="C262" s="43">
        <v>200045</v>
      </c>
      <c r="D262" s="10" t="s">
        <v>736</v>
      </c>
    </row>
    <row r="263" spans="1:4" ht="13.5" customHeight="1">
      <c r="B263" s="10">
        <v>1002</v>
      </c>
      <c r="C263" s="43">
        <v>200047</v>
      </c>
      <c r="D263" s="10" t="s">
        <v>736</v>
      </c>
    </row>
    <row r="264" spans="1:4" ht="13.5" customHeight="1">
      <c r="B264" s="10">
        <v>1002</v>
      </c>
      <c r="C264" s="43">
        <v>200049</v>
      </c>
      <c r="D264" s="10" t="s">
        <v>736</v>
      </c>
    </row>
    <row r="265" spans="1:4" ht="13.5" customHeight="1">
      <c r="B265" s="10">
        <v>1002</v>
      </c>
      <c r="C265" s="43">
        <v>200054</v>
      </c>
      <c r="D265" s="10" t="s">
        <v>736</v>
      </c>
    </row>
    <row r="266" spans="1:4" ht="13.5" customHeight="1">
      <c r="B266" s="10">
        <v>1002</v>
      </c>
      <c r="C266" s="43">
        <v>200060</v>
      </c>
      <c r="D266" s="10" t="s">
        <v>736</v>
      </c>
    </row>
    <row r="267" spans="1:4" ht="13.5" customHeight="1">
      <c r="B267" s="10">
        <v>1002</v>
      </c>
      <c r="C267" s="43">
        <v>200075</v>
      </c>
      <c r="D267" s="270" t="s">
        <v>1842</v>
      </c>
    </row>
    <row r="268" spans="1:4" ht="13.5" customHeight="1">
      <c r="A268" s="10" t="s">
        <v>2038</v>
      </c>
      <c r="B268" s="10">
        <v>1002</v>
      </c>
      <c r="C268" s="43">
        <v>200078</v>
      </c>
      <c r="D268" s="270" t="s">
        <v>1842</v>
      </c>
    </row>
    <row r="269" spans="1:4" ht="13.5" customHeight="1">
      <c r="A269" s="270" t="s">
        <v>1935</v>
      </c>
      <c r="B269" s="10">
        <v>1002</v>
      </c>
      <c r="C269" s="43">
        <v>200090</v>
      </c>
      <c r="D269" s="270" t="s">
        <v>1842</v>
      </c>
    </row>
    <row r="270" spans="1:4" ht="13.5" customHeight="1">
      <c r="A270" s="270" t="s">
        <v>1960</v>
      </c>
      <c r="B270" s="10">
        <v>1002</v>
      </c>
      <c r="C270" s="43">
        <v>200085</v>
      </c>
      <c r="D270" s="270" t="s">
        <v>1842</v>
      </c>
    </row>
    <row r="271" spans="1:4" ht="13.5" customHeight="1">
      <c r="A271" s="270" t="s">
        <v>2001</v>
      </c>
      <c r="B271" s="10">
        <v>1002</v>
      </c>
      <c r="C271" s="43">
        <v>200092</v>
      </c>
      <c r="D271" s="270" t="s">
        <v>1842</v>
      </c>
    </row>
    <row r="272" spans="1:4" ht="13.5" customHeight="1">
      <c r="A272" s="270" t="s">
        <v>2063</v>
      </c>
      <c r="B272" s="10">
        <v>1002</v>
      </c>
      <c r="C272" s="43">
        <v>200096</v>
      </c>
      <c r="D272" s="270" t="s">
        <v>1842</v>
      </c>
    </row>
    <row r="273" spans="2:12">
      <c r="B273" s="283">
        <v>1002</v>
      </c>
      <c r="C273" s="286">
        <v>305007</v>
      </c>
      <c r="D273" s="10" t="s">
        <v>737</v>
      </c>
      <c r="I273" s="286">
        <v>305007</v>
      </c>
      <c r="J273" s="286" t="s">
        <v>1213</v>
      </c>
      <c r="K273" s="286">
        <v>1</v>
      </c>
      <c r="L273" s="287" t="s">
        <v>1828</v>
      </c>
    </row>
    <row r="274" spans="2:12">
      <c r="B274" s="283">
        <v>1002</v>
      </c>
      <c r="C274" s="286">
        <v>305008</v>
      </c>
      <c r="D274" s="10" t="s">
        <v>737</v>
      </c>
      <c r="I274" s="286">
        <v>305008</v>
      </c>
      <c r="J274" s="286" t="s">
        <v>1217</v>
      </c>
      <c r="K274" s="286">
        <v>1</v>
      </c>
      <c r="L274" s="287" t="s">
        <v>1828</v>
      </c>
    </row>
    <row r="275" spans="2:12">
      <c r="B275" s="283">
        <v>1002</v>
      </c>
      <c r="C275" s="286">
        <v>305009</v>
      </c>
      <c r="D275" s="10" t="s">
        <v>737</v>
      </c>
      <c r="I275" s="286">
        <v>305009</v>
      </c>
      <c r="J275" s="286" t="s">
        <v>1220</v>
      </c>
      <c r="K275" s="286">
        <v>1</v>
      </c>
      <c r="L275" s="287" t="s">
        <v>1828</v>
      </c>
    </row>
    <row r="276" spans="2:12">
      <c r="B276" s="283">
        <v>1002</v>
      </c>
      <c r="C276" s="286">
        <v>305023</v>
      </c>
      <c r="D276" s="10" t="s">
        <v>737</v>
      </c>
      <c r="I276" s="286">
        <v>305023</v>
      </c>
      <c r="J276" s="286" t="s">
        <v>1277</v>
      </c>
      <c r="K276" s="286">
        <v>1</v>
      </c>
      <c r="L276" s="287" t="s">
        <v>1828</v>
      </c>
    </row>
    <row r="277" spans="2:12">
      <c r="B277" s="283">
        <v>1002</v>
      </c>
      <c r="C277" s="286">
        <v>305034</v>
      </c>
      <c r="D277" s="10" t="s">
        <v>737</v>
      </c>
      <c r="I277" s="286">
        <v>305034</v>
      </c>
      <c r="J277" s="286" t="s">
        <v>222</v>
      </c>
      <c r="K277" s="286">
        <v>1</v>
      </c>
      <c r="L277" s="287" t="s">
        <v>1828</v>
      </c>
    </row>
    <row r="278" spans="2:12">
      <c r="B278" s="283">
        <v>1002</v>
      </c>
      <c r="C278" s="286">
        <v>305035</v>
      </c>
      <c r="D278" s="10" t="s">
        <v>737</v>
      </c>
      <c r="I278" s="286">
        <v>305035</v>
      </c>
      <c r="J278" s="286" t="s">
        <v>227</v>
      </c>
      <c r="K278" s="286">
        <v>1</v>
      </c>
      <c r="L278" s="287" t="s">
        <v>1828</v>
      </c>
    </row>
    <row r="279" spans="2:12">
      <c r="B279" s="283">
        <v>1002</v>
      </c>
      <c r="C279" s="286">
        <v>305036</v>
      </c>
      <c r="D279" s="10" t="s">
        <v>737</v>
      </c>
      <c r="I279" s="286">
        <v>305036</v>
      </c>
      <c r="J279" s="286" t="s">
        <v>232</v>
      </c>
      <c r="K279" s="286">
        <v>1</v>
      </c>
      <c r="L279" s="287" t="s">
        <v>1828</v>
      </c>
    </row>
    <row r="280" spans="2:12">
      <c r="B280" s="283">
        <v>1002</v>
      </c>
      <c r="C280" s="286">
        <v>305039</v>
      </c>
      <c r="D280" s="10" t="s">
        <v>737</v>
      </c>
      <c r="I280" s="286">
        <v>305039</v>
      </c>
      <c r="J280" s="286" t="s">
        <v>1829</v>
      </c>
      <c r="K280" s="286">
        <v>1</v>
      </c>
      <c r="L280" s="287" t="s">
        <v>1828</v>
      </c>
    </row>
    <row r="281" spans="2:12">
      <c r="B281" s="283">
        <v>1002</v>
      </c>
      <c r="C281" s="286">
        <v>305040</v>
      </c>
      <c r="D281" s="10" t="s">
        <v>737</v>
      </c>
      <c r="I281" s="286">
        <v>305040</v>
      </c>
      <c r="J281" s="286" t="s">
        <v>277</v>
      </c>
      <c r="K281" s="286">
        <v>1</v>
      </c>
      <c r="L281" s="287" t="s">
        <v>1828</v>
      </c>
    </row>
    <row r="282" spans="2:12">
      <c r="B282" s="283">
        <v>1002</v>
      </c>
      <c r="C282" s="286">
        <v>305200</v>
      </c>
      <c r="D282" s="10" t="s">
        <v>737</v>
      </c>
      <c r="I282" s="286">
        <v>305200</v>
      </c>
      <c r="J282" s="286" t="s">
        <v>313</v>
      </c>
      <c r="K282" s="286">
        <v>1</v>
      </c>
      <c r="L282" s="287" t="s">
        <v>1828</v>
      </c>
    </row>
    <row r="283" spans="2:12">
      <c r="B283" s="283">
        <v>1002</v>
      </c>
      <c r="C283" s="288">
        <v>305224</v>
      </c>
      <c r="D283" s="10" t="s">
        <v>737</v>
      </c>
      <c r="I283" s="288">
        <v>305224</v>
      </c>
      <c r="J283" s="10" t="s">
        <v>1890</v>
      </c>
      <c r="K283" s="286">
        <v>1</v>
      </c>
      <c r="L283" s="287" t="s">
        <v>1828</v>
      </c>
    </row>
    <row r="284" spans="2:12">
      <c r="B284" s="283">
        <v>1002</v>
      </c>
      <c r="C284" s="288">
        <v>305225</v>
      </c>
      <c r="D284" s="10" t="s">
        <v>737</v>
      </c>
      <c r="I284" s="288">
        <v>305225</v>
      </c>
      <c r="J284" s="10" t="s">
        <v>1888</v>
      </c>
      <c r="K284" s="286">
        <v>1</v>
      </c>
      <c r="L284" s="287" t="s">
        <v>1828</v>
      </c>
    </row>
    <row r="285" spans="2:12">
      <c r="B285" s="283">
        <v>1002</v>
      </c>
      <c r="C285" s="288">
        <v>305226</v>
      </c>
      <c r="D285" s="10" t="s">
        <v>737</v>
      </c>
      <c r="I285" s="288">
        <v>305226</v>
      </c>
      <c r="J285" s="10" t="s">
        <v>1891</v>
      </c>
      <c r="K285" s="286">
        <v>1</v>
      </c>
      <c r="L285" s="287" t="s">
        <v>1828</v>
      </c>
    </row>
    <row r="286" spans="2:12">
      <c r="B286" s="283">
        <v>1002</v>
      </c>
      <c r="C286" s="289">
        <v>305010</v>
      </c>
      <c r="D286" s="10" t="s">
        <v>737</v>
      </c>
      <c r="I286" s="289">
        <v>305010</v>
      </c>
      <c r="J286" s="289" t="s">
        <v>1223</v>
      </c>
      <c r="K286" s="289">
        <v>2</v>
      </c>
      <c r="L286" s="290" t="s">
        <v>1830</v>
      </c>
    </row>
    <row r="287" spans="2:12">
      <c r="B287" s="283">
        <v>1002</v>
      </c>
      <c r="C287" s="289">
        <v>305021</v>
      </c>
      <c r="D287" s="10" t="s">
        <v>737</v>
      </c>
      <c r="I287" s="289">
        <v>305021</v>
      </c>
      <c r="J287" s="289" t="s">
        <v>1270</v>
      </c>
      <c r="K287" s="289">
        <v>2</v>
      </c>
      <c r="L287" s="290" t="s">
        <v>1830</v>
      </c>
    </row>
    <row r="288" spans="2:12">
      <c r="B288" s="283">
        <v>1002</v>
      </c>
      <c r="C288" s="289">
        <v>305022</v>
      </c>
      <c r="D288" s="10" t="s">
        <v>737</v>
      </c>
      <c r="I288" s="289">
        <v>305022</v>
      </c>
      <c r="J288" s="289" t="s">
        <v>1273</v>
      </c>
      <c r="K288" s="289">
        <v>2</v>
      </c>
      <c r="L288" s="314" t="s">
        <v>2100</v>
      </c>
    </row>
    <row r="289" spans="2:12">
      <c r="B289" s="283">
        <v>1002</v>
      </c>
      <c r="C289" s="289">
        <v>305032</v>
      </c>
      <c r="D289" s="10" t="s">
        <v>737</v>
      </c>
      <c r="I289" s="289">
        <v>305032</v>
      </c>
      <c r="J289" s="289" t="s">
        <v>213</v>
      </c>
      <c r="K289" s="289">
        <v>2</v>
      </c>
      <c r="L289" s="290" t="s">
        <v>1830</v>
      </c>
    </row>
    <row r="290" spans="2:12">
      <c r="B290" s="283">
        <v>1002</v>
      </c>
      <c r="C290" s="289">
        <v>305033</v>
      </c>
      <c r="D290" s="10" t="s">
        <v>737</v>
      </c>
      <c r="I290" s="289">
        <v>305033</v>
      </c>
      <c r="J290" s="289" t="s">
        <v>217</v>
      </c>
      <c r="K290" s="289">
        <v>2</v>
      </c>
      <c r="L290" s="290" t="s">
        <v>1830</v>
      </c>
    </row>
    <row r="291" spans="2:12">
      <c r="B291" s="283">
        <v>1002</v>
      </c>
      <c r="C291" s="289">
        <v>305037</v>
      </c>
      <c r="D291" s="10" t="s">
        <v>737</v>
      </c>
      <c r="I291" s="289">
        <v>305037</v>
      </c>
      <c r="J291" s="289" t="s">
        <v>264</v>
      </c>
      <c r="K291" s="289">
        <v>2</v>
      </c>
      <c r="L291" s="290" t="s">
        <v>1830</v>
      </c>
    </row>
    <row r="292" spans="2:12">
      <c r="B292" s="283">
        <v>1002</v>
      </c>
      <c r="C292" s="289">
        <v>305038</v>
      </c>
      <c r="D292" s="10" t="s">
        <v>737</v>
      </c>
      <c r="I292" s="289">
        <v>305038</v>
      </c>
      <c r="J292" s="289" t="s">
        <v>268</v>
      </c>
      <c r="K292" s="289">
        <v>2</v>
      </c>
      <c r="L292" s="290" t="s">
        <v>1830</v>
      </c>
    </row>
    <row r="293" spans="2:12">
      <c r="B293" s="283">
        <v>1002</v>
      </c>
      <c r="C293" s="289">
        <v>305300</v>
      </c>
      <c r="D293" s="10" t="s">
        <v>737</v>
      </c>
      <c r="I293" s="289">
        <v>305300</v>
      </c>
      <c r="J293" s="289" t="s">
        <v>318</v>
      </c>
      <c r="K293" s="289">
        <v>2</v>
      </c>
      <c r="L293" s="290" t="s">
        <v>1830</v>
      </c>
    </row>
    <row r="294" spans="2:12">
      <c r="B294" s="283">
        <v>1002</v>
      </c>
      <c r="C294" s="288">
        <v>305324</v>
      </c>
      <c r="D294" s="10" t="s">
        <v>737</v>
      </c>
      <c r="I294" s="288">
        <v>305324</v>
      </c>
      <c r="J294" s="10" t="s">
        <v>1887</v>
      </c>
      <c r="K294" s="289">
        <v>2</v>
      </c>
      <c r="L294" s="290" t="s">
        <v>1830</v>
      </c>
    </row>
    <row r="295" spans="2:12">
      <c r="B295" s="283">
        <v>1002</v>
      </c>
      <c r="C295" s="288">
        <v>305325</v>
      </c>
      <c r="D295" s="10" t="s">
        <v>737</v>
      </c>
      <c r="I295" s="288">
        <v>305325</v>
      </c>
      <c r="J295" s="10" t="s">
        <v>1888</v>
      </c>
      <c r="K295" s="289">
        <v>2</v>
      </c>
      <c r="L295" s="290" t="s">
        <v>1830</v>
      </c>
    </row>
    <row r="296" spans="2:12">
      <c r="B296" s="283">
        <v>1002</v>
      </c>
      <c r="C296" s="288">
        <v>305326</v>
      </c>
      <c r="D296" s="10" t="s">
        <v>737</v>
      </c>
      <c r="I296" s="288">
        <v>305326</v>
      </c>
      <c r="J296" s="10" t="s">
        <v>1889</v>
      </c>
      <c r="K296" s="289">
        <v>2</v>
      </c>
      <c r="L296" s="290" t="s">
        <v>1830</v>
      </c>
    </row>
    <row r="297" spans="2:12">
      <c r="B297" s="283">
        <v>1002</v>
      </c>
      <c r="C297" s="291">
        <v>305001</v>
      </c>
      <c r="D297" s="10" t="s">
        <v>737</v>
      </c>
      <c r="I297" s="291">
        <v>305001</v>
      </c>
      <c r="J297" s="291" t="s">
        <v>176</v>
      </c>
      <c r="K297" s="291">
        <v>0</v>
      </c>
      <c r="L297" s="292" t="s">
        <v>1827</v>
      </c>
    </row>
    <row r="298" spans="2:12">
      <c r="B298" s="283">
        <v>1002</v>
      </c>
      <c r="C298" s="291">
        <v>305002</v>
      </c>
      <c r="D298" s="10" t="s">
        <v>737</v>
      </c>
      <c r="I298" s="291">
        <v>305002</v>
      </c>
      <c r="J298" s="291" t="s">
        <v>181</v>
      </c>
      <c r="K298" s="291">
        <v>0</v>
      </c>
      <c r="L298" s="292" t="s">
        <v>1827</v>
      </c>
    </row>
    <row r="299" spans="2:12">
      <c r="B299" s="283">
        <v>1002</v>
      </c>
      <c r="C299" s="291">
        <v>305003</v>
      </c>
      <c r="D299" s="10" t="s">
        <v>737</v>
      </c>
      <c r="I299" s="291">
        <v>305003</v>
      </c>
      <c r="J299" s="291" t="s">
        <v>186</v>
      </c>
      <c r="K299" s="291">
        <v>0</v>
      </c>
      <c r="L299" s="292" t="s">
        <v>1827</v>
      </c>
    </row>
    <row r="300" spans="2:12">
      <c r="B300" s="283">
        <v>1002</v>
      </c>
      <c r="C300" s="291">
        <v>305018</v>
      </c>
      <c r="D300" s="10" t="s">
        <v>737</v>
      </c>
      <c r="I300" s="291">
        <v>305018</v>
      </c>
      <c r="J300" s="291" t="s">
        <v>191</v>
      </c>
      <c r="K300" s="291">
        <v>0</v>
      </c>
      <c r="L300" s="292" t="s">
        <v>1827</v>
      </c>
    </row>
    <row r="301" spans="2:12">
      <c r="B301" s="283">
        <v>1002</v>
      </c>
      <c r="C301" s="291">
        <v>305019</v>
      </c>
      <c r="D301" s="10" t="s">
        <v>737</v>
      </c>
      <c r="I301" s="291">
        <v>305019</v>
      </c>
      <c r="J301" s="291" t="s">
        <v>196</v>
      </c>
      <c r="K301" s="291">
        <v>0</v>
      </c>
      <c r="L301" s="292" t="s">
        <v>1827</v>
      </c>
    </row>
    <row r="302" spans="2:12">
      <c r="B302" s="283">
        <v>1002</v>
      </c>
      <c r="C302" s="291">
        <v>305041</v>
      </c>
      <c r="D302" s="10" t="s">
        <v>737</v>
      </c>
      <c r="I302" s="291">
        <v>305041</v>
      </c>
      <c r="J302" s="291" t="s">
        <v>282</v>
      </c>
      <c r="K302" s="291">
        <v>0</v>
      </c>
      <c r="L302" s="292" t="s">
        <v>1827</v>
      </c>
    </row>
    <row r="303" spans="2:12">
      <c r="B303" s="283">
        <v>1002</v>
      </c>
      <c r="C303" s="291">
        <v>305042</v>
      </c>
      <c r="D303" s="10" t="s">
        <v>737</v>
      </c>
      <c r="I303" s="291">
        <v>305042</v>
      </c>
      <c r="J303" s="291" t="s">
        <v>287</v>
      </c>
      <c r="K303" s="291">
        <v>0</v>
      </c>
      <c r="L303" s="292" t="s">
        <v>1827</v>
      </c>
    </row>
    <row r="304" spans="2:12">
      <c r="B304" s="283">
        <v>1002</v>
      </c>
      <c r="C304" s="291">
        <v>305600</v>
      </c>
      <c r="D304" s="10" t="s">
        <v>737</v>
      </c>
      <c r="I304" s="291">
        <v>305600</v>
      </c>
      <c r="J304" s="291" t="s">
        <v>323</v>
      </c>
      <c r="K304" s="291">
        <v>0</v>
      </c>
      <c r="L304" s="292" t="s">
        <v>1827</v>
      </c>
    </row>
    <row r="305" spans="2:22">
      <c r="B305" s="283">
        <v>1002</v>
      </c>
      <c r="C305" s="288">
        <v>305623</v>
      </c>
      <c r="D305" s="10" t="s">
        <v>737</v>
      </c>
      <c r="I305" s="288">
        <v>305623</v>
      </c>
      <c r="J305" s="10" t="s">
        <v>1864</v>
      </c>
      <c r="K305" s="291">
        <v>0</v>
      </c>
      <c r="L305" s="292" t="s">
        <v>1827</v>
      </c>
    </row>
    <row r="306" spans="2:22">
      <c r="B306" s="283">
        <v>1002</v>
      </c>
      <c r="C306" s="288">
        <v>305624</v>
      </c>
      <c r="D306" s="10" t="s">
        <v>737</v>
      </c>
      <c r="I306" s="288">
        <v>305624</v>
      </c>
      <c r="J306" s="10" t="s">
        <v>1865</v>
      </c>
      <c r="K306" s="291">
        <v>0</v>
      </c>
      <c r="L306" s="292" t="s">
        <v>1827</v>
      </c>
    </row>
    <row r="307" spans="2:22">
      <c r="B307" s="283">
        <v>1002</v>
      </c>
      <c r="C307" s="288">
        <v>305625</v>
      </c>
      <c r="D307" s="10" t="s">
        <v>737</v>
      </c>
      <c r="I307" s="288">
        <v>305625</v>
      </c>
      <c r="J307" s="10" t="s">
        <v>1866</v>
      </c>
      <c r="K307" s="291">
        <v>0</v>
      </c>
      <c r="L307" s="292" t="s">
        <v>1827</v>
      </c>
    </row>
    <row r="308" spans="2:22">
      <c r="B308" s="283">
        <v>1002</v>
      </c>
      <c r="C308" s="288">
        <v>305626</v>
      </c>
      <c r="D308" s="10" t="s">
        <v>737</v>
      </c>
      <c r="I308" s="288">
        <v>305626</v>
      </c>
      <c r="J308" s="10" t="s">
        <v>1867</v>
      </c>
      <c r="K308" s="291">
        <v>0</v>
      </c>
      <c r="L308" s="292" t="s">
        <v>1827</v>
      </c>
    </row>
    <row r="309" spans="2:22">
      <c r="B309" s="283">
        <v>1002</v>
      </c>
      <c r="C309" s="293">
        <v>305012</v>
      </c>
      <c r="D309" s="10" t="s">
        <v>737</v>
      </c>
      <c r="I309" s="293">
        <v>305012</v>
      </c>
      <c r="J309" s="293" t="s">
        <v>1230</v>
      </c>
      <c r="K309" s="293">
        <v>6</v>
      </c>
      <c r="L309" s="294" t="s">
        <v>1833</v>
      </c>
    </row>
    <row r="310" spans="2:22">
      <c r="B310" s="283">
        <v>1002</v>
      </c>
      <c r="C310" s="293">
        <v>305013</v>
      </c>
      <c r="D310" s="10" t="s">
        <v>737</v>
      </c>
      <c r="I310" s="293">
        <v>305013</v>
      </c>
      <c r="J310" s="293" t="s">
        <v>1237</v>
      </c>
      <c r="K310" s="293">
        <v>6</v>
      </c>
      <c r="L310" s="294" t="s">
        <v>1833</v>
      </c>
    </row>
    <row r="311" spans="2:22">
      <c r="B311" s="283">
        <v>1002</v>
      </c>
      <c r="C311" s="293">
        <v>305014</v>
      </c>
      <c r="D311" s="10" t="s">
        <v>737</v>
      </c>
      <c r="I311" s="293">
        <v>305014</v>
      </c>
      <c r="J311" s="293" t="s">
        <v>1241</v>
      </c>
      <c r="K311" s="293">
        <v>6</v>
      </c>
      <c r="L311" s="294" t="s">
        <v>1833</v>
      </c>
    </row>
    <row r="312" spans="2:22" s="285" customFormat="1">
      <c r="B312" s="283">
        <v>1002</v>
      </c>
      <c r="C312" s="293">
        <v>305046</v>
      </c>
      <c r="D312" s="285" t="s">
        <v>737</v>
      </c>
      <c r="G312" s="10"/>
      <c r="H312" s="10"/>
      <c r="I312" s="293">
        <v>305046</v>
      </c>
      <c r="J312" s="293" t="s">
        <v>309</v>
      </c>
      <c r="K312" s="293">
        <v>6</v>
      </c>
      <c r="L312" s="294" t="s">
        <v>1833</v>
      </c>
      <c r="M312" s="10"/>
      <c r="R312" s="10"/>
      <c r="S312" s="10"/>
      <c r="T312" s="10"/>
      <c r="U312" s="10"/>
      <c r="V312" s="10"/>
    </row>
    <row r="313" spans="2:22">
      <c r="B313" s="283">
        <v>1002</v>
      </c>
      <c r="C313" s="288">
        <v>305815</v>
      </c>
      <c r="D313" s="10" t="s">
        <v>737</v>
      </c>
      <c r="I313" s="288">
        <v>305815</v>
      </c>
      <c r="J313" s="10" t="s">
        <v>1868</v>
      </c>
      <c r="K313" s="293">
        <v>6</v>
      </c>
      <c r="L313" s="294" t="s">
        <v>1833</v>
      </c>
    </row>
    <row r="314" spans="2:22">
      <c r="B314" s="283">
        <v>1002</v>
      </c>
      <c r="C314" s="288">
        <v>305816</v>
      </c>
      <c r="D314" s="10" t="s">
        <v>737</v>
      </c>
      <c r="I314" s="288">
        <v>305816</v>
      </c>
      <c r="J314" s="10" t="s">
        <v>1869</v>
      </c>
      <c r="K314" s="293">
        <v>6</v>
      </c>
      <c r="L314" s="294" t="s">
        <v>1833</v>
      </c>
    </row>
    <row r="315" spans="2:22">
      <c r="B315" s="283">
        <v>1002</v>
      </c>
      <c r="C315" s="288">
        <v>305817</v>
      </c>
      <c r="D315" s="10" t="s">
        <v>737</v>
      </c>
      <c r="I315" s="288">
        <v>305817</v>
      </c>
      <c r="J315" s="10" t="s">
        <v>1870</v>
      </c>
      <c r="K315" s="293">
        <v>6</v>
      </c>
      <c r="L315" s="294" t="s">
        <v>1833</v>
      </c>
    </row>
    <row r="316" spans="2:22" s="285" customFormat="1">
      <c r="B316" s="283">
        <v>1002</v>
      </c>
      <c r="C316" s="288">
        <v>305818</v>
      </c>
      <c r="D316" s="285" t="s">
        <v>737</v>
      </c>
      <c r="G316" s="10"/>
      <c r="H316" s="10"/>
      <c r="I316" s="288">
        <v>305818</v>
      </c>
      <c r="J316" s="10" t="s">
        <v>1871</v>
      </c>
      <c r="K316" s="293">
        <v>6</v>
      </c>
      <c r="L316" s="294" t="s">
        <v>1833</v>
      </c>
      <c r="M316" s="10"/>
      <c r="R316" s="10"/>
      <c r="S316" s="10"/>
      <c r="T316" s="10"/>
      <c r="U316" s="10"/>
      <c r="V316" s="10"/>
    </row>
    <row r="317" spans="2:22">
      <c r="B317" s="283">
        <v>1002</v>
      </c>
      <c r="C317" s="288">
        <v>305819</v>
      </c>
      <c r="D317" s="10" t="s">
        <v>737</v>
      </c>
      <c r="I317" s="288">
        <v>305819</v>
      </c>
      <c r="J317" s="10" t="s">
        <v>1872</v>
      </c>
      <c r="K317" s="293">
        <v>6</v>
      </c>
      <c r="L317" s="294" t="s">
        <v>1833</v>
      </c>
    </row>
    <row r="318" spans="2:22" s="285" customFormat="1">
      <c r="B318" s="283">
        <v>1002</v>
      </c>
      <c r="C318" s="288">
        <v>305820</v>
      </c>
      <c r="D318" s="285" t="s">
        <v>737</v>
      </c>
      <c r="G318" s="10"/>
      <c r="H318" s="10"/>
      <c r="I318" s="288">
        <v>305820</v>
      </c>
      <c r="J318" s="10" t="s">
        <v>1873</v>
      </c>
      <c r="K318" s="293">
        <v>6</v>
      </c>
      <c r="L318" s="294" t="s">
        <v>1833</v>
      </c>
      <c r="M318" s="10"/>
      <c r="R318" s="10"/>
      <c r="S318" s="10"/>
      <c r="T318" s="10"/>
      <c r="U318" s="10"/>
      <c r="V318" s="10"/>
    </row>
    <row r="319" spans="2:22">
      <c r="B319" s="283">
        <v>1002</v>
      </c>
      <c r="C319" s="295">
        <v>305015</v>
      </c>
      <c r="D319" s="10" t="s">
        <v>737</v>
      </c>
      <c r="I319" s="295">
        <v>305015</v>
      </c>
      <c r="J319" s="295" t="s">
        <v>1245</v>
      </c>
      <c r="K319" s="295">
        <v>7</v>
      </c>
      <c r="L319" s="296" t="s">
        <v>538</v>
      </c>
    </row>
    <row r="320" spans="2:22">
      <c r="B320" s="283">
        <v>1002</v>
      </c>
      <c r="C320" s="295">
        <v>305016</v>
      </c>
      <c r="D320" s="10" t="s">
        <v>737</v>
      </c>
      <c r="I320" s="295">
        <v>305016</v>
      </c>
      <c r="J320" s="295" t="s">
        <v>1251</v>
      </c>
      <c r="K320" s="295">
        <v>7</v>
      </c>
      <c r="L320" s="296" t="s">
        <v>538</v>
      </c>
    </row>
    <row r="321" spans="1:22">
      <c r="B321" s="283">
        <v>1002</v>
      </c>
      <c r="C321" s="295">
        <v>305017</v>
      </c>
      <c r="D321" s="10" t="s">
        <v>737</v>
      </c>
      <c r="I321" s="295">
        <v>305017</v>
      </c>
      <c r="J321" s="295" t="s">
        <v>1255</v>
      </c>
      <c r="K321" s="295">
        <v>7</v>
      </c>
      <c r="L321" s="296" t="s">
        <v>538</v>
      </c>
    </row>
    <row r="322" spans="1:22">
      <c r="B322" s="283">
        <v>1002</v>
      </c>
      <c r="C322" s="295">
        <v>305700</v>
      </c>
      <c r="D322" s="10" t="s">
        <v>737</v>
      </c>
      <c r="I322" s="295">
        <v>305700</v>
      </c>
      <c r="J322" s="295" t="s">
        <v>328</v>
      </c>
      <c r="K322" s="295">
        <v>7</v>
      </c>
      <c r="L322" s="296" t="s">
        <v>538</v>
      </c>
    </row>
    <row r="323" spans="1:22">
      <c r="B323" s="283">
        <v>1002</v>
      </c>
      <c r="C323" s="288">
        <v>305719</v>
      </c>
      <c r="D323" s="10" t="s">
        <v>737</v>
      </c>
      <c r="I323" s="288">
        <v>305719</v>
      </c>
      <c r="J323" s="10" t="s">
        <v>1874</v>
      </c>
      <c r="K323" s="295">
        <v>7</v>
      </c>
      <c r="L323" s="296" t="s">
        <v>538</v>
      </c>
    </row>
    <row r="324" spans="1:22">
      <c r="B324" s="283">
        <v>1002</v>
      </c>
      <c r="C324" s="288">
        <v>305720</v>
      </c>
      <c r="D324" s="10" t="s">
        <v>737</v>
      </c>
      <c r="I324" s="288">
        <v>305720</v>
      </c>
      <c r="J324" s="10" t="s">
        <v>1875</v>
      </c>
      <c r="K324" s="295">
        <v>7</v>
      </c>
      <c r="L324" s="296" t="s">
        <v>538</v>
      </c>
    </row>
    <row r="325" spans="1:22">
      <c r="B325" s="283">
        <v>1002</v>
      </c>
      <c r="C325" s="288">
        <v>305721</v>
      </c>
      <c r="D325" s="10" t="s">
        <v>737</v>
      </c>
      <c r="I325" s="288">
        <v>305721</v>
      </c>
      <c r="J325" s="10" t="s">
        <v>1876</v>
      </c>
      <c r="K325" s="295">
        <v>7</v>
      </c>
      <c r="L325" s="296" t="s">
        <v>538</v>
      </c>
    </row>
    <row r="326" spans="1:22">
      <c r="B326" s="283">
        <v>1002</v>
      </c>
      <c r="C326" s="288">
        <v>305722</v>
      </c>
      <c r="D326" s="10" t="s">
        <v>737</v>
      </c>
      <c r="I326" s="288">
        <v>305722</v>
      </c>
      <c r="J326" s="10" t="s">
        <v>1877</v>
      </c>
      <c r="K326" s="295">
        <v>7</v>
      </c>
      <c r="L326" s="296" t="s">
        <v>538</v>
      </c>
    </row>
    <row r="327" spans="1:22">
      <c r="B327" s="283">
        <v>1002</v>
      </c>
      <c r="C327" s="288">
        <v>305723</v>
      </c>
      <c r="D327" s="10" t="s">
        <v>737</v>
      </c>
      <c r="I327" s="288">
        <v>305723</v>
      </c>
      <c r="J327" s="10" t="s">
        <v>1878</v>
      </c>
      <c r="K327" s="295">
        <v>7</v>
      </c>
      <c r="L327" s="296" t="s">
        <v>538</v>
      </c>
    </row>
    <row r="328" spans="1:22">
      <c r="B328" s="283">
        <v>1002</v>
      </c>
      <c r="C328" s="288">
        <v>305724</v>
      </c>
      <c r="D328" s="10" t="s">
        <v>737</v>
      </c>
      <c r="I328" s="288">
        <v>305724</v>
      </c>
      <c r="J328" s="10" t="s">
        <v>1879</v>
      </c>
      <c r="K328" s="295">
        <v>7</v>
      </c>
      <c r="L328" s="296" t="s">
        <v>538</v>
      </c>
    </row>
    <row r="329" spans="1:22">
      <c r="B329" s="283">
        <v>1002</v>
      </c>
      <c r="C329" s="297">
        <v>305011</v>
      </c>
      <c r="D329" s="10" t="s">
        <v>737</v>
      </c>
      <c r="I329" s="297">
        <v>305011</v>
      </c>
      <c r="J329" s="297" t="s">
        <v>161</v>
      </c>
      <c r="K329" s="297">
        <v>3</v>
      </c>
      <c r="L329" s="298" t="s">
        <v>1831</v>
      </c>
    </row>
    <row r="330" spans="1:22">
      <c r="B330" s="283">
        <v>1002</v>
      </c>
      <c r="C330" s="299">
        <v>305025</v>
      </c>
      <c r="D330" s="10" t="s">
        <v>737</v>
      </c>
      <c r="I330" s="299">
        <v>305025</v>
      </c>
      <c r="J330" s="299" t="s">
        <v>200</v>
      </c>
      <c r="K330" s="299">
        <v>4</v>
      </c>
      <c r="L330" s="300" t="s">
        <v>1832</v>
      </c>
    </row>
    <row r="331" spans="1:22" s="285" customFormat="1">
      <c r="A331" s="10"/>
      <c r="B331" s="283">
        <v>1002</v>
      </c>
      <c r="C331" s="299">
        <v>305026</v>
      </c>
      <c r="D331" s="10" t="s">
        <v>737</v>
      </c>
      <c r="E331" s="10"/>
      <c r="F331" s="10"/>
      <c r="G331" s="10"/>
      <c r="H331" s="10"/>
      <c r="I331" s="299">
        <v>305026</v>
      </c>
      <c r="J331" s="299" t="s">
        <v>204</v>
      </c>
      <c r="K331" s="299">
        <v>4</v>
      </c>
      <c r="L331" s="300" t="s">
        <v>1832</v>
      </c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spans="1:22" s="285" customFormat="1">
      <c r="A332" s="10"/>
      <c r="B332" s="283">
        <v>1002</v>
      </c>
      <c r="C332" s="299">
        <v>305050</v>
      </c>
      <c r="D332" s="10" t="s">
        <v>737</v>
      </c>
      <c r="E332" s="10"/>
      <c r="F332" s="10"/>
      <c r="G332" s="10"/>
      <c r="H332" s="10"/>
      <c r="I332" s="299">
        <v>305050</v>
      </c>
      <c r="J332" s="299" t="s">
        <v>300</v>
      </c>
      <c r="K332" s="299">
        <v>4</v>
      </c>
      <c r="L332" s="300" t="s">
        <v>1832</v>
      </c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spans="1:22" s="285" customFormat="1">
      <c r="A333" s="10"/>
      <c r="B333" s="283">
        <v>1002</v>
      </c>
      <c r="C333" s="299">
        <v>305051</v>
      </c>
      <c r="D333" s="10" t="s">
        <v>737</v>
      </c>
      <c r="E333" s="10"/>
      <c r="F333" s="10"/>
      <c r="G333" s="10"/>
      <c r="H333" s="10"/>
      <c r="I333" s="299">
        <v>305051</v>
      </c>
      <c r="J333" s="299" t="s">
        <v>340</v>
      </c>
      <c r="K333" s="299">
        <v>4</v>
      </c>
      <c r="L333" s="300" t="s">
        <v>1832</v>
      </c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spans="1:22">
      <c r="B334" s="283">
        <v>1002</v>
      </c>
      <c r="C334" s="288">
        <v>305055</v>
      </c>
      <c r="D334" s="10" t="s">
        <v>737</v>
      </c>
      <c r="I334" s="288">
        <v>305055</v>
      </c>
      <c r="J334" s="10" t="s">
        <v>1880</v>
      </c>
      <c r="K334" s="299">
        <v>4</v>
      </c>
      <c r="L334" s="300" t="s">
        <v>1832</v>
      </c>
    </row>
    <row r="335" spans="1:22" s="285" customFormat="1">
      <c r="A335" s="10"/>
      <c r="B335" s="283">
        <v>1002</v>
      </c>
      <c r="C335" s="288">
        <v>305056</v>
      </c>
      <c r="D335" s="10" t="s">
        <v>737</v>
      </c>
      <c r="E335" s="10"/>
      <c r="F335" s="10"/>
      <c r="G335" s="10"/>
      <c r="H335" s="10"/>
      <c r="I335" s="288">
        <v>305056</v>
      </c>
      <c r="J335" s="10" t="s">
        <v>1881</v>
      </c>
      <c r="K335" s="299">
        <v>4</v>
      </c>
      <c r="L335" s="300" t="s">
        <v>1832</v>
      </c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spans="1:22" s="285" customFormat="1">
      <c r="A336" s="10"/>
      <c r="B336" s="283">
        <v>1002</v>
      </c>
      <c r="C336" s="288">
        <v>306104</v>
      </c>
      <c r="D336" s="10" t="s">
        <v>737</v>
      </c>
      <c r="E336" s="10"/>
      <c r="F336" s="10"/>
      <c r="G336" s="10"/>
      <c r="H336" s="10"/>
      <c r="I336" s="288">
        <v>306104</v>
      </c>
      <c r="J336" s="10" t="s">
        <v>1882</v>
      </c>
      <c r="K336" s="299">
        <v>4</v>
      </c>
      <c r="L336" s="300" t="s">
        <v>1886</v>
      </c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spans="1:22" s="285" customFormat="1">
      <c r="A337" s="10"/>
      <c r="B337" s="283">
        <v>1002</v>
      </c>
      <c r="C337" s="288">
        <v>306105</v>
      </c>
      <c r="D337" s="10" t="s">
        <v>737</v>
      </c>
      <c r="E337" s="10"/>
      <c r="F337" s="10"/>
      <c r="G337" s="10"/>
      <c r="H337" s="10"/>
      <c r="I337" s="288">
        <v>306105</v>
      </c>
      <c r="J337" s="10" t="s">
        <v>1883</v>
      </c>
      <c r="K337" s="299">
        <v>4</v>
      </c>
      <c r="L337" s="300" t="s">
        <v>1886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5" customFormat="1">
      <c r="A338" s="10"/>
      <c r="B338" s="283">
        <v>1002</v>
      </c>
      <c r="C338" s="288">
        <v>306106</v>
      </c>
      <c r="D338" s="10" t="s">
        <v>737</v>
      </c>
      <c r="E338" s="10"/>
      <c r="F338" s="10"/>
      <c r="G338" s="10"/>
      <c r="H338" s="10"/>
      <c r="I338" s="288">
        <v>306106</v>
      </c>
      <c r="J338" s="10" t="s">
        <v>1884</v>
      </c>
      <c r="K338" s="299">
        <v>4</v>
      </c>
      <c r="L338" s="300" t="s">
        <v>1886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5" customFormat="1">
      <c r="A339" s="10"/>
      <c r="B339" s="283">
        <v>1002</v>
      </c>
      <c r="C339" s="288">
        <v>306107</v>
      </c>
      <c r="D339" s="10" t="s">
        <v>737</v>
      </c>
      <c r="E339" s="10"/>
      <c r="F339" s="10"/>
      <c r="G339" s="10"/>
      <c r="H339" s="10"/>
      <c r="I339" s="288">
        <v>306107</v>
      </c>
      <c r="J339" s="10" t="s">
        <v>1885</v>
      </c>
      <c r="K339" s="299">
        <v>4</v>
      </c>
      <c r="L339" s="300" t="s">
        <v>1886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3">
        <v>1002</v>
      </c>
      <c r="C340" s="282">
        <v>303012</v>
      </c>
      <c r="D340" s="301" t="s">
        <v>38</v>
      </c>
      <c r="H340" s="43"/>
    </row>
    <row r="341" spans="1:22">
      <c r="B341" s="283">
        <v>1002</v>
      </c>
      <c r="C341" s="282">
        <v>303013</v>
      </c>
      <c r="D341" s="301" t="s">
        <v>38</v>
      </c>
      <c r="H341" s="43"/>
    </row>
    <row r="342" spans="1:22">
      <c r="B342" s="283">
        <v>1002</v>
      </c>
      <c r="C342" s="282">
        <v>303022</v>
      </c>
      <c r="D342" s="301" t="s">
        <v>38</v>
      </c>
      <c r="H342" s="43"/>
    </row>
    <row r="343" spans="1:22">
      <c r="B343" s="283">
        <v>1002</v>
      </c>
      <c r="C343" s="282">
        <v>303023</v>
      </c>
      <c r="D343" s="301" t="s">
        <v>38</v>
      </c>
      <c r="H343" s="43"/>
    </row>
    <row r="344" spans="1:22">
      <c r="B344" s="283">
        <v>1002</v>
      </c>
      <c r="C344" s="282">
        <v>303032</v>
      </c>
      <c r="D344" s="301" t="s">
        <v>38</v>
      </c>
      <c r="H344" s="43"/>
    </row>
    <row r="345" spans="1:22">
      <c r="B345" s="283">
        <v>1002</v>
      </c>
      <c r="C345" s="282">
        <v>303033</v>
      </c>
      <c r="D345" s="301" t="s">
        <v>38</v>
      </c>
      <c r="H345" s="43"/>
    </row>
    <row r="346" spans="1:22">
      <c r="B346" s="283">
        <v>1002</v>
      </c>
      <c r="C346" s="282">
        <v>303042</v>
      </c>
      <c r="D346" s="301" t="s">
        <v>38</v>
      </c>
    </row>
    <row r="347" spans="1:22">
      <c r="B347" s="283">
        <v>1002</v>
      </c>
      <c r="C347" s="282">
        <v>303043</v>
      </c>
      <c r="D347" s="301" t="s">
        <v>38</v>
      </c>
    </row>
    <row r="348" spans="1:22">
      <c r="B348" s="283">
        <v>1002</v>
      </c>
      <c r="C348" s="282">
        <v>303052</v>
      </c>
      <c r="D348" s="301" t="s">
        <v>38</v>
      </c>
    </row>
    <row r="349" spans="1:22">
      <c r="B349" s="283">
        <v>1002</v>
      </c>
      <c r="C349" s="282">
        <v>303053</v>
      </c>
      <c r="D349" s="301" t="s">
        <v>38</v>
      </c>
    </row>
    <row r="350" spans="1:22">
      <c r="B350" s="283">
        <v>1002</v>
      </c>
      <c r="C350" s="282">
        <v>303062</v>
      </c>
      <c r="D350" s="301" t="s">
        <v>38</v>
      </c>
    </row>
    <row r="351" spans="1:22">
      <c r="B351" s="283">
        <v>1002</v>
      </c>
      <c r="C351" s="282">
        <v>303063</v>
      </c>
      <c r="D351" s="301" t="s">
        <v>38</v>
      </c>
    </row>
    <row r="352" spans="1:22">
      <c r="B352" s="283">
        <v>1002</v>
      </c>
      <c r="C352" s="282">
        <v>303072</v>
      </c>
      <c r="D352" s="301" t="s">
        <v>38</v>
      </c>
    </row>
    <row r="353" spans="2:4">
      <c r="B353" s="283">
        <v>1002</v>
      </c>
      <c r="C353" s="282">
        <v>303073</v>
      </c>
      <c r="D353" s="301" t="s">
        <v>38</v>
      </c>
    </row>
    <row r="354" spans="2:4">
      <c r="B354" s="283">
        <v>1002</v>
      </c>
      <c r="C354" s="282">
        <v>303082</v>
      </c>
      <c r="D354" s="301" t="s">
        <v>38</v>
      </c>
    </row>
    <row r="355" spans="2:4">
      <c r="B355" s="283">
        <v>1002</v>
      </c>
      <c r="C355" s="282">
        <v>303083</v>
      </c>
      <c r="D355" s="301" t="s">
        <v>38</v>
      </c>
    </row>
    <row r="356" spans="2:4">
      <c r="B356" s="283">
        <v>1003</v>
      </c>
      <c r="C356" s="43">
        <v>200011</v>
      </c>
      <c r="D356" s="10" t="s">
        <v>736</v>
      </c>
    </row>
    <row r="357" spans="2:4">
      <c r="B357" s="283">
        <v>1003</v>
      </c>
      <c r="C357" s="43">
        <v>200012</v>
      </c>
      <c r="D357" s="10" t="s">
        <v>736</v>
      </c>
    </row>
    <row r="358" spans="2:4">
      <c r="B358" s="283">
        <v>1003</v>
      </c>
      <c r="C358" s="43">
        <v>200013</v>
      </c>
      <c r="D358" s="10" t="s">
        <v>736</v>
      </c>
    </row>
    <row r="359" spans="2:4">
      <c r="B359" s="283">
        <v>1003</v>
      </c>
      <c r="C359" s="43">
        <v>200014</v>
      </c>
      <c r="D359" s="10" t="s">
        <v>736</v>
      </c>
    </row>
    <row r="360" spans="2:4">
      <c r="B360" s="283">
        <v>1003</v>
      </c>
      <c r="C360" s="43">
        <v>200022</v>
      </c>
      <c r="D360" s="10" t="s">
        <v>736</v>
      </c>
    </row>
    <row r="361" spans="2:4">
      <c r="B361" s="283">
        <v>1003</v>
      </c>
      <c r="C361" s="43">
        <v>200023</v>
      </c>
      <c r="D361" s="10" t="s">
        <v>736</v>
      </c>
    </row>
    <row r="362" spans="2:4">
      <c r="B362" s="283">
        <v>1003</v>
      </c>
      <c r="C362" s="43">
        <v>200025</v>
      </c>
      <c r="D362" s="10" t="s">
        <v>736</v>
      </c>
    </row>
    <row r="363" spans="2:4">
      <c r="B363" s="283">
        <v>1003</v>
      </c>
      <c r="C363" s="43">
        <v>200027</v>
      </c>
      <c r="D363" s="10" t="s">
        <v>736</v>
      </c>
    </row>
    <row r="364" spans="2:4">
      <c r="B364" s="10">
        <v>1003</v>
      </c>
      <c r="C364" s="43">
        <v>200030</v>
      </c>
      <c r="D364" s="10" t="s">
        <v>736</v>
      </c>
    </row>
    <row r="365" spans="2:4">
      <c r="B365" s="10">
        <v>1003</v>
      </c>
      <c r="C365" s="43">
        <v>200031</v>
      </c>
      <c r="D365" s="10" t="s">
        <v>736</v>
      </c>
    </row>
    <row r="366" spans="2:4">
      <c r="B366" s="10">
        <v>1003</v>
      </c>
      <c r="C366" s="43">
        <v>200039</v>
      </c>
      <c r="D366" s="10" t="s">
        <v>736</v>
      </c>
    </row>
    <row r="367" spans="2:4">
      <c r="B367" s="10">
        <v>1003</v>
      </c>
      <c r="C367" s="43">
        <v>200045</v>
      </c>
      <c r="D367" s="10" t="s">
        <v>736</v>
      </c>
    </row>
    <row r="368" spans="2:4">
      <c r="B368" s="10">
        <v>1003</v>
      </c>
      <c r="C368" s="43">
        <v>200047</v>
      </c>
      <c r="D368" s="10" t="s">
        <v>736</v>
      </c>
    </row>
    <row r="369" spans="1:12" ht="13.5" customHeight="1">
      <c r="B369" s="10">
        <v>1003</v>
      </c>
      <c r="C369" s="43">
        <v>200049</v>
      </c>
      <c r="D369" s="10" t="s">
        <v>736</v>
      </c>
    </row>
    <row r="370" spans="1:12" ht="13.5" customHeight="1">
      <c r="B370" s="10">
        <v>1003</v>
      </c>
      <c r="C370" s="43">
        <v>200054</v>
      </c>
      <c r="D370" s="10" t="s">
        <v>736</v>
      </c>
    </row>
    <row r="371" spans="1:12" ht="13.5" customHeight="1">
      <c r="B371" s="10">
        <v>1003</v>
      </c>
      <c r="C371" s="43">
        <v>200060</v>
      </c>
      <c r="D371" s="10" t="s">
        <v>736</v>
      </c>
    </row>
    <row r="372" spans="1:12" ht="13.5" customHeight="1">
      <c r="B372" s="10">
        <v>1003</v>
      </c>
      <c r="C372" s="43">
        <v>200075</v>
      </c>
      <c r="D372" s="270" t="s">
        <v>1842</v>
      </c>
    </row>
    <row r="373" spans="1:12" ht="13.5" customHeight="1">
      <c r="A373" s="10" t="s">
        <v>2038</v>
      </c>
      <c r="B373" s="10">
        <v>1003</v>
      </c>
      <c r="C373" s="43">
        <v>200078</v>
      </c>
      <c r="D373" s="270" t="s">
        <v>1842</v>
      </c>
    </row>
    <row r="374" spans="1:12" ht="13.5" customHeight="1">
      <c r="A374" s="270" t="s">
        <v>1935</v>
      </c>
      <c r="B374" s="10">
        <v>1003</v>
      </c>
      <c r="C374" s="43">
        <v>200090</v>
      </c>
      <c r="D374" s="270" t="s">
        <v>1842</v>
      </c>
    </row>
    <row r="375" spans="1:12" ht="13.5" customHeight="1">
      <c r="A375" s="270" t="s">
        <v>1960</v>
      </c>
      <c r="B375" s="10">
        <v>1003</v>
      </c>
      <c r="C375" s="43">
        <v>200085</v>
      </c>
      <c r="D375" s="270" t="s">
        <v>1842</v>
      </c>
    </row>
    <row r="376" spans="1:12" ht="13.5" customHeight="1">
      <c r="A376" s="270" t="s">
        <v>2001</v>
      </c>
      <c r="B376" s="10">
        <v>1003</v>
      </c>
      <c r="C376" s="43">
        <v>200092</v>
      </c>
      <c r="D376" s="270" t="s">
        <v>1842</v>
      </c>
    </row>
    <row r="377" spans="1:12" ht="13.5" customHeight="1">
      <c r="A377" s="270" t="s">
        <v>2063</v>
      </c>
      <c r="B377" s="10">
        <v>1003</v>
      </c>
      <c r="C377" s="43">
        <v>200096</v>
      </c>
      <c r="D377" s="270" t="s">
        <v>1842</v>
      </c>
    </row>
    <row r="378" spans="1:12">
      <c r="B378" s="283">
        <v>1003</v>
      </c>
      <c r="C378" s="286">
        <v>305007</v>
      </c>
      <c r="D378" s="10" t="s">
        <v>737</v>
      </c>
      <c r="I378" s="286">
        <v>305007</v>
      </c>
      <c r="J378" s="286" t="s">
        <v>1213</v>
      </c>
      <c r="K378" s="286">
        <v>1</v>
      </c>
      <c r="L378" s="287" t="s">
        <v>1828</v>
      </c>
    </row>
    <row r="379" spans="1:12">
      <c r="B379" s="283">
        <v>1003</v>
      </c>
      <c r="C379" s="286">
        <v>305008</v>
      </c>
      <c r="D379" s="10" t="s">
        <v>737</v>
      </c>
      <c r="I379" s="286">
        <v>305008</v>
      </c>
      <c r="J379" s="286" t="s">
        <v>1217</v>
      </c>
      <c r="K379" s="286">
        <v>1</v>
      </c>
      <c r="L379" s="287" t="s">
        <v>1828</v>
      </c>
    </row>
    <row r="380" spans="1:12">
      <c r="B380" s="283">
        <v>1003</v>
      </c>
      <c r="C380" s="286">
        <v>305009</v>
      </c>
      <c r="D380" s="10" t="s">
        <v>737</v>
      </c>
      <c r="I380" s="286">
        <v>305009</v>
      </c>
      <c r="J380" s="286" t="s">
        <v>1220</v>
      </c>
      <c r="K380" s="286">
        <v>1</v>
      </c>
      <c r="L380" s="287" t="s">
        <v>1828</v>
      </c>
    </row>
    <row r="381" spans="1:12">
      <c r="B381" s="283">
        <v>1003</v>
      </c>
      <c r="C381" s="286">
        <v>305023</v>
      </c>
      <c r="D381" s="10" t="s">
        <v>737</v>
      </c>
      <c r="I381" s="286">
        <v>305023</v>
      </c>
      <c r="J381" s="286" t="s">
        <v>1277</v>
      </c>
      <c r="K381" s="286">
        <v>1</v>
      </c>
      <c r="L381" s="287" t="s">
        <v>1828</v>
      </c>
    </row>
    <row r="382" spans="1:12">
      <c r="B382" s="283">
        <v>1003</v>
      </c>
      <c r="C382" s="286">
        <v>305034</v>
      </c>
      <c r="D382" s="10" t="s">
        <v>737</v>
      </c>
      <c r="I382" s="286">
        <v>305034</v>
      </c>
      <c r="J382" s="286" t="s">
        <v>222</v>
      </c>
      <c r="K382" s="286">
        <v>1</v>
      </c>
      <c r="L382" s="287" t="s">
        <v>1828</v>
      </c>
    </row>
    <row r="383" spans="1:12">
      <c r="B383" s="283">
        <v>1003</v>
      </c>
      <c r="C383" s="286">
        <v>305035</v>
      </c>
      <c r="D383" s="10" t="s">
        <v>737</v>
      </c>
      <c r="I383" s="286">
        <v>305035</v>
      </c>
      <c r="J383" s="286" t="s">
        <v>227</v>
      </c>
      <c r="K383" s="286">
        <v>1</v>
      </c>
      <c r="L383" s="287" t="s">
        <v>1828</v>
      </c>
    </row>
    <row r="384" spans="1:12">
      <c r="B384" s="283">
        <v>1003</v>
      </c>
      <c r="C384" s="286">
        <v>305036</v>
      </c>
      <c r="D384" s="10" t="s">
        <v>737</v>
      </c>
      <c r="I384" s="286">
        <v>305036</v>
      </c>
      <c r="J384" s="286" t="s">
        <v>232</v>
      </c>
      <c r="K384" s="286">
        <v>1</v>
      </c>
      <c r="L384" s="287" t="s">
        <v>1828</v>
      </c>
    </row>
    <row r="385" spans="2:12">
      <c r="B385" s="283">
        <v>1003</v>
      </c>
      <c r="C385" s="286">
        <v>305039</v>
      </c>
      <c r="D385" s="10" t="s">
        <v>737</v>
      </c>
      <c r="I385" s="286">
        <v>305039</v>
      </c>
      <c r="J385" s="286" t="s">
        <v>1829</v>
      </c>
      <c r="K385" s="286">
        <v>1</v>
      </c>
      <c r="L385" s="287" t="s">
        <v>1828</v>
      </c>
    </row>
    <row r="386" spans="2:12">
      <c r="B386" s="283">
        <v>1003</v>
      </c>
      <c r="C386" s="286">
        <v>305040</v>
      </c>
      <c r="D386" s="10" t="s">
        <v>737</v>
      </c>
      <c r="I386" s="286">
        <v>305040</v>
      </c>
      <c r="J386" s="286" t="s">
        <v>277</v>
      </c>
      <c r="K386" s="286">
        <v>1</v>
      </c>
      <c r="L386" s="287" t="s">
        <v>1828</v>
      </c>
    </row>
    <row r="387" spans="2:12">
      <c r="B387" s="283">
        <v>1003</v>
      </c>
      <c r="C387" s="286">
        <v>305200</v>
      </c>
      <c r="D387" s="10" t="s">
        <v>737</v>
      </c>
      <c r="I387" s="286">
        <v>305200</v>
      </c>
      <c r="J387" s="286" t="s">
        <v>313</v>
      </c>
      <c r="K387" s="286">
        <v>1</v>
      </c>
      <c r="L387" s="287" t="s">
        <v>1828</v>
      </c>
    </row>
    <row r="388" spans="2:12">
      <c r="B388" s="283">
        <v>1003</v>
      </c>
      <c r="C388" s="288">
        <v>305224</v>
      </c>
      <c r="D388" s="10" t="s">
        <v>737</v>
      </c>
      <c r="I388" s="288">
        <v>305224</v>
      </c>
      <c r="J388" s="10" t="s">
        <v>1890</v>
      </c>
      <c r="K388" s="286">
        <v>1</v>
      </c>
      <c r="L388" s="287" t="s">
        <v>1828</v>
      </c>
    </row>
    <row r="389" spans="2:12">
      <c r="B389" s="283">
        <v>1003</v>
      </c>
      <c r="C389" s="288">
        <v>305225</v>
      </c>
      <c r="D389" s="10" t="s">
        <v>737</v>
      </c>
      <c r="I389" s="288">
        <v>305225</v>
      </c>
      <c r="J389" s="10" t="s">
        <v>1888</v>
      </c>
      <c r="K389" s="286">
        <v>1</v>
      </c>
      <c r="L389" s="287" t="s">
        <v>1828</v>
      </c>
    </row>
    <row r="390" spans="2:12">
      <c r="B390" s="283">
        <v>1003</v>
      </c>
      <c r="C390" s="288">
        <v>305226</v>
      </c>
      <c r="D390" s="10" t="s">
        <v>737</v>
      </c>
      <c r="I390" s="288">
        <v>305226</v>
      </c>
      <c r="J390" s="10" t="s">
        <v>1891</v>
      </c>
      <c r="K390" s="286">
        <v>1</v>
      </c>
      <c r="L390" s="287" t="s">
        <v>1828</v>
      </c>
    </row>
    <row r="391" spans="2:12">
      <c r="B391" s="283">
        <v>1003</v>
      </c>
      <c r="C391" s="289">
        <v>305010</v>
      </c>
      <c r="D391" s="10" t="s">
        <v>737</v>
      </c>
      <c r="I391" s="289">
        <v>305010</v>
      </c>
      <c r="J391" s="289" t="s">
        <v>1223</v>
      </c>
      <c r="K391" s="289">
        <v>2</v>
      </c>
      <c r="L391" s="290" t="s">
        <v>1830</v>
      </c>
    </row>
    <row r="392" spans="2:12">
      <c r="B392" s="283">
        <v>1003</v>
      </c>
      <c r="C392" s="289">
        <v>305021</v>
      </c>
      <c r="D392" s="10" t="s">
        <v>737</v>
      </c>
      <c r="I392" s="289">
        <v>305021</v>
      </c>
      <c r="J392" s="289" t="s">
        <v>1270</v>
      </c>
      <c r="K392" s="289">
        <v>2</v>
      </c>
      <c r="L392" s="290" t="s">
        <v>1830</v>
      </c>
    </row>
    <row r="393" spans="2:12">
      <c r="B393" s="283">
        <v>1003</v>
      </c>
      <c r="C393" s="289">
        <v>305022</v>
      </c>
      <c r="D393" s="10" t="s">
        <v>737</v>
      </c>
      <c r="I393" s="289">
        <v>305022</v>
      </c>
      <c r="J393" s="289" t="s">
        <v>1273</v>
      </c>
      <c r="K393" s="289">
        <v>2</v>
      </c>
      <c r="L393" s="290" t="s">
        <v>1830</v>
      </c>
    </row>
    <row r="394" spans="2:12">
      <c r="B394" s="283">
        <v>1003</v>
      </c>
      <c r="C394" s="289">
        <v>305032</v>
      </c>
      <c r="D394" s="10" t="s">
        <v>737</v>
      </c>
      <c r="I394" s="289">
        <v>305032</v>
      </c>
      <c r="J394" s="289" t="s">
        <v>213</v>
      </c>
      <c r="K394" s="289">
        <v>2</v>
      </c>
      <c r="L394" s="290" t="s">
        <v>1830</v>
      </c>
    </row>
    <row r="395" spans="2:12">
      <c r="B395" s="283">
        <v>1003</v>
      </c>
      <c r="C395" s="289">
        <v>305033</v>
      </c>
      <c r="D395" s="10" t="s">
        <v>737</v>
      </c>
      <c r="I395" s="289">
        <v>305033</v>
      </c>
      <c r="J395" s="289" t="s">
        <v>217</v>
      </c>
      <c r="K395" s="289">
        <v>2</v>
      </c>
      <c r="L395" s="290" t="s">
        <v>1830</v>
      </c>
    </row>
    <row r="396" spans="2:12">
      <c r="B396" s="283">
        <v>1003</v>
      </c>
      <c r="C396" s="289">
        <v>305037</v>
      </c>
      <c r="D396" s="10" t="s">
        <v>737</v>
      </c>
      <c r="I396" s="289">
        <v>305037</v>
      </c>
      <c r="J396" s="289" t="s">
        <v>264</v>
      </c>
      <c r="K396" s="289">
        <v>2</v>
      </c>
      <c r="L396" s="290" t="s">
        <v>1830</v>
      </c>
    </row>
    <row r="397" spans="2:12">
      <c r="B397" s="283">
        <v>1003</v>
      </c>
      <c r="C397" s="289">
        <v>305038</v>
      </c>
      <c r="D397" s="10" t="s">
        <v>737</v>
      </c>
      <c r="I397" s="289">
        <v>305038</v>
      </c>
      <c r="J397" s="289" t="s">
        <v>268</v>
      </c>
      <c r="K397" s="289">
        <v>2</v>
      </c>
      <c r="L397" s="290" t="s">
        <v>1830</v>
      </c>
    </row>
    <row r="398" spans="2:12">
      <c r="B398" s="283">
        <v>1003</v>
      </c>
      <c r="C398" s="289">
        <v>305300</v>
      </c>
      <c r="D398" s="10" t="s">
        <v>737</v>
      </c>
      <c r="I398" s="289">
        <v>305300</v>
      </c>
      <c r="J398" s="289" t="s">
        <v>318</v>
      </c>
      <c r="K398" s="289">
        <v>2</v>
      </c>
      <c r="L398" s="290" t="s">
        <v>1830</v>
      </c>
    </row>
    <row r="399" spans="2:12">
      <c r="B399" s="283">
        <v>1003</v>
      </c>
      <c r="C399" s="288">
        <v>305324</v>
      </c>
      <c r="D399" s="10" t="s">
        <v>737</v>
      </c>
      <c r="I399" s="288">
        <v>305324</v>
      </c>
      <c r="J399" s="10" t="s">
        <v>1887</v>
      </c>
      <c r="K399" s="289">
        <v>2</v>
      </c>
      <c r="L399" s="290" t="s">
        <v>1830</v>
      </c>
    </row>
    <row r="400" spans="2:12">
      <c r="B400" s="283">
        <v>1003</v>
      </c>
      <c r="C400" s="288">
        <v>305325</v>
      </c>
      <c r="D400" s="10" t="s">
        <v>737</v>
      </c>
      <c r="I400" s="288">
        <v>305325</v>
      </c>
      <c r="J400" s="10" t="s">
        <v>1888</v>
      </c>
      <c r="K400" s="289">
        <v>2</v>
      </c>
      <c r="L400" s="290" t="s">
        <v>1830</v>
      </c>
    </row>
    <row r="401" spans="2:12">
      <c r="B401" s="283">
        <v>1003</v>
      </c>
      <c r="C401" s="288">
        <v>305326</v>
      </c>
      <c r="D401" s="10" t="s">
        <v>737</v>
      </c>
      <c r="I401" s="288">
        <v>305326</v>
      </c>
      <c r="J401" s="10" t="s">
        <v>1889</v>
      </c>
      <c r="K401" s="289">
        <v>2</v>
      </c>
      <c r="L401" s="290" t="s">
        <v>1830</v>
      </c>
    </row>
    <row r="402" spans="2:12">
      <c r="B402" s="283">
        <v>1003</v>
      </c>
      <c r="C402" s="291">
        <v>305001</v>
      </c>
      <c r="D402" s="10" t="s">
        <v>737</v>
      </c>
      <c r="I402" s="291">
        <v>305001</v>
      </c>
      <c r="J402" s="291" t="s">
        <v>176</v>
      </c>
      <c r="K402" s="291">
        <v>0</v>
      </c>
      <c r="L402" s="292" t="s">
        <v>1827</v>
      </c>
    </row>
    <row r="403" spans="2:12">
      <c r="B403" s="283">
        <v>1003</v>
      </c>
      <c r="C403" s="291">
        <v>305002</v>
      </c>
      <c r="D403" s="10" t="s">
        <v>737</v>
      </c>
      <c r="I403" s="291">
        <v>305002</v>
      </c>
      <c r="J403" s="291" t="s">
        <v>181</v>
      </c>
      <c r="K403" s="291">
        <v>0</v>
      </c>
      <c r="L403" s="292" t="s">
        <v>1827</v>
      </c>
    </row>
    <row r="404" spans="2:12">
      <c r="B404" s="283">
        <v>1003</v>
      </c>
      <c r="C404" s="291">
        <v>305003</v>
      </c>
      <c r="D404" s="10" t="s">
        <v>737</v>
      </c>
      <c r="I404" s="291">
        <v>305003</v>
      </c>
      <c r="J404" s="291" t="s">
        <v>186</v>
      </c>
      <c r="K404" s="291">
        <v>0</v>
      </c>
      <c r="L404" s="292" t="s">
        <v>1827</v>
      </c>
    </row>
    <row r="405" spans="2:12">
      <c r="B405" s="283">
        <v>1003</v>
      </c>
      <c r="C405" s="291">
        <v>305018</v>
      </c>
      <c r="D405" s="10" t="s">
        <v>737</v>
      </c>
      <c r="I405" s="291">
        <v>305018</v>
      </c>
      <c r="J405" s="291" t="s">
        <v>191</v>
      </c>
      <c r="K405" s="291">
        <v>0</v>
      </c>
      <c r="L405" s="292" t="s">
        <v>1827</v>
      </c>
    </row>
    <row r="406" spans="2:12">
      <c r="B406" s="283">
        <v>1003</v>
      </c>
      <c r="C406" s="291">
        <v>305019</v>
      </c>
      <c r="D406" s="10" t="s">
        <v>737</v>
      </c>
      <c r="I406" s="291">
        <v>305019</v>
      </c>
      <c r="J406" s="291" t="s">
        <v>196</v>
      </c>
      <c r="K406" s="291">
        <v>0</v>
      </c>
      <c r="L406" s="292" t="s">
        <v>1827</v>
      </c>
    </row>
    <row r="407" spans="2:12">
      <c r="B407" s="283">
        <v>1003</v>
      </c>
      <c r="C407" s="291">
        <v>305041</v>
      </c>
      <c r="D407" s="10" t="s">
        <v>737</v>
      </c>
      <c r="I407" s="291">
        <v>305041</v>
      </c>
      <c r="J407" s="291" t="s">
        <v>282</v>
      </c>
      <c r="K407" s="291">
        <v>0</v>
      </c>
      <c r="L407" s="292" t="s">
        <v>1827</v>
      </c>
    </row>
    <row r="408" spans="2:12">
      <c r="B408" s="283">
        <v>1003</v>
      </c>
      <c r="C408" s="291">
        <v>305042</v>
      </c>
      <c r="D408" s="10" t="s">
        <v>737</v>
      </c>
      <c r="I408" s="291">
        <v>305042</v>
      </c>
      <c r="J408" s="291" t="s">
        <v>287</v>
      </c>
      <c r="K408" s="291">
        <v>0</v>
      </c>
      <c r="L408" s="292" t="s">
        <v>1827</v>
      </c>
    </row>
    <row r="409" spans="2:12">
      <c r="B409" s="283">
        <v>1003</v>
      </c>
      <c r="C409" s="291">
        <v>305600</v>
      </c>
      <c r="D409" s="10" t="s">
        <v>737</v>
      </c>
      <c r="I409" s="291">
        <v>305600</v>
      </c>
      <c r="J409" s="291" t="s">
        <v>323</v>
      </c>
      <c r="K409" s="291">
        <v>0</v>
      </c>
      <c r="L409" s="292" t="s">
        <v>1827</v>
      </c>
    </row>
    <row r="410" spans="2:12">
      <c r="B410" s="283">
        <v>1003</v>
      </c>
      <c r="C410" s="288">
        <v>305623</v>
      </c>
      <c r="D410" s="10" t="s">
        <v>737</v>
      </c>
      <c r="I410" s="288">
        <v>305623</v>
      </c>
      <c r="J410" s="10" t="s">
        <v>1864</v>
      </c>
      <c r="K410" s="291">
        <v>0</v>
      </c>
      <c r="L410" s="292" t="s">
        <v>1827</v>
      </c>
    </row>
    <row r="411" spans="2:12">
      <c r="B411" s="283">
        <v>1003</v>
      </c>
      <c r="C411" s="288">
        <v>305624</v>
      </c>
      <c r="D411" s="10" t="s">
        <v>737</v>
      </c>
      <c r="I411" s="288">
        <v>305624</v>
      </c>
      <c r="J411" s="10" t="s">
        <v>1865</v>
      </c>
      <c r="K411" s="291">
        <v>0</v>
      </c>
      <c r="L411" s="292" t="s">
        <v>1827</v>
      </c>
    </row>
    <row r="412" spans="2:12">
      <c r="B412" s="283">
        <v>1003</v>
      </c>
      <c r="C412" s="288">
        <v>305625</v>
      </c>
      <c r="D412" s="10" t="s">
        <v>737</v>
      </c>
      <c r="I412" s="288">
        <v>305625</v>
      </c>
      <c r="J412" s="10" t="s">
        <v>1866</v>
      </c>
      <c r="K412" s="291">
        <v>0</v>
      </c>
      <c r="L412" s="292" t="s">
        <v>1827</v>
      </c>
    </row>
    <row r="413" spans="2:12">
      <c r="B413" s="283">
        <v>1003</v>
      </c>
      <c r="C413" s="288">
        <v>305626</v>
      </c>
      <c r="D413" s="10" t="s">
        <v>737</v>
      </c>
      <c r="I413" s="288">
        <v>305626</v>
      </c>
      <c r="J413" s="10" t="s">
        <v>1867</v>
      </c>
      <c r="K413" s="291">
        <v>0</v>
      </c>
      <c r="L413" s="292" t="s">
        <v>1827</v>
      </c>
    </row>
    <row r="414" spans="2:12">
      <c r="B414" s="283">
        <v>1003</v>
      </c>
      <c r="C414" s="293">
        <v>305012</v>
      </c>
      <c r="D414" s="10" t="s">
        <v>737</v>
      </c>
      <c r="I414" s="293">
        <v>305012</v>
      </c>
      <c r="J414" s="293" t="s">
        <v>1230</v>
      </c>
      <c r="K414" s="293">
        <v>6</v>
      </c>
      <c r="L414" s="294" t="s">
        <v>1833</v>
      </c>
    </row>
    <row r="415" spans="2:12">
      <c r="B415" s="283">
        <v>1003</v>
      </c>
      <c r="C415" s="293">
        <v>305013</v>
      </c>
      <c r="D415" s="10" t="s">
        <v>737</v>
      </c>
      <c r="I415" s="293">
        <v>305013</v>
      </c>
      <c r="J415" s="293" t="s">
        <v>1237</v>
      </c>
      <c r="K415" s="293">
        <v>6</v>
      </c>
      <c r="L415" s="294" t="s">
        <v>1833</v>
      </c>
    </row>
    <row r="416" spans="2:12">
      <c r="B416" s="283">
        <v>1003</v>
      </c>
      <c r="C416" s="293">
        <v>305014</v>
      </c>
      <c r="D416" s="10" t="s">
        <v>737</v>
      </c>
      <c r="I416" s="293">
        <v>305014</v>
      </c>
      <c r="J416" s="293" t="s">
        <v>1241</v>
      </c>
      <c r="K416" s="293">
        <v>6</v>
      </c>
      <c r="L416" s="294" t="s">
        <v>1833</v>
      </c>
    </row>
    <row r="417" spans="2:22" s="285" customFormat="1">
      <c r="B417" s="283">
        <v>1003</v>
      </c>
      <c r="C417" s="293">
        <v>305046</v>
      </c>
      <c r="D417" s="285" t="s">
        <v>737</v>
      </c>
      <c r="G417" s="10"/>
      <c r="H417" s="10"/>
      <c r="I417" s="293">
        <v>305046</v>
      </c>
      <c r="J417" s="293" t="s">
        <v>309</v>
      </c>
      <c r="K417" s="293">
        <v>6</v>
      </c>
      <c r="L417" s="294" t="s">
        <v>1833</v>
      </c>
      <c r="M417" s="10"/>
      <c r="R417" s="10"/>
      <c r="S417" s="10"/>
      <c r="T417" s="10"/>
      <c r="U417" s="10"/>
      <c r="V417" s="10"/>
    </row>
    <row r="418" spans="2:22">
      <c r="B418" s="283">
        <v>1003</v>
      </c>
      <c r="C418" s="288">
        <v>305815</v>
      </c>
      <c r="D418" s="10" t="s">
        <v>737</v>
      </c>
      <c r="I418" s="288">
        <v>305815</v>
      </c>
      <c r="J418" s="10" t="s">
        <v>1868</v>
      </c>
      <c r="K418" s="293">
        <v>6</v>
      </c>
      <c r="L418" s="294" t="s">
        <v>1833</v>
      </c>
    </row>
    <row r="419" spans="2:22">
      <c r="B419" s="283">
        <v>1003</v>
      </c>
      <c r="C419" s="288">
        <v>305816</v>
      </c>
      <c r="D419" s="10" t="s">
        <v>737</v>
      </c>
      <c r="I419" s="288">
        <v>305816</v>
      </c>
      <c r="J419" s="10" t="s">
        <v>1869</v>
      </c>
      <c r="K419" s="293">
        <v>6</v>
      </c>
      <c r="L419" s="294" t="s">
        <v>1833</v>
      </c>
    </row>
    <row r="420" spans="2:22">
      <c r="B420" s="283">
        <v>1003</v>
      </c>
      <c r="C420" s="288">
        <v>305817</v>
      </c>
      <c r="D420" s="10" t="s">
        <v>737</v>
      </c>
      <c r="I420" s="288">
        <v>305817</v>
      </c>
      <c r="J420" s="10" t="s">
        <v>1870</v>
      </c>
      <c r="K420" s="293">
        <v>6</v>
      </c>
      <c r="L420" s="294" t="s">
        <v>1833</v>
      </c>
    </row>
    <row r="421" spans="2:22" s="285" customFormat="1">
      <c r="B421" s="283">
        <v>1003</v>
      </c>
      <c r="C421" s="288">
        <v>305818</v>
      </c>
      <c r="D421" s="285" t="s">
        <v>737</v>
      </c>
      <c r="G421" s="10"/>
      <c r="H421" s="10"/>
      <c r="I421" s="288">
        <v>305818</v>
      </c>
      <c r="J421" s="10" t="s">
        <v>1871</v>
      </c>
      <c r="K421" s="293">
        <v>6</v>
      </c>
      <c r="L421" s="294" t="s">
        <v>1833</v>
      </c>
      <c r="M421" s="10"/>
      <c r="R421" s="10"/>
      <c r="S421" s="10"/>
      <c r="T421" s="10"/>
      <c r="U421" s="10"/>
      <c r="V421" s="10"/>
    </row>
    <row r="422" spans="2:22">
      <c r="B422" s="283">
        <v>1003</v>
      </c>
      <c r="C422" s="288">
        <v>305819</v>
      </c>
      <c r="D422" s="10" t="s">
        <v>737</v>
      </c>
      <c r="I422" s="288">
        <v>305819</v>
      </c>
      <c r="J422" s="10" t="s">
        <v>1872</v>
      </c>
      <c r="K422" s="293">
        <v>6</v>
      </c>
      <c r="L422" s="294" t="s">
        <v>1833</v>
      </c>
    </row>
    <row r="423" spans="2:22" s="285" customFormat="1">
      <c r="B423" s="283">
        <v>1003</v>
      </c>
      <c r="C423" s="288">
        <v>305820</v>
      </c>
      <c r="D423" s="285" t="s">
        <v>737</v>
      </c>
      <c r="G423" s="10"/>
      <c r="H423" s="10"/>
      <c r="I423" s="288">
        <v>305820</v>
      </c>
      <c r="J423" s="10" t="s">
        <v>1873</v>
      </c>
      <c r="K423" s="293">
        <v>6</v>
      </c>
      <c r="L423" s="294" t="s">
        <v>1833</v>
      </c>
      <c r="M423" s="10"/>
      <c r="R423" s="10"/>
      <c r="S423" s="10"/>
      <c r="T423" s="10"/>
      <c r="U423" s="10"/>
      <c r="V423" s="10"/>
    </row>
    <row r="424" spans="2:22">
      <c r="B424" s="283">
        <v>1003</v>
      </c>
      <c r="C424" s="295">
        <v>305015</v>
      </c>
      <c r="D424" s="10" t="s">
        <v>737</v>
      </c>
      <c r="I424" s="295">
        <v>305015</v>
      </c>
      <c r="J424" s="295" t="s">
        <v>1245</v>
      </c>
      <c r="K424" s="295">
        <v>7</v>
      </c>
      <c r="L424" s="296" t="s">
        <v>538</v>
      </c>
    </row>
    <row r="425" spans="2:22">
      <c r="B425" s="283">
        <v>1003</v>
      </c>
      <c r="C425" s="295">
        <v>305016</v>
      </c>
      <c r="D425" s="10" t="s">
        <v>737</v>
      </c>
      <c r="I425" s="295">
        <v>305016</v>
      </c>
      <c r="J425" s="295" t="s">
        <v>1251</v>
      </c>
      <c r="K425" s="295">
        <v>7</v>
      </c>
      <c r="L425" s="296" t="s">
        <v>538</v>
      </c>
    </row>
    <row r="426" spans="2:22">
      <c r="B426" s="283">
        <v>1003</v>
      </c>
      <c r="C426" s="295">
        <v>305017</v>
      </c>
      <c r="D426" s="10" t="s">
        <v>737</v>
      </c>
      <c r="I426" s="295">
        <v>305017</v>
      </c>
      <c r="J426" s="295" t="s">
        <v>1255</v>
      </c>
      <c r="K426" s="295">
        <v>7</v>
      </c>
      <c r="L426" s="296" t="s">
        <v>538</v>
      </c>
    </row>
    <row r="427" spans="2:22">
      <c r="B427" s="283">
        <v>1003</v>
      </c>
      <c r="C427" s="295">
        <v>305700</v>
      </c>
      <c r="D427" s="10" t="s">
        <v>737</v>
      </c>
      <c r="I427" s="295">
        <v>305700</v>
      </c>
      <c r="J427" s="295" t="s">
        <v>328</v>
      </c>
      <c r="K427" s="295">
        <v>7</v>
      </c>
      <c r="L427" s="296" t="s">
        <v>538</v>
      </c>
    </row>
    <row r="428" spans="2:22">
      <c r="B428" s="283">
        <v>1003</v>
      </c>
      <c r="C428" s="288">
        <v>305719</v>
      </c>
      <c r="D428" s="10" t="s">
        <v>737</v>
      </c>
      <c r="I428" s="288">
        <v>305719</v>
      </c>
      <c r="J428" s="10" t="s">
        <v>1874</v>
      </c>
      <c r="K428" s="295">
        <v>7</v>
      </c>
      <c r="L428" s="296" t="s">
        <v>538</v>
      </c>
    </row>
    <row r="429" spans="2:22">
      <c r="B429" s="283">
        <v>1003</v>
      </c>
      <c r="C429" s="288">
        <v>305720</v>
      </c>
      <c r="D429" s="10" t="s">
        <v>737</v>
      </c>
      <c r="I429" s="288">
        <v>305720</v>
      </c>
      <c r="J429" s="10" t="s">
        <v>1875</v>
      </c>
      <c r="K429" s="295">
        <v>7</v>
      </c>
      <c r="L429" s="296" t="s">
        <v>538</v>
      </c>
    </row>
    <row r="430" spans="2:22">
      <c r="B430" s="283">
        <v>1003</v>
      </c>
      <c r="C430" s="288">
        <v>305721</v>
      </c>
      <c r="D430" s="10" t="s">
        <v>737</v>
      </c>
      <c r="I430" s="288">
        <v>305721</v>
      </c>
      <c r="J430" s="10" t="s">
        <v>1876</v>
      </c>
      <c r="K430" s="295">
        <v>7</v>
      </c>
      <c r="L430" s="296" t="s">
        <v>538</v>
      </c>
    </row>
    <row r="431" spans="2:22">
      <c r="B431" s="283">
        <v>1003</v>
      </c>
      <c r="C431" s="288">
        <v>305722</v>
      </c>
      <c r="D431" s="10" t="s">
        <v>737</v>
      </c>
      <c r="I431" s="288">
        <v>305722</v>
      </c>
      <c r="J431" s="10" t="s">
        <v>1877</v>
      </c>
      <c r="K431" s="295">
        <v>7</v>
      </c>
      <c r="L431" s="296" t="s">
        <v>538</v>
      </c>
    </row>
    <row r="432" spans="2:22">
      <c r="B432" s="283">
        <v>1003</v>
      </c>
      <c r="C432" s="288">
        <v>305723</v>
      </c>
      <c r="D432" s="10" t="s">
        <v>737</v>
      </c>
      <c r="I432" s="288">
        <v>305723</v>
      </c>
      <c r="J432" s="10" t="s">
        <v>1878</v>
      </c>
      <c r="K432" s="295">
        <v>7</v>
      </c>
      <c r="L432" s="296" t="s">
        <v>538</v>
      </c>
    </row>
    <row r="433" spans="1:22">
      <c r="B433" s="283">
        <v>1003</v>
      </c>
      <c r="C433" s="288">
        <v>305724</v>
      </c>
      <c r="D433" s="10" t="s">
        <v>737</v>
      </c>
      <c r="I433" s="288">
        <v>305724</v>
      </c>
      <c r="J433" s="10" t="s">
        <v>1879</v>
      </c>
      <c r="K433" s="295">
        <v>7</v>
      </c>
      <c r="L433" s="296" t="s">
        <v>538</v>
      </c>
    </row>
    <row r="434" spans="1:22">
      <c r="B434" s="283">
        <v>1003</v>
      </c>
      <c r="C434" s="297">
        <v>305011</v>
      </c>
      <c r="D434" s="10" t="s">
        <v>737</v>
      </c>
      <c r="I434" s="297">
        <v>305011</v>
      </c>
      <c r="J434" s="297" t="s">
        <v>161</v>
      </c>
      <c r="K434" s="297">
        <v>3</v>
      </c>
      <c r="L434" s="298" t="s">
        <v>1831</v>
      </c>
    </row>
    <row r="435" spans="1:22">
      <c r="B435" s="283">
        <v>1003</v>
      </c>
      <c r="C435" s="299">
        <v>305025</v>
      </c>
      <c r="D435" s="10" t="s">
        <v>737</v>
      </c>
      <c r="I435" s="299">
        <v>305025</v>
      </c>
      <c r="J435" s="299" t="s">
        <v>200</v>
      </c>
      <c r="K435" s="299">
        <v>4</v>
      </c>
      <c r="L435" s="300" t="s">
        <v>1832</v>
      </c>
    </row>
    <row r="436" spans="1:22" s="285" customFormat="1">
      <c r="A436" s="10"/>
      <c r="B436" s="283">
        <v>1003</v>
      </c>
      <c r="C436" s="299">
        <v>305026</v>
      </c>
      <c r="D436" s="10" t="s">
        <v>737</v>
      </c>
      <c r="E436" s="10"/>
      <c r="F436" s="10"/>
      <c r="G436" s="10"/>
      <c r="H436" s="10"/>
      <c r="I436" s="299">
        <v>305026</v>
      </c>
      <c r="J436" s="299" t="s">
        <v>204</v>
      </c>
      <c r="K436" s="299">
        <v>4</v>
      </c>
      <c r="L436" s="300" t="s">
        <v>1832</v>
      </c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spans="1:22" s="285" customFormat="1">
      <c r="A437" s="10"/>
      <c r="B437" s="283">
        <v>1003</v>
      </c>
      <c r="C437" s="299">
        <v>305050</v>
      </c>
      <c r="D437" s="10" t="s">
        <v>737</v>
      </c>
      <c r="E437" s="10"/>
      <c r="F437" s="10"/>
      <c r="G437" s="10"/>
      <c r="H437" s="10"/>
      <c r="I437" s="299">
        <v>305050</v>
      </c>
      <c r="J437" s="299" t="s">
        <v>300</v>
      </c>
      <c r="K437" s="299">
        <v>4</v>
      </c>
      <c r="L437" s="300" t="s">
        <v>1832</v>
      </c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spans="1:22" s="285" customFormat="1">
      <c r="A438" s="10"/>
      <c r="B438" s="283">
        <v>1003</v>
      </c>
      <c r="C438" s="299">
        <v>305051</v>
      </c>
      <c r="D438" s="10" t="s">
        <v>737</v>
      </c>
      <c r="E438" s="10"/>
      <c r="F438" s="10"/>
      <c r="G438" s="10"/>
      <c r="H438" s="10"/>
      <c r="I438" s="299">
        <v>305051</v>
      </c>
      <c r="J438" s="299" t="s">
        <v>340</v>
      </c>
      <c r="K438" s="299">
        <v>4</v>
      </c>
      <c r="L438" s="300" t="s">
        <v>1832</v>
      </c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spans="1:22">
      <c r="B439" s="283">
        <v>1003</v>
      </c>
      <c r="C439" s="288">
        <v>305055</v>
      </c>
      <c r="D439" s="10" t="s">
        <v>737</v>
      </c>
      <c r="I439" s="288">
        <v>305055</v>
      </c>
      <c r="J439" s="10" t="s">
        <v>1880</v>
      </c>
      <c r="K439" s="299">
        <v>4</v>
      </c>
      <c r="L439" s="300" t="s">
        <v>1832</v>
      </c>
    </row>
    <row r="440" spans="1:22" s="285" customFormat="1">
      <c r="A440" s="10"/>
      <c r="B440" s="283">
        <v>1003</v>
      </c>
      <c r="C440" s="288">
        <v>305056</v>
      </c>
      <c r="D440" s="10" t="s">
        <v>737</v>
      </c>
      <c r="E440" s="10"/>
      <c r="F440" s="10"/>
      <c r="G440" s="10"/>
      <c r="H440" s="10"/>
      <c r="I440" s="288">
        <v>305056</v>
      </c>
      <c r="J440" s="10" t="s">
        <v>1881</v>
      </c>
      <c r="K440" s="299">
        <v>4</v>
      </c>
      <c r="L440" s="300" t="s">
        <v>1832</v>
      </c>
      <c r="M440" s="10"/>
      <c r="N440" s="10"/>
      <c r="O440" s="10"/>
      <c r="P440" s="10"/>
      <c r="Q440" s="10"/>
      <c r="R440" s="10"/>
      <c r="S440" s="10"/>
      <c r="T440" s="10"/>
      <c r="U440" s="10"/>
      <c r="V440" s="10"/>
    </row>
    <row r="441" spans="1:22" s="285" customFormat="1">
      <c r="A441" s="10"/>
      <c r="B441" s="283">
        <v>1003</v>
      </c>
      <c r="C441" s="288">
        <v>306104</v>
      </c>
      <c r="D441" s="10" t="s">
        <v>737</v>
      </c>
      <c r="E441" s="10"/>
      <c r="F441" s="10"/>
      <c r="G441" s="10"/>
      <c r="H441" s="10"/>
      <c r="I441" s="288">
        <v>306104</v>
      </c>
      <c r="J441" s="10" t="s">
        <v>1882</v>
      </c>
      <c r="K441" s="299">
        <v>4</v>
      </c>
      <c r="L441" s="300" t="s">
        <v>1886</v>
      </c>
      <c r="M441" s="10"/>
      <c r="N441" s="10"/>
      <c r="O441" s="10"/>
      <c r="P441" s="10"/>
      <c r="Q441" s="10"/>
      <c r="R441" s="10"/>
      <c r="S441" s="10"/>
      <c r="T441" s="10"/>
      <c r="U441" s="10"/>
      <c r="V441" s="10"/>
    </row>
    <row r="442" spans="1:22" s="285" customFormat="1">
      <c r="A442" s="10"/>
      <c r="B442" s="283">
        <v>1003</v>
      </c>
      <c r="C442" s="288">
        <v>306105</v>
      </c>
      <c r="D442" s="10" t="s">
        <v>737</v>
      </c>
      <c r="E442" s="10"/>
      <c r="F442" s="10"/>
      <c r="G442" s="10"/>
      <c r="H442" s="10"/>
      <c r="I442" s="288">
        <v>306105</v>
      </c>
      <c r="J442" s="10" t="s">
        <v>1883</v>
      </c>
      <c r="K442" s="299">
        <v>4</v>
      </c>
      <c r="L442" s="300" t="s">
        <v>1886</v>
      </c>
      <c r="M442" s="10"/>
      <c r="N442" s="10"/>
      <c r="O442" s="10"/>
      <c r="P442" s="10"/>
      <c r="Q442" s="10"/>
      <c r="R442" s="10"/>
      <c r="S442" s="10"/>
      <c r="T442" s="10"/>
      <c r="U442" s="10"/>
      <c r="V442" s="10"/>
    </row>
    <row r="443" spans="1:22" s="285" customFormat="1">
      <c r="A443" s="10"/>
      <c r="B443" s="283">
        <v>1003</v>
      </c>
      <c r="C443" s="288">
        <v>306106</v>
      </c>
      <c r="D443" s="10" t="s">
        <v>737</v>
      </c>
      <c r="E443" s="10"/>
      <c r="F443" s="10"/>
      <c r="G443" s="10"/>
      <c r="H443" s="10"/>
      <c r="I443" s="288">
        <v>306106</v>
      </c>
      <c r="J443" s="10" t="s">
        <v>1884</v>
      </c>
      <c r="K443" s="299">
        <v>4</v>
      </c>
      <c r="L443" s="300" t="s">
        <v>1886</v>
      </c>
      <c r="M443" s="10"/>
      <c r="N443" s="10"/>
      <c r="O443" s="10"/>
      <c r="P443" s="10"/>
      <c r="Q443" s="10"/>
      <c r="R443" s="10"/>
      <c r="S443" s="10"/>
      <c r="T443" s="10"/>
      <c r="U443" s="10"/>
      <c r="V443" s="10"/>
    </row>
    <row r="444" spans="1:22" s="285" customFormat="1">
      <c r="A444" s="10"/>
      <c r="B444" s="283">
        <v>1003</v>
      </c>
      <c r="C444" s="288">
        <v>306107</v>
      </c>
      <c r="D444" s="10" t="s">
        <v>737</v>
      </c>
      <c r="E444" s="10"/>
      <c r="F444" s="10"/>
      <c r="G444" s="10"/>
      <c r="H444" s="10"/>
      <c r="I444" s="288">
        <v>306107</v>
      </c>
      <c r="J444" s="10" t="s">
        <v>1885</v>
      </c>
      <c r="K444" s="299">
        <v>4</v>
      </c>
      <c r="L444" s="300" t="s">
        <v>1886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>
      <c r="B445" s="283">
        <v>1003</v>
      </c>
      <c r="C445" s="282">
        <v>303012</v>
      </c>
      <c r="D445" s="301" t="s">
        <v>38</v>
      </c>
      <c r="H445" s="43"/>
    </row>
    <row r="446" spans="1:22">
      <c r="B446" s="283">
        <v>1003</v>
      </c>
      <c r="C446" s="282">
        <v>303013</v>
      </c>
      <c r="D446" s="301" t="s">
        <v>38</v>
      </c>
      <c r="H446" s="43"/>
    </row>
    <row r="447" spans="1:22">
      <c r="B447" s="283">
        <v>1003</v>
      </c>
      <c r="C447" s="282">
        <v>303022</v>
      </c>
      <c r="D447" s="301" t="s">
        <v>38</v>
      </c>
      <c r="H447" s="43"/>
    </row>
    <row r="448" spans="1:22">
      <c r="B448" s="283">
        <v>1003</v>
      </c>
      <c r="C448" s="282">
        <v>303023</v>
      </c>
      <c r="D448" s="301" t="s">
        <v>38</v>
      </c>
      <c r="H448" s="43"/>
    </row>
    <row r="449" spans="2:8">
      <c r="B449" s="283">
        <v>1003</v>
      </c>
      <c r="C449" s="282">
        <v>303032</v>
      </c>
      <c r="D449" s="301" t="s">
        <v>38</v>
      </c>
      <c r="H449" s="43"/>
    </row>
    <row r="450" spans="2:8">
      <c r="B450" s="283">
        <v>1003</v>
      </c>
      <c r="C450" s="282">
        <v>303033</v>
      </c>
      <c r="D450" s="301" t="s">
        <v>38</v>
      </c>
      <c r="H450" s="43"/>
    </row>
    <row r="451" spans="2:8">
      <c r="B451" s="283">
        <v>1003</v>
      </c>
      <c r="C451" s="282">
        <v>303042</v>
      </c>
      <c r="D451" s="301" t="s">
        <v>38</v>
      </c>
    </row>
    <row r="452" spans="2:8">
      <c r="B452" s="283">
        <v>1003</v>
      </c>
      <c r="C452" s="282">
        <v>303043</v>
      </c>
      <c r="D452" s="301" t="s">
        <v>38</v>
      </c>
    </row>
    <row r="453" spans="2:8">
      <c r="B453" s="283">
        <v>1003</v>
      </c>
      <c r="C453" s="282">
        <v>303052</v>
      </c>
      <c r="D453" s="301" t="s">
        <v>38</v>
      </c>
    </row>
    <row r="454" spans="2:8">
      <c r="B454" s="283">
        <v>1003</v>
      </c>
      <c r="C454" s="282">
        <v>303053</v>
      </c>
      <c r="D454" s="301" t="s">
        <v>38</v>
      </c>
    </row>
    <row r="455" spans="2:8">
      <c r="B455" s="283">
        <v>1003</v>
      </c>
      <c r="C455" s="282">
        <v>303062</v>
      </c>
      <c r="D455" s="301" t="s">
        <v>38</v>
      </c>
    </row>
    <row r="456" spans="2:8">
      <c r="B456" s="283">
        <v>1003</v>
      </c>
      <c r="C456" s="282">
        <v>303063</v>
      </c>
      <c r="D456" s="301" t="s">
        <v>38</v>
      </c>
    </row>
    <row r="457" spans="2:8">
      <c r="B457" s="283">
        <v>1003</v>
      </c>
      <c r="C457" s="282">
        <v>303072</v>
      </c>
      <c r="D457" s="301" t="s">
        <v>38</v>
      </c>
    </row>
    <row r="458" spans="2:8">
      <c r="B458" s="283">
        <v>1003</v>
      </c>
      <c r="C458" s="282">
        <v>303073</v>
      </c>
      <c r="D458" s="301" t="s">
        <v>38</v>
      </c>
    </row>
    <row r="459" spans="2:8">
      <c r="B459" s="283">
        <v>1003</v>
      </c>
      <c r="C459" s="282">
        <v>303082</v>
      </c>
      <c r="D459" s="301" t="s">
        <v>38</v>
      </c>
    </row>
    <row r="460" spans="2:8">
      <c r="B460" s="283">
        <v>1003</v>
      </c>
      <c r="C460" s="282">
        <v>303083</v>
      </c>
      <c r="D460" s="301" t="s">
        <v>38</v>
      </c>
    </row>
    <row r="461" spans="2:8">
      <c r="B461" s="10">
        <v>1004</v>
      </c>
      <c r="C461" s="43">
        <v>200004</v>
      </c>
      <c r="D461" s="10" t="s">
        <v>736</v>
      </c>
    </row>
    <row r="462" spans="2:8">
      <c r="B462" s="10">
        <v>1004</v>
      </c>
      <c r="C462" s="43">
        <v>200003</v>
      </c>
      <c r="D462" s="10" t="s">
        <v>736</v>
      </c>
    </row>
    <row r="463" spans="2:8">
      <c r="B463" s="10">
        <v>1004</v>
      </c>
      <c r="C463" s="43">
        <v>200005</v>
      </c>
      <c r="D463" s="10" t="s">
        <v>736</v>
      </c>
    </row>
    <row r="464" spans="2:8">
      <c r="B464" s="10">
        <v>1004</v>
      </c>
      <c r="C464" s="43">
        <v>200006</v>
      </c>
      <c r="D464" s="10" t="s">
        <v>736</v>
      </c>
    </row>
    <row r="465" spans="2:4">
      <c r="B465" s="10">
        <v>1004</v>
      </c>
      <c r="C465" s="43">
        <v>200007</v>
      </c>
      <c r="D465" s="10" t="s">
        <v>736</v>
      </c>
    </row>
    <row r="466" spans="2:4">
      <c r="B466" s="10">
        <v>1004</v>
      </c>
      <c r="C466" s="43">
        <v>200008</v>
      </c>
      <c r="D466" s="10" t="s">
        <v>736</v>
      </c>
    </row>
    <row r="467" spans="2:4">
      <c r="B467" s="10">
        <v>1004</v>
      </c>
      <c r="C467" s="43">
        <v>200009</v>
      </c>
      <c r="D467" s="10" t="s">
        <v>736</v>
      </c>
    </row>
    <row r="468" spans="2:4">
      <c r="B468" s="10">
        <v>1004</v>
      </c>
      <c r="C468" s="43">
        <v>200010</v>
      </c>
      <c r="D468" s="10" t="s">
        <v>736</v>
      </c>
    </row>
    <row r="469" spans="2:4">
      <c r="B469" s="10">
        <v>1004</v>
      </c>
      <c r="C469" s="43">
        <v>200016</v>
      </c>
      <c r="D469" s="10" t="s">
        <v>736</v>
      </c>
    </row>
    <row r="470" spans="2:4">
      <c r="B470" s="10">
        <v>1004</v>
      </c>
      <c r="C470" s="43">
        <v>200017</v>
      </c>
      <c r="D470" s="10" t="s">
        <v>736</v>
      </c>
    </row>
    <row r="471" spans="2:4">
      <c r="B471" s="10">
        <v>1004</v>
      </c>
      <c r="C471" s="43">
        <v>200018</v>
      </c>
      <c r="D471" s="10" t="s">
        <v>736</v>
      </c>
    </row>
    <row r="472" spans="2:4">
      <c r="B472" s="10">
        <v>1004</v>
      </c>
      <c r="C472" s="43">
        <v>200019</v>
      </c>
      <c r="D472" s="10" t="s">
        <v>736</v>
      </c>
    </row>
    <row r="473" spans="2:4">
      <c r="B473" s="10">
        <v>1004</v>
      </c>
      <c r="C473" s="43">
        <v>200020</v>
      </c>
      <c r="D473" s="10" t="s">
        <v>736</v>
      </c>
    </row>
    <row r="474" spans="2:4">
      <c r="B474" s="10">
        <v>1004</v>
      </c>
      <c r="C474" s="43">
        <v>200021</v>
      </c>
      <c r="D474" s="10" t="s">
        <v>736</v>
      </c>
    </row>
    <row r="475" spans="2:4">
      <c r="B475" s="10">
        <v>1004</v>
      </c>
      <c r="C475" s="43">
        <v>200024</v>
      </c>
      <c r="D475" s="10" t="s">
        <v>736</v>
      </c>
    </row>
    <row r="476" spans="2:4">
      <c r="B476" s="10">
        <v>1004</v>
      </c>
      <c r="C476" s="43">
        <v>200026</v>
      </c>
      <c r="D476" s="10" t="s">
        <v>736</v>
      </c>
    </row>
    <row r="477" spans="2:4">
      <c r="B477" s="10">
        <v>1004</v>
      </c>
      <c r="C477" s="43">
        <v>200029</v>
      </c>
      <c r="D477" s="10" t="s">
        <v>736</v>
      </c>
    </row>
    <row r="478" spans="2:4">
      <c r="B478" s="10">
        <v>1004</v>
      </c>
      <c r="C478" s="43">
        <v>200028</v>
      </c>
      <c r="D478" s="10" t="s">
        <v>736</v>
      </c>
    </row>
    <row r="479" spans="2:4">
      <c r="B479" s="10">
        <v>1004</v>
      </c>
      <c r="C479" s="43">
        <v>200032</v>
      </c>
      <c r="D479" s="10" t="s">
        <v>736</v>
      </c>
    </row>
    <row r="480" spans="2:4">
      <c r="B480" s="10">
        <v>1004</v>
      </c>
      <c r="C480" s="43">
        <v>200033</v>
      </c>
      <c r="D480" s="10" t="s">
        <v>736</v>
      </c>
    </row>
    <row r="481" spans="1:4" ht="13.5" customHeight="1">
      <c r="B481" s="10">
        <v>1004</v>
      </c>
      <c r="C481" s="43">
        <v>200038</v>
      </c>
      <c r="D481" s="10" t="s">
        <v>736</v>
      </c>
    </row>
    <row r="482" spans="1:4" ht="13.5" customHeight="1">
      <c r="B482" s="10">
        <v>1004</v>
      </c>
      <c r="C482" s="43">
        <v>200044</v>
      </c>
      <c r="D482" s="10" t="s">
        <v>736</v>
      </c>
    </row>
    <row r="483" spans="1:4" ht="13.5" customHeight="1">
      <c r="B483" s="10">
        <v>1004</v>
      </c>
      <c r="C483" s="43">
        <v>200046</v>
      </c>
      <c r="D483" s="10" t="s">
        <v>736</v>
      </c>
    </row>
    <row r="484" spans="1:4" ht="13.5" customHeight="1">
      <c r="B484" s="10">
        <v>1004</v>
      </c>
      <c r="C484" s="43">
        <v>200048</v>
      </c>
      <c r="D484" s="10" t="s">
        <v>736</v>
      </c>
    </row>
    <row r="485" spans="1:4" ht="13.5" customHeight="1">
      <c r="B485" s="10">
        <v>1004</v>
      </c>
      <c r="C485" s="43">
        <v>200053</v>
      </c>
      <c r="D485" s="10" t="s">
        <v>736</v>
      </c>
    </row>
    <row r="486" spans="1:4" ht="13.5" customHeight="1">
      <c r="B486" s="10">
        <v>1004</v>
      </c>
      <c r="C486" s="43">
        <v>200059</v>
      </c>
      <c r="D486" s="10" t="s">
        <v>736</v>
      </c>
    </row>
    <row r="487" spans="1:4" ht="13.5" customHeight="1">
      <c r="B487" s="10">
        <v>1004</v>
      </c>
      <c r="C487" s="43">
        <v>200066</v>
      </c>
      <c r="D487" s="10" t="s">
        <v>736</v>
      </c>
    </row>
    <row r="488" spans="1:4" ht="13.5" customHeight="1">
      <c r="B488" s="10">
        <v>1004</v>
      </c>
      <c r="C488" s="43">
        <v>200067</v>
      </c>
      <c r="D488" s="10" t="s">
        <v>736</v>
      </c>
    </row>
    <row r="489" spans="1:4" ht="13.5" customHeight="1">
      <c r="B489" s="10">
        <v>1004</v>
      </c>
      <c r="C489" s="43">
        <v>200068</v>
      </c>
      <c r="D489" s="10" t="s">
        <v>736</v>
      </c>
    </row>
    <row r="490" spans="1:4" ht="13.5" customHeight="1">
      <c r="B490" s="10">
        <v>1004</v>
      </c>
      <c r="C490" s="43">
        <v>200069</v>
      </c>
      <c r="D490" s="10" t="s">
        <v>736</v>
      </c>
    </row>
    <row r="491" spans="1:4" ht="13.5" customHeight="1">
      <c r="B491" s="10">
        <v>1004</v>
      </c>
      <c r="C491" s="43">
        <v>200074</v>
      </c>
      <c r="D491" s="10" t="s">
        <v>736</v>
      </c>
    </row>
    <row r="492" spans="1:4" ht="13.5" customHeight="1">
      <c r="B492" s="10">
        <v>1004</v>
      </c>
      <c r="C492" s="43">
        <v>200077</v>
      </c>
      <c r="D492" s="270" t="s">
        <v>1842</v>
      </c>
    </row>
    <row r="493" spans="1:4" ht="13.5" customHeight="1">
      <c r="A493" s="270" t="s">
        <v>2031</v>
      </c>
      <c r="B493" s="10">
        <v>1004</v>
      </c>
      <c r="C493" s="10">
        <v>200083</v>
      </c>
      <c r="D493" s="270" t="s">
        <v>1842</v>
      </c>
    </row>
    <row r="494" spans="1:4" ht="13.5" customHeight="1">
      <c r="A494" s="270" t="s">
        <v>2029</v>
      </c>
      <c r="B494" s="10">
        <v>1004</v>
      </c>
      <c r="C494" s="10">
        <v>200084</v>
      </c>
      <c r="D494" s="270" t="s">
        <v>1842</v>
      </c>
    </row>
    <row r="495" spans="1:4" ht="13.5" customHeight="1">
      <c r="A495" s="270" t="s">
        <v>2027</v>
      </c>
      <c r="B495" s="10">
        <v>1004</v>
      </c>
      <c r="C495" s="10">
        <v>200093</v>
      </c>
      <c r="D495" s="270" t="s">
        <v>1842</v>
      </c>
    </row>
    <row r="496" spans="1:4" ht="13.5" customHeight="1">
      <c r="A496" s="270" t="s">
        <v>2025</v>
      </c>
      <c r="B496" s="10">
        <v>1004</v>
      </c>
      <c r="C496" s="10">
        <v>200094</v>
      </c>
      <c r="D496" s="270" t="s">
        <v>1842</v>
      </c>
    </row>
    <row r="497" spans="1:12" ht="13.5" customHeight="1">
      <c r="A497" s="270" t="s">
        <v>2023</v>
      </c>
      <c r="B497" s="10">
        <v>1004</v>
      </c>
      <c r="C497" s="10">
        <v>200091</v>
      </c>
      <c r="D497" s="270" t="s">
        <v>1999</v>
      </c>
    </row>
    <row r="498" spans="1:12" ht="13.5" customHeight="1">
      <c r="A498" s="270" t="s">
        <v>2041</v>
      </c>
      <c r="B498" s="10">
        <v>1004</v>
      </c>
      <c r="C498" s="10">
        <v>20000107</v>
      </c>
      <c r="D498" s="270" t="s">
        <v>1842</v>
      </c>
    </row>
    <row r="499" spans="1:12" ht="13.5" customHeight="1">
      <c r="A499" s="270" t="s">
        <v>2061</v>
      </c>
      <c r="B499" s="43">
        <v>1004</v>
      </c>
      <c r="C499" s="43">
        <v>200099</v>
      </c>
      <c r="D499" s="43" t="s">
        <v>1842</v>
      </c>
    </row>
    <row r="500" spans="1:12" ht="13.5" customHeight="1">
      <c r="A500" s="270" t="s">
        <v>2062</v>
      </c>
      <c r="B500" s="43">
        <v>1004</v>
      </c>
      <c r="C500" s="43">
        <v>200098</v>
      </c>
      <c r="D500" s="43" t="s">
        <v>1842</v>
      </c>
    </row>
    <row r="501" spans="1:12" ht="13.5" customHeight="1">
      <c r="A501" s="326" t="s">
        <v>2092</v>
      </c>
      <c r="B501" s="43">
        <v>1004</v>
      </c>
      <c r="C501" s="329">
        <v>20000106</v>
      </c>
      <c r="D501" s="329" t="s">
        <v>736</v>
      </c>
    </row>
    <row r="502" spans="1:12" ht="13.5" customHeight="1">
      <c r="A502" s="328" t="s">
        <v>2122</v>
      </c>
      <c r="B502" s="282">
        <v>1004</v>
      </c>
      <c r="C502" s="327">
        <v>20000113</v>
      </c>
      <c r="D502" s="327" t="s">
        <v>736</v>
      </c>
      <c r="E502" s="10">
        <v>251021</v>
      </c>
    </row>
    <row r="503" spans="1:12" ht="13.5" customHeight="1">
      <c r="A503" s="328" t="s">
        <v>2123</v>
      </c>
      <c r="B503" s="282">
        <v>1004</v>
      </c>
      <c r="C503" s="327">
        <v>20000114</v>
      </c>
      <c r="D503" s="327" t="s">
        <v>736</v>
      </c>
      <c r="E503" s="10">
        <v>251021</v>
      </c>
    </row>
    <row r="504" spans="1:12" ht="13.5" customHeight="1">
      <c r="A504" s="328" t="s">
        <v>2124</v>
      </c>
      <c r="B504" s="282">
        <v>1004</v>
      </c>
      <c r="C504" s="327">
        <v>20000115</v>
      </c>
      <c r="D504" s="327" t="s">
        <v>736</v>
      </c>
      <c r="E504" s="10">
        <v>251021</v>
      </c>
    </row>
    <row r="505" spans="1:12" ht="13.5" customHeight="1">
      <c r="A505" s="328" t="s">
        <v>2125</v>
      </c>
      <c r="B505" s="282">
        <v>1004</v>
      </c>
      <c r="C505" s="327">
        <v>20000116</v>
      </c>
      <c r="D505" s="327" t="s">
        <v>736</v>
      </c>
      <c r="E505" s="10">
        <v>251021</v>
      </c>
    </row>
    <row r="506" spans="1:12">
      <c r="B506" s="301">
        <v>1004</v>
      </c>
      <c r="C506" s="127">
        <v>30520001</v>
      </c>
      <c r="D506" s="303" t="s">
        <v>737</v>
      </c>
      <c r="E506" s="10">
        <v>251111</v>
      </c>
    </row>
    <row r="507" spans="1:12">
      <c r="B507" s="301">
        <v>1004</v>
      </c>
      <c r="C507" s="127">
        <v>30530001</v>
      </c>
      <c r="D507" s="303" t="s">
        <v>737</v>
      </c>
      <c r="E507" s="10">
        <v>251111</v>
      </c>
    </row>
    <row r="508" spans="1:12">
      <c r="B508" s="301">
        <v>1004</v>
      </c>
      <c r="C508" s="127">
        <v>30560001</v>
      </c>
      <c r="D508" s="303" t="s">
        <v>737</v>
      </c>
      <c r="E508" s="10">
        <v>251111</v>
      </c>
    </row>
    <row r="509" spans="1:12">
      <c r="B509" s="301">
        <v>1004</v>
      </c>
      <c r="C509" s="127">
        <v>30610001</v>
      </c>
      <c r="D509" s="303" t="s">
        <v>737</v>
      </c>
      <c r="E509" s="10">
        <v>251111</v>
      </c>
    </row>
    <row r="510" spans="1:12">
      <c r="B510" s="283">
        <v>1004</v>
      </c>
      <c r="C510" s="286">
        <v>305007</v>
      </c>
      <c r="D510" s="10" t="s">
        <v>737</v>
      </c>
      <c r="I510" s="286">
        <v>305007</v>
      </c>
      <c r="J510" s="286" t="s">
        <v>1213</v>
      </c>
      <c r="K510" s="286">
        <v>1</v>
      </c>
      <c r="L510" s="287" t="s">
        <v>1828</v>
      </c>
    </row>
    <row r="511" spans="1:12">
      <c r="B511" s="283">
        <v>1004</v>
      </c>
      <c r="C511" s="286">
        <v>305008</v>
      </c>
      <c r="D511" s="10" t="s">
        <v>737</v>
      </c>
      <c r="I511" s="286">
        <v>305008</v>
      </c>
      <c r="J511" s="286" t="s">
        <v>1217</v>
      </c>
      <c r="K511" s="286">
        <v>1</v>
      </c>
      <c r="L511" s="287" t="s">
        <v>1828</v>
      </c>
    </row>
    <row r="512" spans="1:12">
      <c r="B512" s="283">
        <v>1004</v>
      </c>
      <c r="C512" s="286">
        <v>305009</v>
      </c>
      <c r="D512" s="10" t="s">
        <v>737</v>
      </c>
      <c r="I512" s="286">
        <v>305009</v>
      </c>
      <c r="J512" s="286" t="s">
        <v>1220</v>
      </c>
      <c r="K512" s="286">
        <v>1</v>
      </c>
      <c r="L512" s="287" t="s">
        <v>1828</v>
      </c>
    </row>
    <row r="513" spans="2:12">
      <c r="B513" s="283">
        <v>1004</v>
      </c>
      <c r="C513" s="286">
        <v>305023</v>
      </c>
      <c r="D513" s="10" t="s">
        <v>737</v>
      </c>
      <c r="I513" s="286">
        <v>305023</v>
      </c>
      <c r="J513" s="286" t="s">
        <v>1277</v>
      </c>
      <c r="K513" s="286">
        <v>1</v>
      </c>
      <c r="L513" s="287" t="s">
        <v>1828</v>
      </c>
    </row>
    <row r="514" spans="2:12">
      <c r="B514" s="283">
        <v>1004</v>
      </c>
      <c r="C514" s="286">
        <v>305034</v>
      </c>
      <c r="D514" s="10" t="s">
        <v>737</v>
      </c>
      <c r="I514" s="286">
        <v>305034</v>
      </c>
      <c r="J514" s="286" t="s">
        <v>222</v>
      </c>
      <c r="K514" s="286">
        <v>1</v>
      </c>
      <c r="L514" s="287" t="s">
        <v>1828</v>
      </c>
    </row>
    <row r="515" spans="2:12">
      <c r="B515" s="283">
        <v>1004</v>
      </c>
      <c r="C515" s="286">
        <v>305035</v>
      </c>
      <c r="D515" s="10" t="s">
        <v>737</v>
      </c>
      <c r="I515" s="286">
        <v>305035</v>
      </c>
      <c r="J515" s="286" t="s">
        <v>227</v>
      </c>
      <c r="K515" s="286">
        <v>1</v>
      </c>
      <c r="L515" s="287" t="s">
        <v>1828</v>
      </c>
    </row>
    <row r="516" spans="2:12">
      <c r="B516" s="283">
        <v>1004</v>
      </c>
      <c r="C516" s="286">
        <v>305036</v>
      </c>
      <c r="D516" s="10" t="s">
        <v>737</v>
      </c>
      <c r="I516" s="286">
        <v>305036</v>
      </c>
      <c r="J516" s="286" t="s">
        <v>232</v>
      </c>
      <c r="K516" s="286">
        <v>1</v>
      </c>
      <c r="L516" s="287" t="s">
        <v>1828</v>
      </c>
    </row>
    <row r="517" spans="2:12">
      <c r="B517" s="283">
        <v>1004</v>
      </c>
      <c r="C517" s="286">
        <v>305039</v>
      </c>
      <c r="D517" s="10" t="s">
        <v>737</v>
      </c>
      <c r="I517" s="286">
        <v>305039</v>
      </c>
      <c r="J517" s="286" t="s">
        <v>1829</v>
      </c>
      <c r="K517" s="286">
        <v>1</v>
      </c>
      <c r="L517" s="287" t="s">
        <v>1828</v>
      </c>
    </row>
    <row r="518" spans="2:12">
      <c r="B518" s="283">
        <v>1004</v>
      </c>
      <c r="C518" s="286">
        <v>305040</v>
      </c>
      <c r="D518" s="10" t="s">
        <v>737</v>
      </c>
      <c r="I518" s="286">
        <v>305040</v>
      </c>
      <c r="J518" s="286" t="s">
        <v>277</v>
      </c>
      <c r="K518" s="286">
        <v>1</v>
      </c>
      <c r="L518" s="287" t="s">
        <v>1828</v>
      </c>
    </row>
    <row r="519" spans="2:12">
      <c r="B519" s="283">
        <v>1004</v>
      </c>
      <c r="C519" s="286">
        <v>305200</v>
      </c>
      <c r="D519" s="10" t="s">
        <v>737</v>
      </c>
      <c r="I519" s="286">
        <v>305200</v>
      </c>
      <c r="J519" s="286" t="s">
        <v>313</v>
      </c>
      <c r="K519" s="286">
        <v>1</v>
      </c>
      <c r="L519" s="287" t="s">
        <v>1828</v>
      </c>
    </row>
    <row r="520" spans="2:12">
      <c r="B520" s="283">
        <v>1004</v>
      </c>
      <c r="C520" s="288">
        <v>305224</v>
      </c>
      <c r="D520" s="10" t="s">
        <v>737</v>
      </c>
      <c r="I520" s="288">
        <v>305224</v>
      </c>
      <c r="J520" s="10" t="s">
        <v>1890</v>
      </c>
      <c r="K520" s="286">
        <v>1</v>
      </c>
      <c r="L520" s="287" t="s">
        <v>1828</v>
      </c>
    </row>
    <row r="521" spans="2:12">
      <c r="B521" s="283">
        <v>1004</v>
      </c>
      <c r="C521" s="288">
        <v>305225</v>
      </c>
      <c r="D521" s="10" t="s">
        <v>737</v>
      </c>
      <c r="I521" s="288">
        <v>305225</v>
      </c>
      <c r="J521" s="10" t="s">
        <v>1888</v>
      </c>
      <c r="K521" s="286">
        <v>1</v>
      </c>
      <c r="L521" s="287" t="s">
        <v>1828</v>
      </c>
    </row>
    <row r="522" spans="2:12">
      <c r="B522" s="283">
        <v>1004</v>
      </c>
      <c r="C522" s="288">
        <v>305226</v>
      </c>
      <c r="D522" s="10" t="s">
        <v>737</v>
      </c>
      <c r="I522" s="288">
        <v>305226</v>
      </c>
      <c r="J522" s="10" t="s">
        <v>1891</v>
      </c>
      <c r="K522" s="286">
        <v>1</v>
      </c>
      <c r="L522" s="287" t="s">
        <v>1828</v>
      </c>
    </row>
    <row r="523" spans="2:12">
      <c r="B523" s="283">
        <v>1004</v>
      </c>
      <c r="C523" s="289">
        <v>305010</v>
      </c>
      <c r="D523" s="10" t="s">
        <v>737</v>
      </c>
      <c r="I523" s="289">
        <v>305010</v>
      </c>
      <c r="J523" s="289" t="s">
        <v>1223</v>
      </c>
      <c r="K523" s="289">
        <v>2</v>
      </c>
      <c r="L523" s="290" t="s">
        <v>1830</v>
      </c>
    </row>
    <row r="524" spans="2:12">
      <c r="B524" s="283">
        <v>1004</v>
      </c>
      <c r="C524" s="289">
        <v>305021</v>
      </c>
      <c r="D524" s="10" t="s">
        <v>737</v>
      </c>
      <c r="I524" s="289">
        <v>305021</v>
      </c>
      <c r="J524" s="289" t="s">
        <v>1270</v>
      </c>
      <c r="K524" s="289">
        <v>2</v>
      </c>
      <c r="L524" s="290" t="s">
        <v>1830</v>
      </c>
    </row>
    <row r="525" spans="2:12">
      <c r="B525" s="283">
        <v>1004</v>
      </c>
      <c r="C525" s="289">
        <v>305022</v>
      </c>
      <c r="D525" s="10" t="s">
        <v>737</v>
      </c>
      <c r="I525" s="289">
        <v>305022</v>
      </c>
      <c r="J525" s="289" t="s">
        <v>1273</v>
      </c>
      <c r="K525" s="289">
        <v>2</v>
      </c>
      <c r="L525" s="290" t="s">
        <v>1830</v>
      </c>
    </row>
    <row r="526" spans="2:12">
      <c r="B526" s="283">
        <v>1004</v>
      </c>
      <c r="C526" s="289">
        <v>305032</v>
      </c>
      <c r="D526" s="10" t="s">
        <v>737</v>
      </c>
      <c r="I526" s="289">
        <v>305032</v>
      </c>
      <c r="J526" s="289" t="s">
        <v>213</v>
      </c>
      <c r="K526" s="289">
        <v>2</v>
      </c>
      <c r="L526" s="290" t="s">
        <v>1830</v>
      </c>
    </row>
    <row r="527" spans="2:12">
      <c r="B527" s="283">
        <v>1004</v>
      </c>
      <c r="C527" s="289">
        <v>305033</v>
      </c>
      <c r="D527" s="10" t="s">
        <v>737</v>
      </c>
      <c r="I527" s="289">
        <v>305033</v>
      </c>
      <c r="J527" s="289" t="s">
        <v>217</v>
      </c>
      <c r="K527" s="289">
        <v>2</v>
      </c>
      <c r="L527" s="290" t="s">
        <v>1830</v>
      </c>
    </row>
    <row r="528" spans="2:12">
      <c r="B528" s="283">
        <v>1004</v>
      </c>
      <c r="C528" s="289">
        <v>305037</v>
      </c>
      <c r="D528" s="10" t="s">
        <v>737</v>
      </c>
      <c r="I528" s="289">
        <v>305037</v>
      </c>
      <c r="J528" s="289" t="s">
        <v>264</v>
      </c>
      <c r="K528" s="289">
        <v>2</v>
      </c>
      <c r="L528" s="290" t="s">
        <v>1830</v>
      </c>
    </row>
    <row r="529" spans="2:12">
      <c r="B529" s="283">
        <v>1004</v>
      </c>
      <c r="C529" s="289">
        <v>305038</v>
      </c>
      <c r="D529" s="10" t="s">
        <v>737</v>
      </c>
      <c r="I529" s="289">
        <v>305038</v>
      </c>
      <c r="J529" s="289" t="s">
        <v>268</v>
      </c>
      <c r="K529" s="289">
        <v>2</v>
      </c>
      <c r="L529" s="290" t="s">
        <v>1830</v>
      </c>
    </row>
    <row r="530" spans="2:12">
      <c r="B530" s="283">
        <v>1004</v>
      </c>
      <c r="C530" s="289">
        <v>305300</v>
      </c>
      <c r="D530" s="10" t="s">
        <v>737</v>
      </c>
      <c r="I530" s="289">
        <v>305300</v>
      </c>
      <c r="J530" s="289" t="s">
        <v>318</v>
      </c>
      <c r="K530" s="289">
        <v>2</v>
      </c>
      <c r="L530" s="290" t="s">
        <v>1830</v>
      </c>
    </row>
    <row r="531" spans="2:12">
      <c r="B531" s="283">
        <v>1004</v>
      </c>
      <c r="C531" s="288">
        <v>305324</v>
      </c>
      <c r="D531" s="10" t="s">
        <v>737</v>
      </c>
      <c r="I531" s="288">
        <v>305324</v>
      </c>
      <c r="J531" s="10" t="s">
        <v>1887</v>
      </c>
      <c r="K531" s="289">
        <v>2</v>
      </c>
      <c r="L531" s="290" t="s">
        <v>1830</v>
      </c>
    </row>
    <row r="532" spans="2:12">
      <c r="B532" s="283">
        <v>1004</v>
      </c>
      <c r="C532" s="288">
        <v>305325</v>
      </c>
      <c r="D532" s="10" t="s">
        <v>737</v>
      </c>
      <c r="I532" s="288">
        <v>305325</v>
      </c>
      <c r="J532" s="10" t="s">
        <v>1888</v>
      </c>
      <c r="K532" s="289">
        <v>2</v>
      </c>
      <c r="L532" s="290" t="s">
        <v>1830</v>
      </c>
    </row>
    <row r="533" spans="2:12">
      <c r="B533" s="283">
        <v>1004</v>
      </c>
      <c r="C533" s="288">
        <v>305326</v>
      </c>
      <c r="D533" s="10" t="s">
        <v>737</v>
      </c>
      <c r="I533" s="288">
        <v>305326</v>
      </c>
      <c r="J533" s="10" t="s">
        <v>1889</v>
      </c>
      <c r="K533" s="289">
        <v>2</v>
      </c>
      <c r="L533" s="290" t="s">
        <v>1830</v>
      </c>
    </row>
    <row r="534" spans="2:12">
      <c r="B534" s="283">
        <v>1004</v>
      </c>
      <c r="C534" s="291">
        <v>305001</v>
      </c>
      <c r="D534" s="10" t="s">
        <v>737</v>
      </c>
      <c r="I534" s="291">
        <v>305001</v>
      </c>
      <c r="J534" s="291" t="s">
        <v>176</v>
      </c>
      <c r="K534" s="291">
        <v>0</v>
      </c>
      <c r="L534" s="292" t="s">
        <v>1827</v>
      </c>
    </row>
    <row r="535" spans="2:12">
      <c r="B535" s="283">
        <v>1004</v>
      </c>
      <c r="C535" s="291">
        <v>305002</v>
      </c>
      <c r="D535" s="10" t="s">
        <v>737</v>
      </c>
      <c r="I535" s="291">
        <v>305002</v>
      </c>
      <c r="J535" s="291" t="s">
        <v>181</v>
      </c>
      <c r="K535" s="291">
        <v>0</v>
      </c>
      <c r="L535" s="292" t="s">
        <v>1827</v>
      </c>
    </row>
    <row r="536" spans="2:12">
      <c r="B536" s="283">
        <v>1004</v>
      </c>
      <c r="C536" s="291">
        <v>305003</v>
      </c>
      <c r="D536" s="10" t="s">
        <v>737</v>
      </c>
      <c r="I536" s="291">
        <v>305003</v>
      </c>
      <c r="J536" s="291" t="s">
        <v>186</v>
      </c>
      <c r="K536" s="291">
        <v>0</v>
      </c>
      <c r="L536" s="292" t="s">
        <v>1827</v>
      </c>
    </row>
    <row r="537" spans="2:12">
      <c r="B537" s="283">
        <v>1004</v>
      </c>
      <c r="C537" s="291">
        <v>305018</v>
      </c>
      <c r="D537" s="10" t="s">
        <v>737</v>
      </c>
      <c r="I537" s="291">
        <v>305018</v>
      </c>
      <c r="J537" s="291" t="s">
        <v>191</v>
      </c>
      <c r="K537" s="291">
        <v>0</v>
      </c>
      <c r="L537" s="292" t="s">
        <v>1827</v>
      </c>
    </row>
    <row r="538" spans="2:12">
      <c r="B538" s="283">
        <v>1004</v>
      </c>
      <c r="C538" s="291">
        <v>305019</v>
      </c>
      <c r="D538" s="10" t="s">
        <v>737</v>
      </c>
      <c r="I538" s="291">
        <v>305019</v>
      </c>
      <c r="J538" s="291" t="s">
        <v>196</v>
      </c>
      <c r="K538" s="291">
        <v>0</v>
      </c>
      <c r="L538" s="292" t="s">
        <v>1827</v>
      </c>
    </row>
    <row r="539" spans="2:12">
      <c r="B539" s="283">
        <v>1004</v>
      </c>
      <c r="C539" s="291">
        <v>305041</v>
      </c>
      <c r="D539" s="10" t="s">
        <v>737</v>
      </c>
      <c r="I539" s="291">
        <v>305041</v>
      </c>
      <c r="J539" s="291" t="s">
        <v>282</v>
      </c>
      <c r="K539" s="291">
        <v>0</v>
      </c>
      <c r="L539" s="292" t="s">
        <v>1827</v>
      </c>
    </row>
    <row r="540" spans="2:12">
      <c r="B540" s="283">
        <v>1004</v>
      </c>
      <c r="C540" s="291">
        <v>305042</v>
      </c>
      <c r="D540" s="10" t="s">
        <v>737</v>
      </c>
      <c r="I540" s="291">
        <v>305042</v>
      </c>
      <c r="J540" s="291" t="s">
        <v>287</v>
      </c>
      <c r="K540" s="291">
        <v>0</v>
      </c>
      <c r="L540" s="292" t="s">
        <v>1827</v>
      </c>
    </row>
    <row r="541" spans="2:12">
      <c r="B541" s="283">
        <v>1004</v>
      </c>
      <c r="C541" s="291">
        <v>305600</v>
      </c>
      <c r="D541" s="10" t="s">
        <v>737</v>
      </c>
      <c r="I541" s="291">
        <v>305600</v>
      </c>
      <c r="J541" s="291" t="s">
        <v>323</v>
      </c>
      <c r="K541" s="291">
        <v>0</v>
      </c>
      <c r="L541" s="292" t="s">
        <v>1827</v>
      </c>
    </row>
    <row r="542" spans="2:12">
      <c r="B542" s="283">
        <v>1004</v>
      </c>
      <c r="C542" s="288">
        <v>305623</v>
      </c>
      <c r="D542" s="10" t="s">
        <v>737</v>
      </c>
      <c r="I542" s="288">
        <v>305623</v>
      </c>
      <c r="J542" s="10" t="s">
        <v>1864</v>
      </c>
      <c r="K542" s="291">
        <v>0</v>
      </c>
      <c r="L542" s="292" t="s">
        <v>1827</v>
      </c>
    </row>
    <row r="543" spans="2:12">
      <c r="B543" s="283">
        <v>1004</v>
      </c>
      <c r="C543" s="288">
        <v>305624</v>
      </c>
      <c r="D543" s="10" t="s">
        <v>737</v>
      </c>
      <c r="I543" s="288">
        <v>305624</v>
      </c>
      <c r="J543" s="10" t="s">
        <v>1865</v>
      </c>
      <c r="K543" s="291">
        <v>0</v>
      </c>
      <c r="L543" s="292" t="s">
        <v>1827</v>
      </c>
    </row>
    <row r="544" spans="2:12">
      <c r="B544" s="283">
        <v>1004</v>
      </c>
      <c r="C544" s="288">
        <v>305625</v>
      </c>
      <c r="D544" s="10" t="s">
        <v>737</v>
      </c>
      <c r="I544" s="288">
        <v>305625</v>
      </c>
      <c r="J544" s="10" t="s">
        <v>1866</v>
      </c>
      <c r="K544" s="291">
        <v>0</v>
      </c>
      <c r="L544" s="292" t="s">
        <v>1827</v>
      </c>
    </row>
    <row r="545" spans="2:22">
      <c r="B545" s="283">
        <v>1004</v>
      </c>
      <c r="C545" s="288">
        <v>305626</v>
      </c>
      <c r="D545" s="10" t="s">
        <v>737</v>
      </c>
      <c r="I545" s="288">
        <v>305626</v>
      </c>
      <c r="J545" s="10" t="s">
        <v>1867</v>
      </c>
      <c r="K545" s="291">
        <v>0</v>
      </c>
      <c r="L545" s="292" t="s">
        <v>1827</v>
      </c>
    </row>
    <row r="546" spans="2:22">
      <c r="B546" s="283">
        <v>1004</v>
      </c>
      <c r="C546" s="293">
        <v>305012</v>
      </c>
      <c r="D546" s="10" t="s">
        <v>737</v>
      </c>
      <c r="I546" s="293">
        <v>305012</v>
      </c>
      <c r="J546" s="293" t="s">
        <v>1230</v>
      </c>
      <c r="K546" s="293">
        <v>6</v>
      </c>
      <c r="L546" s="294" t="s">
        <v>1833</v>
      </c>
    </row>
    <row r="547" spans="2:22">
      <c r="B547" s="283">
        <v>1004</v>
      </c>
      <c r="C547" s="293">
        <v>305013</v>
      </c>
      <c r="D547" s="10" t="s">
        <v>737</v>
      </c>
      <c r="I547" s="293">
        <v>305013</v>
      </c>
      <c r="J547" s="293" t="s">
        <v>1237</v>
      </c>
      <c r="K547" s="293">
        <v>6</v>
      </c>
      <c r="L547" s="294" t="s">
        <v>1833</v>
      </c>
    </row>
    <row r="548" spans="2:22">
      <c r="B548" s="283">
        <v>1004</v>
      </c>
      <c r="C548" s="293">
        <v>305014</v>
      </c>
      <c r="D548" s="10" t="s">
        <v>737</v>
      </c>
      <c r="I548" s="293">
        <v>305014</v>
      </c>
      <c r="J548" s="293" t="s">
        <v>1241</v>
      </c>
      <c r="K548" s="293">
        <v>6</v>
      </c>
      <c r="L548" s="294" t="s">
        <v>1833</v>
      </c>
    </row>
    <row r="549" spans="2:22" s="285" customFormat="1">
      <c r="B549" s="283">
        <v>1004</v>
      </c>
      <c r="C549" s="293">
        <v>305046</v>
      </c>
      <c r="D549" s="285" t="s">
        <v>737</v>
      </c>
      <c r="G549" s="10"/>
      <c r="H549" s="10"/>
      <c r="I549" s="293">
        <v>305046</v>
      </c>
      <c r="J549" s="293" t="s">
        <v>309</v>
      </c>
      <c r="K549" s="293">
        <v>6</v>
      </c>
      <c r="L549" s="294" t="s">
        <v>1833</v>
      </c>
      <c r="M549" s="10"/>
      <c r="R549" s="10"/>
      <c r="S549" s="10"/>
      <c r="T549" s="10"/>
      <c r="U549" s="10"/>
      <c r="V549" s="10"/>
    </row>
    <row r="550" spans="2:22">
      <c r="B550" s="283">
        <v>1004</v>
      </c>
      <c r="C550" s="288">
        <v>305815</v>
      </c>
      <c r="D550" s="10" t="s">
        <v>737</v>
      </c>
      <c r="I550" s="288">
        <v>305815</v>
      </c>
      <c r="J550" s="10" t="s">
        <v>1868</v>
      </c>
      <c r="K550" s="293">
        <v>6</v>
      </c>
      <c r="L550" s="294" t="s">
        <v>1833</v>
      </c>
    </row>
    <row r="551" spans="2:22">
      <c r="B551" s="283">
        <v>1004</v>
      </c>
      <c r="C551" s="288">
        <v>305816</v>
      </c>
      <c r="D551" s="10" t="s">
        <v>737</v>
      </c>
      <c r="I551" s="288">
        <v>305816</v>
      </c>
      <c r="J551" s="10" t="s">
        <v>1869</v>
      </c>
      <c r="K551" s="293">
        <v>6</v>
      </c>
      <c r="L551" s="294" t="s">
        <v>1833</v>
      </c>
    </row>
    <row r="552" spans="2:22">
      <c r="B552" s="283">
        <v>1004</v>
      </c>
      <c r="C552" s="288">
        <v>305817</v>
      </c>
      <c r="D552" s="10" t="s">
        <v>737</v>
      </c>
      <c r="I552" s="288">
        <v>305817</v>
      </c>
      <c r="J552" s="10" t="s">
        <v>1870</v>
      </c>
      <c r="K552" s="293">
        <v>6</v>
      </c>
      <c r="L552" s="294" t="s">
        <v>1833</v>
      </c>
    </row>
    <row r="553" spans="2:22" s="285" customFormat="1">
      <c r="B553" s="283">
        <v>1004</v>
      </c>
      <c r="C553" s="288">
        <v>305818</v>
      </c>
      <c r="D553" s="285" t="s">
        <v>737</v>
      </c>
      <c r="G553" s="10"/>
      <c r="H553" s="10"/>
      <c r="I553" s="288">
        <v>305818</v>
      </c>
      <c r="J553" s="10" t="s">
        <v>1871</v>
      </c>
      <c r="K553" s="293">
        <v>6</v>
      </c>
      <c r="L553" s="294" t="s">
        <v>1833</v>
      </c>
      <c r="M553" s="10"/>
      <c r="R553" s="10"/>
      <c r="S553" s="10"/>
      <c r="T553" s="10"/>
      <c r="U553" s="10"/>
      <c r="V553" s="10"/>
    </row>
    <row r="554" spans="2:22">
      <c r="B554" s="283">
        <v>1004</v>
      </c>
      <c r="C554" s="288">
        <v>305819</v>
      </c>
      <c r="D554" s="10" t="s">
        <v>737</v>
      </c>
      <c r="I554" s="288">
        <v>305819</v>
      </c>
      <c r="J554" s="10" t="s">
        <v>1872</v>
      </c>
      <c r="K554" s="293">
        <v>6</v>
      </c>
      <c r="L554" s="294" t="s">
        <v>1833</v>
      </c>
    </row>
    <row r="555" spans="2:22" s="285" customFormat="1">
      <c r="B555" s="283">
        <v>1004</v>
      </c>
      <c r="C555" s="288">
        <v>305820</v>
      </c>
      <c r="D555" s="285" t="s">
        <v>737</v>
      </c>
      <c r="G555" s="10"/>
      <c r="H555" s="10"/>
      <c r="I555" s="288">
        <v>305820</v>
      </c>
      <c r="J555" s="10" t="s">
        <v>1873</v>
      </c>
      <c r="K555" s="293">
        <v>6</v>
      </c>
      <c r="L555" s="294" t="s">
        <v>1833</v>
      </c>
      <c r="M555" s="10"/>
      <c r="R555" s="10"/>
      <c r="S555" s="10"/>
      <c r="T555" s="10"/>
      <c r="U555" s="10"/>
      <c r="V555" s="10"/>
    </row>
    <row r="556" spans="2:22">
      <c r="B556" s="283">
        <v>1004</v>
      </c>
      <c r="C556" s="295">
        <v>305015</v>
      </c>
      <c r="D556" s="10" t="s">
        <v>737</v>
      </c>
      <c r="I556" s="295">
        <v>305015</v>
      </c>
      <c r="J556" s="295" t="s">
        <v>1245</v>
      </c>
      <c r="K556" s="295">
        <v>7</v>
      </c>
      <c r="L556" s="296" t="s">
        <v>538</v>
      </c>
    </row>
    <row r="557" spans="2:22">
      <c r="B557" s="283">
        <v>1004</v>
      </c>
      <c r="C557" s="295">
        <v>305016</v>
      </c>
      <c r="D557" s="10" t="s">
        <v>737</v>
      </c>
      <c r="I557" s="295">
        <v>305016</v>
      </c>
      <c r="J557" s="295" t="s">
        <v>1251</v>
      </c>
      <c r="K557" s="295">
        <v>7</v>
      </c>
      <c r="L557" s="296" t="s">
        <v>538</v>
      </c>
    </row>
    <row r="558" spans="2:22">
      <c r="B558" s="283">
        <v>1004</v>
      </c>
      <c r="C558" s="295">
        <v>305017</v>
      </c>
      <c r="D558" s="10" t="s">
        <v>737</v>
      </c>
      <c r="I558" s="295">
        <v>305017</v>
      </c>
      <c r="J558" s="295" t="s">
        <v>1255</v>
      </c>
      <c r="K558" s="295">
        <v>7</v>
      </c>
      <c r="L558" s="296" t="s">
        <v>538</v>
      </c>
    </row>
    <row r="559" spans="2:22">
      <c r="B559" s="283">
        <v>1004</v>
      </c>
      <c r="C559" s="295">
        <v>305700</v>
      </c>
      <c r="D559" s="10" t="s">
        <v>737</v>
      </c>
      <c r="I559" s="295">
        <v>305700</v>
      </c>
      <c r="J559" s="295" t="s">
        <v>328</v>
      </c>
      <c r="K559" s="295">
        <v>7</v>
      </c>
      <c r="L559" s="296" t="s">
        <v>538</v>
      </c>
    </row>
    <row r="560" spans="2:22">
      <c r="B560" s="283">
        <v>1004</v>
      </c>
      <c r="C560" s="288">
        <v>305719</v>
      </c>
      <c r="D560" s="10" t="s">
        <v>737</v>
      </c>
      <c r="I560" s="288">
        <v>305719</v>
      </c>
      <c r="J560" s="10" t="s">
        <v>1874</v>
      </c>
      <c r="K560" s="295">
        <v>7</v>
      </c>
      <c r="L560" s="296" t="s">
        <v>538</v>
      </c>
    </row>
    <row r="561" spans="1:22">
      <c r="B561" s="283">
        <v>1004</v>
      </c>
      <c r="C561" s="288">
        <v>305720</v>
      </c>
      <c r="D561" s="10" t="s">
        <v>737</v>
      </c>
      <c r="I561" s="288">
        <v>305720</v>
      </c>
      <c r="J561" s="10" t="s">
        <v>1875</v>
      </c>
      <c r="K561" s="295">
        <v>7</v>
      </c>
      <c r="L561" s="296" t="s">
        <v>538</v>
      </c>
    </row>
    <row r="562" spans="1:22">
      <c r="B562" s="283">
        <v>1004</v>
      </c>
      <c r="C562" s="288">
        <v>305721</v>
      </c>
      <c r="D562" s="10" t="s">
        <v>737</v>
      </c>
      <c r="I562" s="288">
        <v>305721</v>
      </c>
      <c r="J562" s="10" t="s">
        <v>1876</v>
      </c>
      <c r="K562" s="295">
        <v>7</v>
      </c>
      <c r="L562" s="296" t="s">
        <v>538</v>
      </c>
    </row>
    <row r="563" spans="1:22">
      <c r="B563" s="283">
        <v>1004</v>
      </c>
      <c r="C563" s="288">
        <v>305722</v>
      </c>
      <c r="D563" s="10" t="s">
        <v>737</v>
      </c>
      <c r="I563" s="288">
        <v>305722</v>
      </c>
      <c r="J563" s="10" t="s">
        <v>1877</v>
      </c>
      <c r="K563" s="295">
        <v>7</v>
      </c>
      <c r="L563" s="296" t="s">
        <v>538</v>
      </c>
    </row>
    <row r="564" spans="1:22">
      <c r="B564" s="283">
        <v>1004</v>
      </c>
      <c r="C564" s="288">
        <v>305723</v>
      </c>
      <c r="D564" s="10" t="s">
        <v>737</v>
      </c>
      <c r="I564" s="288">
        <v>305723</v>
      </c>
      <c r="J564" s="10" t="s">
        <v>1878</v>
      </c>
      <c r="K564" s="295">
        <v>7</v>
      </c>
      <c r="L564" s="296" t="s">
        <v>538</v>
      </c>
    </row>
    <row r="565" spans="1:22">
      <c r="B565" s="283">
        <v>1004</v>
      </c>
      <c r="C565" s="288">
        <v>305724</v>
      </c>
      <c r="D565" s="10" t="s">
        <v>737</v>
      </c>
      <c r="I565" s="288">
        <v>305724</v>
      </c>
      <c r="J565" s="10" t="s">
        <v>1879</v>
      </c>
      <c r="K565" s="295">
        <v>7</v>
      </c>
      <c r="L565" s="296" t="s">
        <v>538</v>
      </c>
    </row>
    <row r="566" spans="1:22">
      <c r="B566" s="283">
        <v>1004</v>
      </c>
      <c r="C566" s="297">
        <v>305011</v>
      </c>
      <c r="D566" s="10" t="s">
        <v>737</v>
      </c>
      <c r="I566" s="297">
        <v>305011</v>
      </c>
      <c r="J566" s="297" t="s">
        <v>161</v>
      </c>
      <c r="K566" s="297">
        <v>3</v>
      </c>
      <c r="L566" s="298" t="s">
        <v>1831</v>
      </c>
    </row>
    <row r="567" spans="1:22">
      <c r="B567" s="283">
        <v>1004</v>
      </c>
      <c r="C567" s="299">
        <v>305025</v>
      </c>
      <c r="D567" s="10" t="s">
        <v>737</v>
      </c>
      <c r="I567" s="299">
        <v>305025</v>
      </c>
      <c r="J567" s="299" t="s">
        <v>200</v>
      </c>
      <c r="K567" s="299">
        <v>4</v>
      </c>
      <c r="L567" s="300" t="s">
        <v>1832</v>
      </c>
    </row>
    <row r="568" spans="1:22" s="285" customFormat="1">
      <c r="A568" s="10"/>
      <c r="B568" s="283">
        <v>1004</v>
      </c>
      <c r="C568" s="299">
        <v>305026</v>
      </c>
      <c r="D568" s="10" t="s">
        <v>737</v>
      </c>
      <c r="E568" s="10"/>
      <c r="F568" s="10"/>
      <c r="G568" s="10"/>
      <c r="H568" s="10"/>
      <c r="I568" s="299">
        <v>305026</v>
      </c>
      <c r="J568" s="299" t="s">
        <v>204</v>
      </c>
      <c r="K568" s="299">
        <v>4</v>
      </c>
      <c r="L568" s="300" t="s">
        <v>1832</v>
      </c>
      <c r="M568" s="10"/>
      <c r="N568" s="10"/>
      <c r="O568" s="10"/>
      <c r="P568" s="10"/>
      <c r="Q568" s="10"/>
      <c r="R568" s="10"/>
      <c r="S568" s="10"/>
      <c r="T568" s="10"/>
      <c r="U568" s="10"/>
      <c r="V568" s="10"/>
    </row>
    <row r="569" spans="1:22" s="285" customFormat="1">
      <c r="A569" s="10"/>
      <c r="B569" s="283">
        <v>1004</v>
      </c>
      <c r="C569" s="299">
        <v>305050</v>
      </c>
      <c r="D569" s="10" t="s">
        <v>737</v>
      </c>
      <c r="E569" s="10"/>
      <c r="F569" s="10"/>
      <c r="G569" s="10"/>
      <c r="H569" s="10"/>
      <c r="I569" s="299">
        <v>305050</v>
      </c>
      <c r="J569" s="299" t="s">
        <v>300</v>
      </c>
      <c r="K569" s="299">
        <v>4</v>
      </c>
      <c r="L569" s="300" t="s">
        <v>1832</v>
      </c>
      <c r="M569" s="10"/>
      <c r="N569" s="10"/>
      <c r="O569" s="10"/>
      <c r="P569" s="10"/>
      <c r="Q569" s="10"/>
      <c r="R569" s="10"/>
      <c r="S569" s="10"/>
      <c r="T569" s="10"/>
      <c r="U569" s="10"/>
      <c r="V569" s="10"/>
    </row>
    <row r="570" spans="1:22" s="285" customFormat="1">
      <c r="A570" s="10"/>
      <c r="B570" s="283">
        <v>1004</v>
      </c>
      <c r="C570" s="299">
        <v>305051</v>
      </c>
      <c r="D570" s="10" t="s">
        <v>737</v>
      </c>
      <c r="E570" s="10"/>
      <c r="F570" s="10"/>
      <c r="G570" s="10"/>
      <c r="H570" s="10"/>
      <c r="I570" s="299">
        <v>305051</v>
      </c>
      <c r="J570" s="299" t="s">
        <v>340</v>
      </c>
      <c r="K570" s="299">
        <v>4</v>
      </c>
      <c r="L570" s="300" t="s">
        <v>1832</v>
      </c>
      <c r="M570" s="10"/>
      <c r="N570" s="10"/>
      <c r="O570" s="10"/>
      <c r="P570" s="10"/>
      <c r="Q570" s="10"/>
      <c r="R570" s="10"/>
      <c r="S570" s="10"/>
      <c r="T570" s="10"/>
      <c r="U570" s="10"/>
      <c r="V570" s="10"/>
    </row>
    <row r="571" spans="1:22">
      <c r="B571" s="283">
        <v>1004</v>
      </c>
      <c r="C571" s="288">
        <v>305055</v>
      </c>
      <c r="D571" s="10" t="s">
        <v>737</v>
      </c>
      <c r="I571" s="288">
        <v>305055</v>
      </c>
      <c r="J571" s="10" t="s">
        <v>1880</v>
      </c>
      <c r="K571" s="299">
        <v>4</v>
      </c>
      <c r="L571" s="300" t="s">
        <v>1832</v>
      </c>
    </row>
    <row r="572" spans="1:22" s="285" customFormat="1">
      <c r="A572" s="10"/>
      <c r="B572" s="283">
        <v>1004</v>
      </c>
      <c r="C572" s="288">
        <v>305056</v>
      </c>
      <c r="D572" s="10" t="s">
        <v>737</v>
      </c>
      <c r="E572" s="10"/>
      <c r="F572" s="10"/>
      <c r="G572" s="10"/>
      <c r="H572" s="10"/>
      <c r="I572" s="288">
        <v>305056</v>
      </c>
      <c r="J572" s="10" t="s">
        <v>1881</v>
      </c>
      <c r="K572" s="299">
        <v>4</v>
      </c>
      <c r="L572" s="300" t="s">
        <v>1832</v>
      </c>
      <c r="M572" s="10"/>
      <c r="N572" s="10"/>
      <c r="O572" s="10"/>
      <c r="P572" s="10"/>
      <c r="Q572" s="10"/>
      <c r="R572" s="10"/>
      <c r="S572" s="10"/>
      <c r="T572" s="10"/>
      <c r="U572" s="10"/>
      <c r="V572" s="10"/>
    </row>
    <row r="573" spans="1:22" s="285" customFormat="1">
      <c r="A573" s="10"/>
      <c r="B573" s="283">
        <v>1004</v>
      </c>
      <c r="C573" s="288">
        <v>306104</v>
      </c>
      <c r="D573" s="10" t="s">
        <v>737</v>
      </c>
      <c r="E573" s="10"/>
      <c r="F573" s="10"/>
      <c r="G573" s="10"/>
      <c r="H573" s="10"/>
      <c r="I573" s="288">
        <v>306104</v>
      </c>
      <c r="J573" s="10" t="s">
        <v>1882</v>
      </c>
      <c r="K573" s="299">
        <v>4</v>
      </c>
      <c r="L573" s="300" t="s">
        <v>1886</v>
      </c>
      <c r="M573" s="10"/>
      <c r="N573" s="10"/>
      <c r="O573" s="10"/>
      <c r="P573" s="10"/>
      <c r="Q573" s="10"/>
      <c r="R573" s="10"/>
      <c r="S573" s="10"/>
      <c r="T573" s="10"/>
      <c r="U573" s="10"/>
      <c r="V573" s="10"/>
    </row>
    <row r="574" spans="1:22" s="285" customFormat="1">
      <c r="A574" s="10"/>
      <c r="B574" s="283">
        <v>1004</v>
      </c>
      <c r="C574" s="288">
        <v>306105</v>
      </c>
      <c r="D574" s="10" t="s">
        <v>737</v>
      </c>
      <c r="E574" s="10"/>
      <c r="F574" s="10"/>
      <c r="G574" s="10"/>
      <c r="H574" s="10"/>
      <c r="I574" s="288">
        <v>306105</v>
      </c>
      <c r="J574" s="10" t="s">
        <v>1883</v>
      </c>
      <c r="K574" s="299">
        <v>4</v>
      </c>
      <c r="L574" s="300" t="s">
        <v>1886</v>
      </c>
      <c r="M574" s="10"/>
      <c r="N574" s="10"/>
      <c r="O574" s="10"/>
      <c r="P574" s="10"/>
      <c r="Q574" s="10"/>
      <c r="R574" s="10"/>
      <c r="S574" s="10"/>
      <c r="T574" s="10"/>
      <c r="U574" s="10"/>
      <c r="V574" s="10"/>
    </row>
    <row r="575" spans="1:22" s="285" customFormat="1">
      <c r="A575" s="10"/>
      <c r="B575" s="283">
        <v>1004</v>
      </c>
      <c r="C575" s="288">
        <v>306106</v>
      </c>
      <c r="D575" s="10" t="s">
        <v>737</v>
      </c>
      <c r="E575" s="10"/>
      <c r="F575" s="10"/>
      <c r="G575" s="10"/>
      <c r="H575" s="10"/>
      <c r="I575" s="288">
        <v>306106</v>
      </c>
      <c r="J575" s="10" t="s">
        <v>1884</v>
      </c>
      <c r="K575" s="299">
        <v>4</v>
      </c>
      <c r="L575" s="300" t="s">
        <v>1886</v>
      </c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spans="1:22" s="285" customFormat="1">
      <c r="A576" s="10"/>
      <c r="B576" s="283">
        <v>1004</v>
      </c>
      <c r="C576" s="288">
        <v>306107</v>
      </c>
      <c r="D576" s="10" t="s">
        <v>737</v>
      </c>
      <c r="E576" s="10"/>
      <c r="F576" s="10"/>
      <c r="G576" s="10"/>
      <c r="H576" s="10"/>
      <c r="I576" s="288">
        <v>306107</v>
      </c>
      <c r="J576" s="10" t="s">
        <v>1885</v>
      </c>
      <c r="K576" s="299">
        <v>4</v>
      </c>
      <c r="L576" s="300" t="s">
        <v>1886</v>
      </c>
      <c r="M576" s="10"/>
      <c r="N576" s="10"/>
      <c r="O576" s="10"/>
      <c r="P576" s="10"/>
      <c r="Q576" s="10"/>
      <c r="R576" s="10"/>
      <c r="S576" s="10"/>
      <c r="T576" s="10"/>
      <c r="U576" s="10"/>
      <c r="V576" s="10"/>
    </row>
    <row r="577" spans="2:4">
      <c r="B577" s="10">
        <v>1004</v>
      </c>
      <c r="C577" s="282">
        <v>303012</v>
      </c>
      <c r="D577" s="301" t="s">
        <v>38</v>
      </c>
    </row>
    <row r="578" spans="2:4">
      <c r="B578" s="10">
        <v>1004</v>
      </c>
      <c r="C578" s="282">
        <v>303013</v>
      </c>
      <c r="D578" s="301" t="s">
        <v>38</v>
      </c>
    </row>
    <row r="579" spans="2:4">
      <c r="B579" s="10">
        <v>1004</v>
      </c>
      <c r="C579" s="282">
        <v>303022</v>
      </c>
      <c r="D579" s="301" t="s">
        <v>38</v>
      </c>
    </row>
    <row r="580" spans="2:4">
      <c r="B580" s="10">
        <v>1004</v>
      </c>
      <c r="C580" s="282">
        <v>303023</v>
      </c>
      <c r="D580" s="301" t="s">
        <v>38</v>
      </c>
    </row>
    <row r="581" spans="2:4">
      <c r="B581" s="10">
        <v>1004</v>
      </c>
      <c r="C581" s="282">
        <v>303032</v>
      </c>
      <c r="D581" s="301" t="s">
        <v>38</v>
      </c>
    </row>
    <row r="582" spans="2:4">
      <c r="B582" s="10">
        <v>1004</v>
      </c>
      <c r="C582" s="282">
        <v>303033</v>
      </c>
      <c r="D582" s="301" t="s">
        <v>38</v>
      </c>
    </row>
    <row r="583" spans="2:4">
      <c r="B583" s="10">
        <v>1004</v>
      </c>
      <c r="C583" s="282">
        <v>303042</v>
      </c>
      <c r="D583" s="301" t="s">
        <v>38</v>
      </c>
    </row>
    <row r="584" spans="2:4">
      <c r="B584" s="10">
        <v>1004</v>
      </c>
      <c r="C584" s="282">
        <v>303043</v>
      </c>
      <c r="D584" s="301" t="s">
        <v>38</v>
      </c>
    </row>
    <row r="585" spans="2:4">
      <c r="B585" s="10">
        <v>1004</v>
      </c>
      <c r="C585" s="282">
        <v>303052</v>
      </c>
      <c r="D585" s="301" t="s">
        <v>38</v>
      </c>
    </row>
    <row r="586" spans="2:4">
      <c r="B586" s="10">
        <v>1004</v>
      </c>
      <c r="C586" s="282">
        <v>303053</v>
      </c>
      <c r="D586" s="301" t="s">
        <v>38</v>
      </c>
    </row>
    <row r="587" spans="2:4">
      <c r="B587" s="10">
        <v>1004</v>
      </c>
      <c r="C587" s="282">
        <v>303062</v>
      </c>
      <c r="D587" s="301" t="s">
        <v>38</v>
      </c>
    </row>
    <row r="588" spans="2:4">
      <c r="B588" s="10">
        <v>1004</v>
      </c>
      <c r="C588" s="282">
        <v>303063</v>
      </c>
      <c r="D588" s="301" t="s">
        <v>38</v>
      </c>
    </row>
    <row r="589" spans="2:4">
      <c r="B589" s="10">
        <v>1004</v>
      </c>
      <c r="C589" s="282">
        <v>303072</v>
      </c>
      <c r="D589" s="301" t="s">
        <v>38</v>
      </c>
    </row>
    <row r="590" spans="2:4">
      <c r="B590" s="10">
        <v>1004</v>
      </c>
      <c r="C590" s="282">
        <v>303073</v>
      </c>
      <c r="D590" s="301" t="s">
        <v>38</v>
      </c>
    </row>
    <row r="591" spans="2:4">
      <c r="B591" s="10">
        <v>1004</v>
      </c>
      <c r="C591" s="282">
        <v>303082</v>
      </c>
      <c r="D591" s="301" t="s">
        <v>38</v>
      </c>
    </row>
    <row r="592" spans="2:4">
      <c r="B592" s="10">
        <v>1004</v>
      </c>
      <c r="C592" s="282">
        <v>303083</v>
      </c>
      <c r="D592" s="301" t="s">
        <v>38</v>
      </c>
    </row>
    <row r="593" spans="2:4">
      <c r="B593" s="10">
        <v>1005</v>
      </c>
      <c r="C593" s="43">
        <v>200004</v>
      </c>
      <c r="D593" s="10" t="s">
        <v>736</v>
      </c>
    </row>
    <row r="594" spans="2:4">
      <c r="B594" s="10">
        <v>1005</v>
      </c>
      <c r="C594" s="43">
        <v>200003</v>
      </c>
      <c r="D594" s="10" t="s">
        <v>736</v>
      </c>
    </row>
    <row r="595" spans="2:4">
      <c r="B595" s="10">
        <v>1005</v>
      </c>
      <c r="C595" s="43">
        <v>200005</v>
      </c>
      <c r="D595" s="10" t="s">
        <v>736</v>
      </c>
    </row>
    <row r="596" spans="2:4">
      <c r="B596" s="10">
        <v>1005</v>
      </c>
      <c r="C596" s="43">
        <v>200006</v>
      </c>
      <c r="D596" s="10" t="s">
        <v>736</v>
      </c>
    </row>
    <row r="597" spans="2:4">
      <c r="B597" s="10">
        <v>1005</v>
      </c>
      <c r="C597" s="43">
        <v>200007</v>
      </c>
      <c r="D597" s="10" t="s">
        <v>736</v>
      </c>
    </row>
    <row r="598" spans="2:4">
      <c r="B598" s="10">
        <v>1005</v>
      </c>
      <c r="C598" s="43">
        <v>200008</v>
      </c>
      <c r="D598" s="10" t="s">
        <v>736</v>
      </c>
    </row>
    <row r="599" spans="2:4">
      <c r="B599" s="10">
        <v>1005</v>
      </c>
      <c r="C599" s="43">
        <v>200009</v>
      </c>
      <c r="D599" s="10" t="s">
        <v>736</v>
      </c>
    </row>
    <row r="600" spans="2:4">
      <c r="B600" s="10">
        <v>1005</v>
      </c>
      <c r="C600" s="43">
        <v>200010</v>
      </c>
      <c r="D600" s="10" t="s">
        <v>736</v>
      </c>
    </row>
    <row r="601" spans="2:4">
      <c r="B601" s="10">
        <v>1005</v>
      </c>
      <c r="C601" s="43">
        <v>200016</v>
      </c>
      <c r="D601" s="10" t="s">
        <v>736</v>
      </c>
    </row>
    <row r="602" spans="2:4">
      <c r="B602" s="10">
        <v>1005</v>
      </c>
      <c r="C602" s="43">
        <v>200017</v>
      </c>
      <c r="D602" s="10" t="s">
        <v>736</v>
      </c>
    </row>
    <row r="603" spans="2:4">
      <c r="B603" s="10">
        <v>1005</v>
      </c>
      <c r="C603" s="43">
        <v>200018</v>
      </c>
      <c r="D603" s="10" t="s">
        <v>736</v>
      </c>
    </row>
    <row r="604" spans="2:4">
      <c r="B604" s="10">
        <v>1005</v>
      </c>
      <c r="C604" s="43">
        <v>200019</v>
      </c>
      <c r="D604" s="10" t="s">
        <v>736</v>
      </c>
    </row>
    <row r="605" spans="2:4">
      <c r="B605" s="10">
        <v>1005</v>
      </c>
      <c r="C605" s="43">
        <v>200020</v>
      </c>
      <c r="D605" s="10" t="s">
        <v>736</v>
      </c>
    </row>
    <row r="606" spans="2:4" ht="13.5" customHeight="1">
      <c r="B606" s="10">
        <v>1005</v>
      </c>
      <c r="C606" s="43">
        <v>200021</v>
      </c>
      <c r="D606" s="10" t="s">
        <v>736</v>
      </c>
    </row>
    <row r="607" spans="2:4" ht="13.5" customHeight="1">
      <c r="B607" s="10">
        <v>1005</v>
      </c>
      <c r="C607" s="43">
        <v>200024</v>
      </c>
      <c r="D607" s="10" t="s">
        <v>736</v>
      </c>
    </row>
    <row r="608" spans="2:4" ht="13.5" customHeight="1">
      <c r="B608" s="10">
        <v>1005</v>
      </c>
      <c r="C608" s="43">
        <v>200026</v>
      </c>
      <c r="D608" s="10" t="s">
        <v>736</v>
      </c>
    </row>
    <row r="609" spans="2:4" ht="13.5" customHeight="1">
      <c r="B609" s="10">
        <v>1005</v>
      </c>
      <c r="C609" s="43">
        <v>200029</v>
      </c>
      <c r="D609" s="10" t="s">
        <v>736</v>
      </c>
    </row>
    <row r="610" spans="2:4" ht="13.5" customHeight="1">
      <c r="B610" s="10">
        <v>1005</v>
      </c>
      <c r="C610" s="43">
        <v>200028</v>
      </c>
      <c r="D610" s="10" t="s">
        <v>736</v>
      </c>
    </row>
    <row r="611" spans="2:4" ht="13.5" customHeight="1">
      <c r="B611" s="10">
        <v>1005</v>
      </c>
      <c r="C611" s="43">
        <v>200032</v>
      </c>
      <c r="D611" s="10" t="s">
        <v>736</v>
      </c>
    </row>
    <row r="612" spans="2:4" ht="13.5" customHeight="1">
      <c r="B612" s="10">
        <v>1005</v>
      </c>
      <c r="C612" s="43">
        <v>200033</v>
      </c>
      <c r="D612" s="10" t="s">
        <v>736</v>
      </c>
    </row>
    <row r="613" spans="2:4" ht="13.5" customHeight="1">
      <c r="B613" s="10">
        <v>1005</v>
      </c>
      <c r="C613" s="43">
        <v>200038</v>
      </c>
      <c r="D613" s="10" t="s">
        <v>736</v>
      </c>
    </row>
    <row r="614" spans="2:4">
      <c r="B614" s="10">
        <v>1005</v>
      </c>
      <c r="C614" s="43">
        <v>200044</v>
      </c>
      <c r="D614" s="10" t="s">
        <v>736</v>
      </c>
    </row>
    <row r="615" spans="2:4">
      <c r="B615" s="10">
        <v>1005</v>
      </c>
      <c r="C615" s="43">
        <v>200046</v>
      </c>
      <c r="D615" s="10" t="s">
        <v>736</v>
      </c>
    </row>
    <row r="616" spans="2:4">
      <c r="B616" s="10">
        <v>1005</v>
      </c>
      <c r="C616" s="43">
        <v>200048</v>
      </c>
      <c r="D616" s="10" t="s">
        <v>736</v>
      </c>
    </row>
    <row r="617" spans="2:4">
      <c r="B617" s="10">
        <v>1005</v>
      </c>
      <c r="C617" s="43">
        <v>200053</v>
      </c>
      <c r="D617" s="10" t="s">
        <v>736</v>
      </c>
    </row>
    <row r="618" spans="2:4">
      <c r="B618" s="10">
        <v>1005</v>
      </c>
      <c r="C618" s="43">
        <v>200059</v>
      </c>
      <c r="D618" s="10" t="s">
        <v>736</v>
      </c>
    </row>
    <row r="619" spans="2:4" ht="13.5" customHeight="1">
      <c r="B619" s="10">
        <v>1005</v>
      </c>
      <c r="C619" s="43">
        <v>200066</v>
      </c>
      <c r="D619" s="10" t="s">
        <v>736</v>
      </c>
    </row>
    <row r="620" spans="2:4" ht="13.5" customHeight="1">
      <c r="B620" s="10">
        <v>1005</v>
      </c>
      <c r="C620" s="43">
        <v>200067</v>
      </c>
      <c r="D620" s="10" t="s">
        <v>736</v>
      </c>
    </row>
    <row r="621" spans="2:4" ht="13.5" customHeight="1">
      <c r="B621" s="10">
        <v>1005</v>
      </c>
      <c r="C621" s="43">
        <v>200068</v>
      </c>
      <c r="D621" s="10" t="s">
        <v>736</v>
      </c>
    </row>
    <row r="622" spans="2:4" ht="13.5" customHeight="1">
      <c r="B622" s="10">
        <v>1005</v>
      </c>
      <c r="C622" s="43">
        <v>200069</v>
      </c>
      <c r="D622" s="10" t="s">
        <v>736</v>
      </c>
    </row>
    <row r="623" spans="2:4" ht="13.5" customHeight="1">
      <c r="B623" s="10">
        <v>1005</v>
      </c>
      <c r="C623" s="43">
        <v>200074</v>
      </c>
      <c r="D623" s="10" t="s">
        <v>736</v>
      </c>
    </row>
    <row r="624" spans="2:4" ht="13.5" customHeight="1">
      <c r="B624" s="10">
        <v>1005</v>
      </c>
      <c r="C624" s="43">
        <v>200077</v>
      </c>
      <c r="D624" s="270" t="s">
        <v>1842</v>
      </c>
    </row>
    <row r="625" spans="1:5" ht="13.5" customHeight="1">
      <c r="A625" s="270" t="s">
        <v>2031</v>
      </c>
      <c r="B625" s="10">
        <v>1005</v>
      </c>
      <c r="C625" s="10">
        <v>200083</v>
      </c>
      <c r="D625" s="270" t="s">
        <v>1842</v>
      </c>
    </row>
    <row r="626" spans="1:5" ht="13.5" customHeight="1">
      <c r="A626" s="270" t="s">
        <v>2029</v>
      </c>
      <c r="B626" s="10">
        <v>1005</v>
      </c>
      <c r="C626" s="10">
        <v>200084</v>
      </c>
      <c r="D626" s="270" t="s">
        <v>1842</v>
      </c>
    </row>
    <row r="627" spans="1:5" ht="13.5" customHeight="1">
      <c r="A627" s="270" t="s">
        <v>2027</v>
      </c>
      <c r="B627" s="10">
        <v>1005</v>
      </c>
      <c r="C627" s="10">
        <v>200093</v>
      </c>
      <c r="D627" s="270" t="s">
        <v>1842</v>
      </c>
    </row>
    <row r="628" spans="1:5" ht="13.5" customHeight="1">
      <c r="A628" s="270" t="s">
        <v>2025</v>
      </c>
      <c r="B628" s="10">
        <v>1005</v>
      </c>
      <c r="C628" s="10">
        <v>200094</v>
      </c>
      <c r="D628" s="270" t="s">
        <v>1842</v>
      </c>
    </row>
    <row r="629" spans="1:5" ht="13.5" customHeight="1">
      <c r="A629" s="270" t="s">
        <v>2023</v>
      </c>
      <c r="B629" s="10">
        <v>1005</v>
      </c>
      <c r="C629" s="10">
        <v>200091</v>
      </c>
      <c r="D629" s="270" t="s">
        <v>1842</v>
      </c>
    </row>
    <row r="630" spans="1:5" ht="13.5" customHeight="1">
      <c r="A630" s="270" t="s">
        <v>2041</v>
      </c>
      <c r="B630" s="10">
        <v>1005</v>
      </c>
      <c r="C630" s="10">
        <v>20000107</v>
      </c>
      <c r="D630" s="270" t="s">
        <v>1842</v>
      </c>
    </row>
    <row r="631" spans="1:5" ht="13.5" customHeight="1">
      <c r="A631" s="270" t="s">
        <v>2061</v>
      </c>
      <c r="B631" s="43">
        <v>1005</v>
      </c>
      <c r="C631" s="43">
        <v>200099</v>
      </c>
      <c r="D631" s="43" t="s">
        <v>1842</v>
      </c>
    </row>
    <row r="632" spans="1:5" ht="13.5" customHeight="1">
      <c r="A632" s="270" t="s">
        <v>2062</v>
      </c>
      <c r="B632" s="43">
        <v>1005</v>
      </c>
      <c r="C632" s="43">
        <v>200098</v>
      </c>
      <c r="D632" s="43" t="s">
        <v>1842</v>
      </c>
    </row>
    <row r="633" spans="1:5" ht="13.5" customHeight="1">
      <c r="A633" s="315" t="s">
        <v>2092</v>
      </c>
      <c r="B633" s="43">
        <v>1005</v>
      </c>
      <c r="C633" s="315">
        <v>20000106</v>
      </c>
      <c r="D633" s="315" t="s">
        <v>736</v>
      </c>
    </row>
    <row r="634" spans="1:5" ht="13.5" customHeight="1">
      <c r="A634" s="328" t="s">
        <v>2122</v>
      </c>
      <c r="B634" s="282">
        <v>1005</v>
      </c>
      <c r="C634" s="327">
        <v>20000113</v>
      </c>
      <c r="D634" s="327" t="s">
        <v>736</v>
      </c>
      <c r="E634" s="10">
        <v>251021</v>
      </c>
    </row>
    <row r="635" spans="1:5" ht="13.5" customHeight="1">
      <c r="A635" s="328" t="s">
        <v>2123</v>
      </c>
      <c r="B635" s="282">
        <v>1005</v>
      </c>
      <c r="C635" s="327">
        <v>20000114</v>
      </c>
      <c r="D635" s="327" t="s">
        <v>736</v>
      </c>
      <c r="E635" s="10">
        <v>251021</v>
      </c>
    </row>
    <row r="636" spans="1:5" ht="13.5" customHeight="1">
      <c r="A636" s="328" t="s">
        <v>2124</v>
      </c>
      <c r="B636" s="282">
        <v>1005</v>
      </c>
      <c r="C636" s="327">
        <v>20000115</v>
      </c>
      <c r="D636" s="327" t="s">
        <v>736</v>
      </c>
      <c r="E636" s="10">
        <v>251021</v>
      </c>
    </row>
    <row r="637" spans="1:5" ht="13.5" customHeight="1">
      <c r="A637" s="328" t="s">
        <v>2125</v>
      </c>
      <c r="B637" s="282">
        <v>1005</v>
      </c>
      <c r="C637" s="327">
        <v>20000116</v>
      </c>
      <c r="D637" s="327" t="s">
        <v>736</v>
      </c>
      <c r="E637" s="10">
        <v>251021</v>
      </c>
    </row>
    <row r="638" spans="1:5">
      <c r="B638" s="282">
        <v>1005</v>
      </c>
      <c r="C638" s="127">
        <v>30520001</v>
      </c>
      <c r="D638" s="303" t="s">
        <v>737</v>
      </c>
      <c r="E638" s="10">
        <v>251111</v>
      </c>
    </row>
    <row r="639" spans="1:5">
      <c r="B639" s="282">
        <v>1005</v>
      </c>
      <c r="C639" s="127">
        <v>30530001</v>
      </c>
      <c r="D639" s="303" t="s">
        <v>737</v>
      </c>
      <c r="E639" s="10">
        <v>251111</v>
      </c>
    </row>
    <row r="640" spans="1:5">
      <c r="B640" s="282">
        <v>1005</v>
      </c>
      <c r="C640" s="127">
        <v>30560001</v>
      </c>
      <c r="D640" s="303" t="s">
        <v>737</v>
      </c>
      <c r="E640" s="10">
        <v>251111</v>
      </c>
    </row>
    <row r="641" spans="2:12">
      <c r="B641" s="282">
        <v>1005</v>
      </c>
      <c r="C641" s="127">
        <v>30610001</v>
      </c>
      <c r="D641" s="303" t="s">
        <v>737</v>
      </c>
      <c r="E641" s="10">
        <v>251111</v>
      </c>
    </row>
    <row r="642" spans="2:12">
      <c r="B642" s="283">
        <v>1005</v>
      </c>
      <c r="C642" s="286">
        <v>305007</v>
      </c>
      <c r="D642" s="10" t="s">
        <v>737</v>
      </c>
      <c r="I642" s="286">
        <v>305007</v>
      </c>
      <c r="J642" s="286" t="s">
        <v>1213</v>
      </c>
      <c r="K642" s="286">
        <v>1</v>
      </c>
      <c r="L642" s="287" t="s">
        <v>1828</v>
      </c>
    </row>
    <row r="643" spans="2:12">
      <c r="B643" s="283">
        <v>1005</v>
      </c>
      <c r="C643" s="286">
        <v>305008</v>
      </c>
      <c r="D643" s="10" t="s">
        <v>737</v>
      </c>
      <c r="I643" s="286">
        <v>305008</v>
      </c>
      <c r="J643" s="286" t="s">
        <v>1217</v>
      </c>
      <c r="K643" s="286">
        <v>1</v>
      </c>
      <c r="L643" s="287" t="s">
        <v>1828</v>
      </c>
    </row>
    <row r="644" spans="2:12">
      <c r="B644" s="283">
        <v>1005</v>
      </c>
      <c r="C644" s="286">
        <v>305009</v>
      </c>
      <c r="D644" s="10" t="s">
        <v>737</v>
      </c>
      <c r="I644" s="286">
        <v>305009</v>
      </c>
      <c r="J644" s="286" t="s">
        <v>1220</v>
      </c>
      <c r="K644" s="286">
        <v>1</v>
      </c>
      <c r="L644" s="287" t="s">
        <v>1828</v>
      </c>
    </row>
    <row r="645" spans="2:12">
      <c r="B645" s="283">
        <v>1005</v>
      </c>
      <c r="C645" s="286">
        <v>305023</v>
      </c>
      <c r="D645" s="10" t="s">
        <v>737</v>
      </c>
      <c r="I645" s="286">
        <v>305023</v>
      </c>
      <c r="J645" s="286" t="s">
        <v>1277</v>
      </c>
      <c r="K645" s="286">
        <v>1</v>
      </c>
      <c r="L645" s="287" t="s">
        <v>1828</v>
      </c>
    </row>
    <row r="646" spans="2:12">
      <c r="B646" s="283">
        <v>1005</v>
      </c>
      <c r="C646" s="286">
        <v>305034</v>
      </c>
      <c r="D646" s="10" t="s">
        <v>737</v>
      </c>
      <c r="I646" s="286">
        <v>305034</v>
      </c>
      <c r="J646" s="286" t="s">
        <v>222</v>
      </c>
      <c r="K646" s="286">
        <v>1</v>
      </c>
      <c r="L646" s="287" t="s">
        <v>1828</v>
      </c>
    </row>
    <row r="647" spans="2:12">
      <c r="B647" s="283">
        <v>1005</v>
      </c>
      <c r="C647" s="286">
        <v>305035</v>
      </c>
      <c r="D647" s="10" t="s">
        <v>737</v>
      </c>
      <c r="I647" s="286">
        <v>305035</v>
      </c>
      <c r="J647" s="286" t="s">
        <v>227</v>
      </c>
      <c r="K647" s="286">
        <v>1</v>
      </c>
      <c r="L647" s="287" t="s">
        <v>1828</v>
      </c>
    </row>
    <row r="648" spans="2:12">
      <c r="B648" s="283">
        <v>1005</v>
      </c>
      <c r="C648" s="286">
        <v>305036</v>
      </c>
      <c r="D648" s="10" t="s">
        <v>737</v>
      </c>
      <c r="I648" s="286">
        <v>305036</v>
      </c>
      <c r="J648" s="286" t="s">
        <v>232</v>
      </c>
      <c r="K648" s="286">
        <v>1</v>
      </c>
      <c r="L648" s="287" t="s">
        <v>1828</v>
      </c>
    </row>
    <row r="649" spans="2:12">
      <c r="B649" s="283">
        <v>1005</v>
      </c>
      <c r="C649" s="286">
        <v>305039</v>
      </c>
      <c r="D649" s="10" t="s">
        <v>737</v>
      </c>
      <c r="I649" s="286">
        <v>305039</v>
      </c>
      <c r="J649" s="286" t="s">
        <v>1829</v>
      </c>
      <c r="K649" s="286">
        <v>1</v>
      </c>
      <c r="L649" s="287" t="s">
        <v>1828</v>
      </c>
    </row>
    <row r="650" spans="2:12">
      <c r="B650" s="283">
        <v>1005</v>
      </c>
      <c r="C650" s="286">
        <v>305040</v>
      </c>
      <c r="D650" s="10" t="s">
        <v>737</v>
      </c>
      <c r="I650" s="286">
        <v>305040</v>
      </c>
      <c r="J650" s="286" t="s">
        <v>277</v>
      </c>
      <c r="K650" s="286">
        <v>1</v>
      </c>
      <c r="L650" s="287" t="s">
        <v>1828</v>
      </c>
    </row>
    <row r="651" spans="2:12">
      <c r="B651" s="283">
        <v>1005</v>
      </c>
      <c r="C651" s="286">
        <v>305200</v>
      </c>
      <c r="D651" s="10" t="s">
        <v>737</v>
      </c>
      <c r="I651" s="286">
        <v>305200</v>
      </c>
      <c r="J651" s="286" t="s">
        <v>313</v>
      </c>
      <c r="K651" s="286">
        <v>1</v>
      </c>
      <c r="L651" s="287" t="s">
        <v>1828</v>
      </c>
    </row>
    <row r="652" spans="2:12">
      <c r="B652" s="283">
        <v>1005</v>
      </c>
      <c r="C652" s="288">
        <v>305224</v>
      </c>
      <c r="D652" s="10" t="s">
        <v>737</v>
      </c>
      <c r="I652" s="288">
        <v>305224</v>
      </c>
      <c r="J652" s="10" t="s">
        <v>1890</v>
      </c>
      <c r="K652" s="286">
        <v>1</v>
      </c>
      <c r="L652" s="287" t="s">
        <v>1828</v>
      </c>
    </row>
    <row r="653" spans="2:12">
      <c r="B653" s="283">
        <v>1005</v>
      </c>
      <c r="C653" s="288">
        <v>305225</v>
      </c>
      <c r="D653" s="10" t="s">
        <v>737</v>
      </c>
      <c r="I653" s="288">
        <v>305225</v>
      </c>
      <c r="J653" s="10" t="s">
        <v>1888</v>
      </c>
      <c r="K653" s="286">
        <v>1</v>
      </c>
      <c r="L653" s="287" t="s">
        <v>1828</v>
      </c>
    </row>
    <row r="654" spans="2:12">
      <c r="B654" s="283">
        <v>1005</v>
      </c>
      <c r="C654" s="288">
        <v>305226</v>
      </c>
      <c r="D654" s="10" t="s">
        <v>737</v>
      </c>
      <c r="I654" s="288">
        <v>305226</v>
      </c>
      <c r="J654" s="10" t="s">
        <v>1891</v>
      </c>
      <c r="K654" s="286">
        <v>1</v>
      </c>
      <c r="L654" s="287" t="s">
        <v>1828</v>
      </c>
    </row>
    <row r="655" spans="2:12">
      <c r="B655" s="283">
        <v>1005</v>
      </c>
      <c r="C655" s="289">
        <v>305010</v>
      </c>
      <c r="D655" s="10" t="s">
        <v>737</v>
      </c>
      <c r="I655" s="289">
        <v>305010</v>
      </c>
      <c r="J655" s="289" t="s">
        <v>1223</v>
      </c>
      <c r="K655" s="289">
        <v>2</v>
      </c>
      <c r="L655" s="290" t="s">
        <v>1830</v>
      </c>
    </row>
    <row r="656" spans="2:12">
      <c r="B656" s="283">
        <v>1005</v>
      </c>
      <c r="C656" s="289">
        <v>305021</v>
      </c>
      <c r="D656" s="10" t="s">
        <v>737</v>
      </c>
      <c r="I656" s="289">
        <v>305021</v>
      </c>
      <c r="J656" s="289" t="s">
        <v>1270</v>
      </c>
      <c r="K656" s="289">
        <v>2</v>
      </c>
      <c r="L656" s="290" t="s">
        <v>1830</v>
      </c>
    </row>
    <row r="657" spans="2:12">
      <c r="B657" s="283">
        <v>1005</v>
      </c>
      <c r="C657" s="289">
        <v>305022</v>
      </c>
      <c r="D657" s="10" t="s">
        <v>737</v>
      </c>
      <c r="I657" s="289">
        <v>305022</v>
      </c>
      <c r="J657" s="289" t="s">
        <v>1273</v>
      </c>
      <c r="K657" s="289">
        <v>2</v>
      </c>
      <c r="L657" s="290" t="s">
        <v>1830</v>
      </c>
    </row>
    <row r="658" spans="2:12">
      <c r="B658" s="283">
        <v>1005</v>
      </c>
      <c r="C658" s="289">
        <v>305032</v>
      </c>
      <c r="D658" s="10" t="s">
        <v>737</v>
      </c>
      <c r="I658" s="289">
        <v>305032</v>
      </c>
      <c r="J658" s="289" t="s">
        <v>213</v>
      </c>
      <c r="K658" s="289">
        <v>2</v>
      </c>
      <c r="L658" s="290" t="s">
        <v>1830</v>
      </c>
    </row>
    <row r="659" spans="2:12">
      <c r="B659" s="283">
        <v>1005</v>
      </c>
      <c r="C659" s="289">
        <v>305033</v>
      </c>
      <c r="D659" s="10" t="s">
        <v>737</v>
      </c>
      <c r="I659" s="289">
        <v>305033</v>
      </c>
      <c r="J659" s="289" t="s">
        <v>217</v>
      </c>
      <c r="K659" s="289">
        <v>2</v>
      </c>
      <c r="L659" s="290" t="s">
        <v>1830</v>
      </c>
    </row>
    <row r="660" spans="2:12">
      <c r="B660" s="283">
        <v>1005</v>
      </c>
      <c r="C660" s="289">
        <v>305037</v>
      </c>
      <c r="D660" s="10" t="s">
        <v>737</v>
      </c>
      <c r="I660" s="289">
        <v>305037</v>
      </c>
      <c r="J660" s="289" t="s">
        <v>264</v>
      </c>
      <c r="K660" s="289">
        <v>2</v>
      </c>
      <c r="L660" s="290" t="s">
        <v>1830</v>
      </c>
    </row>
    <row r="661" spans="2:12">
      <c r="B661" s="283">
        <v>1005</v>
      </c>
      <c r="C661" s="289">
        <v>305038</v>
      </c>
      <c r="D661" s="10" t="s">
        <v>737</v>
      </c>
      <c r="I661" s="289">
        <v>305038</v>
      </c>
      <c r="J661" s="289" t="s">
        <v>268</v>
      </c>
      <c r="K661" s="289">
        <v>2</v>
      </c>
      <c r="L661" s="290" t="s">
        <v>1830</v>
      </c>
    </row>
    <row r="662" spans="2:12">
      <c r="B662" s="283">
        <v>1005</v>
      </c>
      <c r="C662" s="289">
        <v>305300</v>
      </c>
      <c r="D662" s="10" t="s">
        <v>737</v>
      </c>
      <c r="I662" s="289">
        <v>305300</v>
      </c>
      <c r="J662" s="289" t="s">
        <v>318</v>
      </c>
      <c r="K662" s="289">
        <v>2</v>
      </c>
      <c r="L662" s="290" t="s">
        <v>1830</v>
      </c>
    </row>
    <row r="663" spans="2:12">
      <c r="B663" s="283">
        <v>1005</v>
      </c>
      <c r="C663" s="288">
        <v>305324</v>
      </c>
      <c r="D663" s="10" t="s">
        <v>737</v>
      </c>
      <c r="I663" s="288">
        <v>305324</v>
      </c>
      <c r="J663" s="10" t="s">
        <v>1887</v>
      </c>
      <c r="K663" s="289">
        <v>2</v>
      </c>
      <c r="L663" s="290" t="s">
        <v>1830</v>
      </c>
    </row>
    <row r="664" spans="2:12">
      <c r="B664" s="283">
        <v>1005</v>
      </c>
      <c r="C664" s="288">
        <v>305325</v>
      </c>
      <c r="D664" s="10" t="s">
        <v>737</v>
      </c>
      <c r="I664" s="288">
        <v>305325</v>
      </c>
      <c r="J664" s="10" t="s">
        <v>1888</v>
      </c>
      <c r="K664" s="289">
        <v>2</v>
      </c>
      <c r="L664" s="290" t="s">
        <v>1830</v>
      </c>
    </row>
    <row r="665" spans="2:12">
      <c r="B665" s="283">
        <v>1005</v>
      </c>
      <c r="C665" s="288">
        <v>305326</v>
      </c>
      <c r="D665" s="10" t="s">
        <v>737</v>
      </c>
      <c r="I665" s="288">
        <v>305326</v>
      </c>
      <c r="J665" s="10" t="s">
        <v>1889</v>
      </c>
      <c r="K665" s="289">
        <v>2</v>
      </c>
      <c r="L665" s="290" t="s">
        <v>1830</v>
      </c>
    </row>
    <row r="666" spans="2:12">
      <c r="B666" s="283">
        <v>1005</v>
      </c>
      <c r="C666" s="291">
        <v>305001</v>
      </c>
      <c r="D666" s="10" t="s">
        <v>737</v>
      </c>
      <c r="I666" s="291">
        <v>305001</v>
      </c>
      <c r="J666" s="291" t="s">
        <v>176</v>
      </c>
      <c r="K666" s="291">
        <v>0</v>
      </c>
      <c r="L666" s="292" t="s">
        <v>1827</v>
      </c>
    </row>
    <row r="667" spans="2:12">
      <c r="B667" s="283">
        <v>1005</v>
      </c>
      <c r="C667" s="291">
        <v>305002</v>
      </c>
      <c r="D667" s="10" t="s">
        <v>737</v>
      </c>
      <c r="I667" s="291">
        <v>305002</v>
      </c>
      <c r="J667" s="291" t="s">
        <v>181</v>
      </c>
      <c r="K667" s="291">
        <v>0</v>
      </c>
      <c r="L667" s="292" t="s">
        <v>1827</v>
      </c>
    </row>
    <row r="668" spans="2:12">
      <c r="B668" s="283">
        <v>1005</v>
      </c>
      <c r="C668" s="291">
        <v>305003</v>
      </c>
      <c r="D668" s="10" t="s">
        <v>737</v>
      </c>
      <c r="I668" s="291">
        <v>305003</v>
      </c>
      <c r="J668" s="291" t="s">
        <v>186</v>
      </c>
      <c r="K668" s="291">
        <v>0</v>
      </c>
      <c r="L668" s="292" t="s">
        <v>1827</v>
      </c>
    </row>
    <row r="669" spans="2:12">
      <c r="B669" s="283">
        <v>1005</v>
      </c>
      <c r="C669" s="291">
        <v>305018</v>
      </c>
      <c r="D669" s="10" t="s">
        <v>737</v>
      </c>
      <c r="I669" s="291">
        <v>305018</v>
      </c>
      <c r="J669" s="291" t="s">
        <v>191</v>
      </c>
      <c r="K669" s="291">
        <v>0</v>
      </c>
      <c r="L669" s="292" t="s">
        <v>1827</v>
      </c>
    </row>
    <row r="670" spans="2:12">
      <c r="B670" s="283">
        <v>1005</v>
      </c>
      <c r="C670" s="291">
        <v>305019</v>
      </c>
      <c r="D670" s="10" t="s">
        <v>737</v>
      </c>
      <c r="I670" s="291">
        <v>305019</v>
      </c>
      <c r="J670" s="291" t="s">
        <v>196</v>
      </c>
      <c r="K670" s="291">
        <v>0</v>
      </c>
      <c r="L670" s="292" t="s">
        <v>1827</v>
      </c>
    </row>
    <row r="671" spans="2:12">
      <c r="B671" s="283">
        <v>1005</v>
      </c>
      <c r="C671" s="291">
        <v>305041</v>
      </c>
      <c r="D671" s="10" t="s">
        <v>737</v>
      </c>
      <c r="I671" s="291">
        <v>305041</v>
      </c>
      <c r="J671" s="291" t="s">
        <v>282</v>
      </c>
      <c r="K671" s="291">
        <v>0</v>
      </c>
      <c r="L671" s="292" t="s">
        <v>1827</v>
      </c>
    </row>
    <row r="672" spans="2:12">
      <c r="B672" s="283">
        <v>1005</v>
      </c>
      <c r="C672" s="291">
        <v>305042</v>
      </c>
      <c r="D672" s="10" t="s">
        <v>737</v>
      </c>
      <c r="I672" s="291">
        <v>305042</v>
      </c>
      <c r="J672" s="291" t="s">
        <v>287</v>
      </c>
      <c r="K672" s="291">
        <v>0</v>
      </c>
      <c r="L672" s="292" t="s">
        <v>1827</v>
      </c>
    </row>
    <row r="673" spans="2:22">
      <c r="B673" s="283">
        <v>1005</v>
      </c>
      <c r="C673" s="291">
        <v>305600</v>
      </c>
      <c r="D673" s="10" t="s">
        <v>737</v>
      </c>
      <c r="I673" s="291">
        <v>305600</v>
      </c>
      <c r="J673" s="291" t="s">
        <v>323</v>
      </c>
      <c r="K673" s="291">
        <v>0</v>
      </c>
      <c r="L673" s="292" t="s">
        <v>1827</v>
      </c>
    </row>
    <row r="674" spans="2:22">
      <c r="B674" s="283">
        <v>1005</v>
      </c>
      <c r="C674" s="288">
        <v>305623</v>
      </c>
      <c r="D674" s="10" t="s">
        <v>737</v>
      </c>
      <c r="I674" s="288">
        <v>305623</v>
      </c>
      <c r="J674" s="10" t="s">
        <v>1864</v>
      </c>
      <c r="K674" s="291">
        <v>0</v>
      </c>
      <c r="L674" s="292" t="s">
        <v>1827</v>
      </c>
    </row>
    <row r="675" spans="2:22">
      <c r="B675" s="283">
        <v>1005</v>
      </c>
      <c r="C675" s="288">
        <v>305624</v>
      </c>
      <c r="D675" s="10" t="s">
        <v>737</v>
      </c>
      <c r="I675" s="288">
        <v>305624</v>
      </c>
      <c r="J675" s="10" t="s">
        <v>1865</v>
      </c>
      <c r="K675" s="291">
        <v>0</v>
      </c>
      <c r="L675" s="292" t="s">
        <v>1827</v>
      </c>
    </row>
    <row r="676" spans="2:22">
      <c r="B676" s="283">
        <v>1005</v>
      </c>
      <c r="C676" s="288">
        <v>305625</v>
      </c>
      <c r="D676" s="10" t="s">
        <v>737</v>
      </c>
      <c r="I676" s="288">
        <v>305625</v>
      </c>
      <c r="J676" s="10" t="s">
        <v>1866</v>
      </c>
      <c r="K676" s="291">
        <v>0</v>
      </c>
      <c r="L676" s="292" t="s">
        <v>1827</v>
      </c>
    </row>
    <row r="677" spans="2:22">
      <c r="B677" s="283">
        <v>1005</v>
      </c>
      <c r="C677" s="288">
        <v>305626</v>
      </c>
      <c r="D677" s="10" t="s">
        <v>737</v>
      </c>
      <c r="I677" s="288">
        <v>305626</v>
      </c>
      <c r="J677" s="10" t="s">
        <v>1867</v>
      </c>
      <c r="K677" s="291">
        <v>0</v>
      </c>
      <c r="L677" s="292" t="s">
        <v>1827</v>
      </c>
    </row>
    <row r="678" spans="2:22">
      <c r="B678" s="283">
        <v>1005</v>
      </c>
      <c r="C678" s="293">
        <v>305012</v>
      </c>
      <c r="D678" s="10" t="s">
        <v>737</v>
      </c>
      <c r="I678" s="293">
        <v>305012</v>
      </c>
      <c r="J678" s="293" t="s">
        <v>1230</v>
      </c>
      <c r="K678" s="293">
        <v>6</v>
      </c>
      <c r="L678" s="294" t="s">
        <v>1833</v>
      </c>
    </row>
    <row r="679" spans="2:22">
      <c r="B679" s="283">
        <v>1005</v>
      </c>
      <c r="C679" s="293">
        <v>305013</v>
      </c>
      <c r="D679" s="10" t="s">
        <v>737</v>
      </c>
      <c r="I679" s="293">
        <v>305013</v>
      </c>
      <c r="J679" s="293" t="s">
        <v>1237</v>
      </c>
      <c r="K679" s="293">
        <v>6</v>
      </c>
      <c r="L679" s="294" t="s">
        <v>1833</v>
      </c>
    </row>
    <row r="680" spans="2:22">
      <c r="B680" s="283">
        <v>1005</v>
      </c>
      <c r="C680" s="293">
        <v>305014</v>
      </c>
      <c r="D680" s="10" t="s">
        <v>737</v>
      </c>
      <c r="I680" s="293">
        <v>305014</v>
      </c>
      <c r="J680" s="293" t="s">
        <v>1241</v>
      </c>
      <c r="K680" s="293">
        <v>6</v>
      </c>
      <c r="L680" s="294" t="s">
        <v>1833</v>
      </c>
    </row>
    <row r="681" spans="2:22" s="285" customFormat="1">
      <c r="B681" s="283">
        <v>1005</v>
      </c>
      <c r="C681" s="293">
        <v>305046</v>
      </c>
      <c r="D681" s="285" t="s">
        <v>737</v>
      </c>
      <c r="G681" s="10"/>
      <c r="H681" s="10"/>
      <c r="I681" s="293">
        <v>305046</v>
      </c>
      <c r="J681" s="293" t="s">
        <v>309</v>
      </c>
      <c r="K681" s="293">
        <v>6</v>
      </c>
      <c r="L681" s="294" t="s">
        <v>1833</v>
      </c>
      <c r="M681" s="10"/>
      <c r="R681" s="10"/>
      <c r="S681" s="10"/>
      <c r="T681" s="10"/>
      <c r="U681" s="10"/>
      <c r="V681" s="10"/>
    </row>
    <row r="682" spans="2:22">
      <c r="B682" s="283">
        <v>1005</v>
      </c>
      <c r="C682" s="288">
        <v>305815</v>
      </c>
      <c r="D682" s="10" t="s">
        <v>737</v>
      </c>
      <c r="I682" s="288">
        <v>305815</v>
      </c>
      <c r="J682" s="10" t="s">
        <v>1868</v>
      </c>
      <c r="K682" s="293">
        <v>6</v>
      </c>
      <c r="L682" s="294" t="s">
        <v>1833</v>
      </c>
    </row>
    <row r="683" spans="2:22">
      <c r="B683" s="283">
        <v>1005</v>
      </c>
      <c r="C683" s="288">
        <v>305816</v>
      </c>
      <c r="D683" s="10" t="s">
        <v>737</v>
      </c>
      <c r="I683" s="288">
        <v>305816</v>
      </c>
      <c r="J683" s="10" t="s">
        <v>1869</v>
      </c>
      <c r="K683" s="293">
        <v>6</v>
      </c>
      <c r="L683" s="294" t="s">
        <v>1833</v>
      </c>
    </row>
    <row r="684" spans="2:22">
      <c r="B684" s="283">
        <v>1005</v>
      </c>
      <c r="C684" s="288">
        <v>305817</v>
      </c>
      <c r="D684" s="10" t="s">
        <v>737</v>
      </c>
      <c r="I684" s="288">
        <v>305817</v>
      </c>
      <c r="J684" s="10" t="s">
        <v>1870</v>
      </c>
      <c r="K684" s="293">
        <v>6</v>
      </c>
      <c r="L684" s="294" t="s">
        <v>1833</v>
      </c>
    </row>
    <row r="685" spans="2:22" s="285" customFormat="1">
      <c r="B685" s="283">
        <v>1005</v>
      </c>
      <c r="C685" s="288">
        <v>305818</v>
      </c>
      <c r="D685" s="285" t="s">
        <v>737</v>
      </c>
      <c r="G685" s="10"/>
      <c r="H685" s="10"/>
      <c r="I685" s="288">
        <v>305818</v>
      </c>
      <c r="J685" s="10" t="s">
        <v>1871</v>
      </c>
      <c r="K685" s="293">
        <v>6</v>
      </c>
      <c r="L685" s="294" t="s">
        <v>1833</v>
      </c>
      <c r="M685" s="10"/>
      <c r="R685" s="10"/>
      <c r="S685" s="10"/>
      <c r="T685" s="10"/>
      <c r="U685" s="10"/>
      <c r="V685" s="10"/>
    </row>
    <row r="686" spans="2:22">
      <c r="B686" s="283">
        <v>1005</v>
      </c>
      <c r="C686" s="288">
        <v>305819</v>
      </c>
      <c r="D686" s="10" t="s">
        <v>737</v>
      </c>
      <c r="I686" s="288">
        <v>305819</v>
      </c>
      <c r="J686" s="10" t="s">
        <v>1872</v>
      </c>
      <c r="K686" s="293">
        <v>6</v>
      </c>
      <c r="L686" s="294" t="s">
        <v>1833</v>
      </c>
    </row>
    <row r="687" spans="2:22" s="285" customFormat="1">
      <c r="B687" s="283">
        <v>1005</v>
      </c>
      <c r="C687" s="288">
        <v>305820</v>
      </c>
      <c r="D687" s="285" t="s">
        <v>737</v>
      </c>
      <c r="G687" s="10"/>
      <c r="H687" s="10"/>
      <c r="I687" s="288">
        <v>305820</v>
      </c>
      <c r="J687" s="10" t="s">
        <v>1873</v>
      </c>
      <c r="K687" s="293">
        <v>6</v>
      </c>
      <c r="L687" s="294" t="s">
        <v>1833</v>
      </c>
      <c r="M687" s="10"/>
      <c r="R687" s="10"/>
      <c r="S687" s="10"/>
      <c r="T687" s="10"/>
      <c r="U687" s="10"/>
      <c r="V687" s="10"/>
    </row>
    <row r="688" spans="2:22">
      <c r="B688" s="283">
        <v>1005</v>
      </c>
      <c r="C688" s="295">
        <v>305015</v>
      </c>
      <c r="D688" s="10" t="s">
        <v>737</v>
      </c>
      <c r="I688" s="295">
        <v>305015</v>
      </c>
      <c r="J688" s="295" t="s">
        <v>1245</v>
      </c>
      <c r="K688" s="295">
        <v>7</v>
      </c>
      <c r="L688" s="296" t="s">
        <v>538</v>
      </c>
    </row>
    <row r="689" spans="1:22">
      <c r="B689" s="283">
        <v>1005</v>
      </c>
      <c r="C689" s="295">
        <v>305016</v>
      </c>
      <c r="D689" s="10" t="s">
        <v>737</v>
      </c>
      <c r="I689" s="295">
        <v>305016</v>
      </c>
      <c r="J689" s="295" t="s">
        <v>1251</v>
      </c>
      <c r="K689" s="295">
        <v>7</v>
      </c>
      <c r="L689" s="296" t="s">
        <v>538</v>
      </c>
    </row>
    <row r="690" spans="1:22">
      <c r="B690" s="283">
        <v>1005</v>
      </c>
      <c r="C690" s="295">
        <v>305017</v>
      </c>
      <c r="D690" s="10" t="s">
        <v>737</v>
      </c>
      <c r="I690" s="295">
        <v>305017</v>
      </c>
      <c r="J690" s="295" t="s">
        <v>1255</v>
      </c>
      <c r="K690" s="295">
        <v>7</v>
      </c>
      <c r="L690" s="296" t="s">
        <v>538</v>
      </c>
    </row>
    <row r="691" spans="1:22">
      <c r="B691" s="283">
        <v>1005</v>
      </c>
      <c r="C691" s="295">
        <v>305700</v>
      </c>
      <c r="D691" s="10" t="s">
        <v>737</v>
      </c>
      <c r="I691" s="295">
        <v>305700</v>
      </c>
      <c r="J691" s="295" t="s">
        <v>328</v>
      </c>
      <c r="K691" s="295">
        <v>7</v>
      </c>
      <c r="L691" s="296" t="s">
        <v>538</v>
      </c>
    </row>
    <row r="692" spans="1:22">
      <c r="B692" s="283">
        <v>1005</v>
      </c>
      <c r="C692" s="288">
        <v>305719</v>
      </c>
      <c r="D692" s="10" t="s">
        <v>737</v>
      </c>
      <c r="I692" s="288">
        <v>305719</v>
      </c>
      <c r="J692" s="10" t="s">
        <v>1874</v>
      </c>
      <c r="K692" s="295">
        <v>7</v>
      </c>
      <c r="L692" s="296" t="s">
        <v>538</v>
      </c>
    </row>
    <row r="693" spans="1:22">
      <c r="B693" s="283">
        <v>1005</v>
      </c>
      <c r="C693" s="288">
        <v>305720</v>
      </c>
      <c r="D693" s="10" t="s">
        <v>737</v>
      </c>
      <c r="I693" s="288">
        <v>305720</v>
      </c>
      <c r="J693" s="10" t="s">
        <v>1875</v>
      </c>
      <c r="K693" s="295">
        <v>7</v>
      </c>
      <c r="L693" s="296" t="s">
        <v>538</v>
      </c>
    </row>
    <row r="694" spans="1:22">
      <c r="B694" s="283">
        <v>1005</v>
      </c>
      <c r="C694" s="288">
        <v>305721</v>
      </c>
      <c r="D694" s="10" t="s">
        <v>737</v>
      </c>
      <c r="I694" s="288">
        <v>305721</v>
      </c>
      <c r="J694" s="10" t="s">
        <v>1876</v>
      </c>
      <c r="K694" s="295">
        <v>7</v>
      </c>
      <c r="L694" s="296" t="s">
        <v>538</v>
      </c>
    </row>
    <row r="695" spans="1:22">
      <c r="B695" s="283">
        <v>1005</v>
      </c>
      <c r="C695" s="288">
        <v>305722</v>
      </c>
      <c r="D695" s="10" t="s">
        <v>737</v>
      </c>
      <c r="I695" s="288">
        <v>305722</v>
      </c>
      <c r="J695" s="10" t="s">
        <v>1877</v>
      </c>
      <c r="K695" s="295">
        <v>7</v>
      </c>
      <c r="L695" s="296" t="s">
        <v>538</v>
      </c>
    </row>
    <row r="696" spans="1:22">
      <c r="B696" s="283">
        <v>1005</v>
      </c>
      <c r="C696" s="288">
        <v>305723</v>
      </c>
      <c r="D696" s="10" t="s">
        <v>737</v>
      </c>
      <c r="I696" s="288">
        <v>305723</v>
      </c>
      <c r="J696" s="10" t="s">
        <v>1878</v>
      </c>
      <c r="K696" s="295">
        <v>7</v>
      </c>
      <c r="L696" s="296" t="s">
        <v>538</v>
      </c>
    </row>
    <row r="697" spans="1:22">
      <c r="B697" s="283">
        <v>1005</v>
      </c>
      <c r="C697" s="288">
        <v>305724</v>
      </c>
      <c r="D697" s="10" t="s">
        <v>737</v>
      </c>
      <c r="I697" s="288">
        <v>305724</v>
      </c>
      <c r="J697" s="10" t="s">
        <v>1879</v>
      </c>
      <c r="K697" s="295">
        <v>7</v>
      </c>
      <c r="L697" s="296" t="s">
        <v>538</v>
      </c>
    </row>
    <row r="698" spans="1:22">
      <c r="B698" s="283">
        <v>1005</v>
      </c>
      <c r="C698" s="297">
        <v>305011</v>
      </c>
      <c r="D698" s="10" t="s">
        <v>737</v>
      </c>
      <c r="I698" s="297">
        <v>305011</v>
      </c>
      <c r="J698" s="297" t="s">
        <v>161</v>
      </c>
      <c r="K698" s="297">
        <v>3</v>
      </c>
      <c r="L698" s="298" t="s">
        <v>1831</v>
      </c>
    </row>
    <row r="699" spans="1:22">
      <c r="B699" s="283">
        <v>1005</v>
      </c>
      <c r="C699" s="299">
        <v>305025</v>
      </c>
      <c r="D699" s="10" t="s">
        <v>737</v>
      </c>
      <c r="I699" s="299">
        <v>305025</v>
      </c>
      <c r="J699" s="299" t="s">
        <v>200</v>
      </c>
      <c r="K699" s="299">
        <v>4</v>
      </c>
      <c r="L699" s="300" t="s">
        <v>1832</v>
      </c>
    </row>
    <row r="700" spans="1:22" s="285" customFormat="1">
      <c r="A700" s="10"/>
      <c r="B700" s="283">
        <v>1005</v>
      </c>
      <c r="C700" s="299">
        <v>305026</v>
      </c>
      <c r="D700" s="10" t="s">
        <v>737</v>
      </c>
      <c r="E700" s="10"/>
      <c r="F700" s="10"/>
      <c r="G700" s="10"/>
      <c r="H700" s="10"/>
      <c r="I700" s="299">
        <v>305026</v>
      </c>
      <c r="J700" s="299" t="s">
        <v>204</v>
      </c>
      <c r="K700" s="299">
        <v>4</v>
      </c>
      <c r="L700" s="300" t="s">
        <v>1832</v>
      </c>
      <c r="M700" s="10"/>
      <c r="N700" s="10"/>
      <c r="O700" s="10"/>
      <c r="P700" s="10"/>
      <c r="Q700" s="10"/>
      <c r="R700" s="10"/>
      <c r="S700" s="10"/>
      <c r="T700" s="10"/>
      <c r="U700" s="10"/>
      <c r="V700" s="10"/>
    </row>
    <row r="701" spans="1:22" s="285" customFormat="1">
      <c r="A701" s="10"/>
      <c r="B701" s="283">
        <v>1005</v>
      </c>
      <c r="C701" s="299">
        <v>305050</v>
      </c>
      <c r="D701" s="10" t="s">
        <v>737</v>
      </c>
      <c r="E701" s="10"/>
      <c r="F701" s="10"/>
      <c r="G701" s="10"/>
      <c r="H701" s="10"/>
      <c r="I701" s="299">
        <v>305050</v>
      </c>
      <c r="J701" s="299" t="s">
        <v>300</v>
      </c>
      <c r="K701" s="299">
        <v>4</v>
      </c>
      <c r="L701" s="300" t="s">
        <v>1832</v>
      </c>
      <c r="M701" s="10"/>
      <c r="N701" s="10"/>
      <c r="O701" s="10"/>
      <c r="P701" s="10"/>
      <c r="Q701" s="10"/>
      <c r="R701" s="10"/>
      <c r="S701" s="10"/>
      <c r="T701" s="10"/>
      <c r="U701" s="10"/>
      <c r="V701" s="10"/>
    </row>
    <row r="702" spans="1:22" s="285" customFormat="1">
      <c r="A702" s="10"/>
      <c r="B702" s="283">
        <v>1005</v>
      </c>
      <c r="C702" s="299">
        <v>305051</v>
      </c>
      <c r="D702" s="10" t="s">
        <v>737</v>
      </c>
      <c r="E702" s="10"/>
      <c r="F702" s="10"/>
      <c r="G702" s="10"/>
      <c r="H702" s="10"/>
      <c r="I702" s="299">
        <v>305051</v>
      </c>
      <c r="J702" s="299" t="s">
        <v>340</v>
      </c>
      <c r="K702" s="299">
        <v>4</v>
      </c>
      <c r="L702" s="300" t="s">
        <v>1832</v>
      </c>
      <c r="M702" s="10"/>
      <c r="N702" s="10"/>
      <c r="O702" s="10"/>
      <c r="P702" s="10"/>
      <c r="Q702" s="10"/>
      <c r="R702" s="10"/>
      <c r="S702" s="10"/>
      <c r="T702" s="10"/>
      <c r="U702" s="10"/>
      <c r="V702" s="10"/>
    </row>
    <row r="703" spans="1:22">
      <c r="B703" s="283">
        <v>1005</v>
      </c>
      <c r="C703" s="288">
        <v>305055</v>
      </c>
      <c r="D703" s="10" t="s">
        <v>737</v>
      </c>
      <c r="I703" s="288">
        <v>305055</v>
      </c>
      <c r="J703" s="10" t="s">
        <v>1880</v>
      </c>
      <c r="K703" s="299">
        <v>4</v>
      </c>
      <c r="L703" s="300" t="s">
        <v>1832</v>
      </c>
    </row>
    <row r="704" spans="1:22" s="285" customFormat="1">
      <c r="A704" s="10"/>
      <c r="B704" s="283">
        <v>1005</v>
      </c>
      <c r="C704" s="288">
        <v>305056</v>
      </c>
      <c r="D704" s="10" t="s">
        <v>737</v>
      </c>
      <c r="E704" s="10"/>
      <c r="F704" s="10"/>
      <c r="G704" s="10"/>
      <c r="H704" s="10"/>
      <c r="I704" s="288">
        <v>305056</v>
      </c>
      <c r="J704" s="10" t="s">
        <v>1881</v>
      </c>
      <c r="K704" s="299">
        <v>4</v>
      </c>
      <c r="L704" s="300" t="s">
        <v>1832</v>
      </c>
      <c r="M704" s="10"/>
      <c r="N704" s="10"/>
      <c r="O704" s="10"/>
      <c r="P704" s="10"/>
      <c r="Q704" s="10"/>
      <c r="R704" s="10"/>
      <c r="S704" s="10"/>
      <c r="T704" s="10"/>
      <c r="U704" s="10"/>
      <c r="V704" s="10"/>
    </row>
    <row r="705" spans="1:22" s="285" customFormat="1">
      <c r="A705" s="10"/>
      <c r="B705" s="283">
        <v>1005</v>
      </c>
      <c r="C705" s="288">
        <v>306104</v>
      </c>
      <c r="D705" s="10" t="s">
        <v>737</v>
      </c>
      <c r="E705" s="10"/>
      <c r="F705" s="10"/>
      <c r="G705" s="10"/>
      <c r="H705" s="10"/>
      <c r="I705" s="288">
        <v>306104</v>
      </c>
      <c r="J705" s="10" t="s">
        <v>1882</v>
      </c>
      <c r="K705" s="299">
        <v>4</v>
      </c>
      <c r="L705" s="300" t="s">
        <v>1886</v>
      </c>
      <c r="M705" s="10"/>
      <c r="N705" s="10"/>
      <c r="O705" s="10"/>
      <c r="P705" s="10"/>
      <c r="Q705" s="10"/>
      <c r="R705" s="10"/>
      <c r="S705" s="10"/>
      <c r="T705" s="10"/>
      <c r="U705" s="10"/>
      <c r="V705" s="10"/>
    </row>
    <row r="706" spans="1:22" s="285" customFormat="1">
      <c r="A706" s="10"/>
      <c r="B706" s="283">
        <v>1005</v>
      </c>
      <c r="C706" s="288">
        <v>306105</v>
      </c>
      <c r="D706" s="10" t="s">
        <v>737</v>
      </c>
      <c r="E706" s="10"/>
      <c r="F706" s="10"/>
      <c r="G706" s="10"/>
      <c r="H706" s="10"/>
      <c r="I706" s="288">
        <v>306105</v>
      </c>
      <c r="J706" s="10" t="s">
        <v>1883</v>
      </c>
      <c r="K706" s="299">
        <v>4</v>
      </c>
      <c r="L706" s="300" t="s">
        <v>1886</v>
      </c>
      <c r="M706" s="10"/>
      <c r="N706" s="10"/>
      <c r="O706" s="10"/>
      <c r="P706" s="10"/>
      <c r="Q706" s="10"/>
      <c r="R706" s="10"/>
      <c r="S706" s="10"/>
      <c r="T706" s="10"/>
      <c r="U706" s="10"/>
      <c r="V706" s="10"/>
    </row>
    <row r="707" spans="1:22" s="285" customFormat="1">
      <c r="A707" s="10"/>
      <c r="B707" s="283">
        <v>1005</v>
      </c>
      <c r="C707" s="288">
        <v>306106</v>
      </c>
      <c r="D707" s="10" t="s">
        <v>737</v>
      </c>
      <c r="E707" s="10"/>
      <c r="F707" s="10"/>
      <c r="G707" s="10"/>
      <c r="H707" s="10"/>
      <c r="I707" s="288">
        <v>306106</v>
      </c>
      <c r="J707" s="10" t="s">
        <v>1884</v>
      </c>
      <c r="K707" s="299">
        <v>4</v>
      </c>
      <c r="L707" s="300" t="s">
        <v>1886</v>
      </c>
      <c r="M707" s="10"/>
      <c r="N707" s="10"/>
      <c r="O707" s="10"/>
      <c r="P707" s="10"/>
      <c r="Q707" s="10"/>
      <c r="R707" s="10"/>
      <c r="S707" s="10"/>
      <c r="T707" s="10"/>
      <c r="U707" s="10"/>
      <c r="V707" s="10"/>
    </row>
    <row r="708" spans="1:22" s="285" customFormat="1">
      <c r="A708" s="10"/>
      <c r="B708" s="283">
        <v>1005</v>
      </c>
      <c r="C708" s="288">
        <v>306107</v>
      </c>
      <c r="D708" s="10" t="s">
        <v>737</v>
      </c>
      <c r="E708" s="10"/>
      <c r="F708" s="10"/>
      <c r="G708" s="10"/>
      <c r="H708" s="10"/>
      <c r="I708" s="288">
        <v>306107</v>
      </c>
      <c r="J708" s="10" t="s">
        <v>1885</v>
      </c>
      <c r="K708" s="299">
        <v>4</v>
      </c>
      <c r="L708" s="300" t="s">
        <v>1886</v>
      </c>
      <c r="M708" s="10"/>
      <c r="N708" s="10"/>
      <c r="O708" s="10"/>
      <c r="P708" s="10"/>
      <c r="Q708" s="10"/>
      <c r="R708" s="10"/>
      <c r="S708" s="10"/>
      <c r="T708" s="10"/>
      <c r="U708" s="10"/>
      <c r="V708" s="10"/>
    </row>
    <row r="709" spans="1:22">
      <c r="B709" s="10">
        <v>1005</v>
      </c>
      <c r="C709" s="282">
        <v>303012</v>
      </c>
      <c r="D709" s="301" t="s">
        <v>38</v>
      </c>
    </row>
    <row r="710" spans="1:22">
      <c r="B710" s="10">
        <v>1005</v>
      </c>
      <c r="C710" s="282">
        <v>303013</v>
      </c>
      <c r="D710" s="301" t="s">
        <v>38</v>
      </c>
    </row>
    <row r="711" spans="1:22">
      <c r="B711" s="10">
        <v>1005</v>
      </c>
      <c r="C711" s="282">
        <v>303022</v>
      </c>
      <c r="D711" s="301" t="s">
        <v>38</v>
      </c>
    </row>
    <row r="712" spans="1:22">
      <c r="B712" s="10">
        <v>1005</v>
      </c>
      <c r="C712" s="282">
        <v>303023</v>
      </c>
      <c r="D712" s="301" t="s">
        <v>38</v>
      </c>
    </row>
    <row r="713" spans="1:22">
      <c r="B713" s="10">
        <v>1005</v>
      </c>
      <c r="C713" s="282">
        <v>303032</v>
      </c>
      <c r="D713" s="301" t="s">
        <v>38</v>
      </c>
    </row>
    <row r="714" spans="1:22">
      <c r="B714" s="10">
        <v>1005</v>
      </c>
      <c r="C714" s="282">
        <v>303033</v>
      </c>
      <c r="D714" s="301" t="s">
        <v>38</v>
      </c>
    </row>
    <row r="715" spans="1:22">
      <c r="B715" s="10">
        <v>1005</v>
      </c>
      <c r="C715" s="282">
        <v>303042</v>
      </c>
      <c r="D715" s="301" t="s">
        <v>38</v>
      </c>
    </row>
    <row r="716" spans="1:22">
      <c r="B716" s="10">
        <v>1005</v>
      </c>
      <c r="C716" s="282">
        <v>303043</v>
      </c>
      <c r="D716" s="301" t="s">
        <v>38</v>
      </c>
    </row>
    <row r="717" spans="1:22">
      <c r="B717" s="10">
        <v>1005</v>
      </c>
      <c r="C717" s="282">
        <v>303052</v>
      </c>
      <c r="D717" s="301" t="s">
        <v>38</v>
      </c>
    </row>
    <row r="718" spans="1:22">
      <c r="B718" s="10">
        <v>1005</v>
      </c>
      <c r="C718" s="282">
        <v>303053</v>
      </c>
      <c r="D718" s="301" t="s">
        <v>38</v>
      </c>
    </row>
    <row r="719" spans="1:22">
      <c r="B719" s="10">
        <v>1005</v>
      </c>
      <c r="C719" s="282">
        <v>303062</v>
      </c>
      <c r="D719" s="301" t="s">
        <v>38</v>
      </c>
    </row>
    <row r="720" spans="1:22">
      <c r="B720" s="10">
        <v>1005</v>
      </c>
      <c r="C720" s="282">
        <v>303063</v>
      </c>
      <c r="D720" s="301" t="s">
        <v>38</v>
      </c>
    </row>
    <row r="721" spans="2:4">
      <c r="B721" s="10">
        <v>1005</v>
      </c>
      <c r="C721" s="282">
        <v>303072</v>
      </c>
      <c r="D721" s="301" t="s">
        <v>38</v>
      </c>
    </row>
    <row r="722" spans="2:4">
      <c r="B722" s="10">
        <v>1005</v>
      </c>
      <c r="C722" s="282">
        <v>303073</v>
      </c>
      <c r="D722" s="301" t="s">
        <v>38</v>
      </c>
    </row>
    <row r="723" spans="2:4">
      <c r="B723" s="10">
        <v>1005</v>
      </c>
      <c r="C723" s="282">
        <v>303082</v>
      </c>
      <c r="D723" s="301" t="s">
        <v>38</v>
      </c>
    </row>
    <row r="724" spans="2:4">
      <c r="B724" s="10">
        <v>1005</v>
      </c>
      <c r="C724" s="282">
        <v>303083</v>
      </c>
      <c r="D724" s="301" t="s">
        <v>38</v>
      </c>
    </row>
    <row r="725" spans="2:4" ht="13.5" customHeight="1">
      <c r="B725" s="10">
        <v>1006</v>
      </c>
      <c r="C725" s="43">
        <v>200011</v>
      </c>
      <c r="D725" s="10" t="s">
        <v>736</v>
      </c>
    </row>
    <row r="726" spans="2:4" ht="13.5" customHeight="1">
      <c r="B726" s="10">
        <v>1006</v>
      </c>
      <c r="C726" s="43">
        <v>200012</v>
      </c>
      <c r="D726" s="10" t="s">
        <v>736</v>
      </c>
    </row>
    <row r="727" spans="2:4" ht="13.5" customHeight="1">
      <c r="B727" s="10">
        <v>1006</v>
      </c>
      <c r="C727" s="43">
        <v>200013</v>
      </c>
      <c r="D727" s="10" t="s">
        <v>736</v>
      </c>
    </row>
    <row r="728" spans="2:4" ht="13.5" customHeight="1">
      <c r="B728" s="10">
        <v>1006</v>
      </c>
      <c r="C728" s="43">
        <v>200014</v>
      </c>
      <c r="D728" s="10" t="s">
        <v>736</v>
      </c>
    </row>
    <row r="729" spans="2:4">
      <c r="B729" s="10">
        <v>1006</v>
      </c>
      <c r="C729" s="43">
        <v>200022</v>
      </c>
      <c r="D729" s="10" t="s">
        <v>736</v>
      </c>
    </row>
    <row r="730" spans="2:4">
      <c r="B730" s="10">
        <v>1006</v>
      </c>
      <c r="C730" s="43">
        <v>200023</v>
      </c>
      <c r="D730" s="10" t="s">
        <v>736</v>
      </c>
    </row>
    <row r="731" spans="2:4">
      <c r="B731" s="10">
        <v>1006</v>
      </c>
      <c r="C731" s="43">
        <v>200025</v>
      </c>
      <c r="D731" s="10" t="s">
        <v>736</v>
      </c>
    </row>
    <row r="732" spans="2:4">
      <c r="B732" s="10">
        <v>1006</v>
      </c>
      <c r="C732" s="43">
        <v>200027</v>
      </c>
      <c r="D732" s="10" t="s">
        <v>736</v>
      </c>
    </row>
    <row r="733" spans="2:4">
      <c r="B733" s="10">
        <v>1006</v>
      </c>
      <c r="C733" s="43">
        <v>200030</v>
      </c>
      <c r="D733" s="10" t="s">
        <v>736</v>
      </c>
    </row>
    <row r="734" spans="2:4">
      <c r="B734" s="10">
        <v>1006</v>
      </c>
      <c r="C734" s="43">
        <v>200031</v>
      </c>
      <c r="D734" s="10" t="s">
        <v>736</v>
      </c>
    </row>
    <row r="735" spans="2:4">
      <c r="B735" s="10">
        <v>1006</v>
      </c>
      <c r="C735" s="43">
        <v>200039</v>
      </c>
      <c r="D735" s="10" t="s">
        <v>736</v>
      </c>
    </row>
    <row r="736" spans="2:4">
      <c r="B736" s="10">
        <v>1006</v>
      </c>
      <c r="C736" s="43">
        <v>200045</v>
      </c>
      <c r="D736" s="10" t="s">
        <v>736</v>
      </c>
    </row>
    <row r="737" spans="1:21">
      <c r="B737" s="10">
        <v>1006</v>
      </c>
      <c r="C737" s="43">
        <v>200047</v>
      </c>
      <c r="D737" s="10" t="s">
        <v>736</v>
      </c>
    </row>
    <row r="738" spans="1:21">
      <c r="B738" s="10">
        <v>1006</v>
      </c>
      <c r="C738" s="43">
        <v>200049</v>
      </c>
      <c r="D738" s="10" t="s">
        <v>736</v>
      </c>
    </row>
    <row r="739" spans="1:21" s="304" customFormat="1">
      <c r="A739" s="10"/>
      <c r="B739" s="10">
        <v>1006</v>
      </c>
      <c r="C739" s="43">
        <v>200054</v>
      </c>
      <c r="D739" s="10" t="s">
        <v>736</v>
      </c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8" customHeight="1">
      <c r="B740" s="10">
        <v>1006</v>
      </c>
      <c r="C740" s="43">
        <v>200060</v>
      </c>
      <c r="D740" s="10" t="s">
        <v>736</v>
      </c>
    </row>
    <row r="741" spans="1:21" ht="13.5" customHeight="1">
      <c r="B741" s="10">
        <v>1006</v>
      </c>
      <c r="C741" s="43">
        <v>200075</v>
      </c>
      <c r="D741" s="270" t="s">
        <v>1842</v>
      </c>
    </row>
    <row r="742" spans="1:21" ht="13.5" customHeight="1">
      <c r="A742" s="270" t="s">
        <v>2039</v>
      </c>
      <c r="B742" s="10">
        <v>1006</v>
      </c>
      <c r="C742" s="43">
        <v>200078</v>
      </c>
      <c r="D742" s="270" t="s">
        <v>1842</v>
      </c>
    </row>
    <row r="743" spans="1:21" ht="13.5" customHeight="1">
      <c r="A743" s="270" t="s">
        <v>2037</v>
      </c>
      <c r="B743" s="10">
        <v>1006</v>
      </c>
      <c r="C743" s="10">
        <v>200090</v>
      </c>
      <c r="D743" s="270" t="s">
        <v>1842</v>
      </c>
    </row>
    <row r="744" spans="1:21" ht="13.5" customHeight="1">
      <c r="A744" s="270" t="s">
        <v>2035</v>
      </c>
      <c r="B744" s="10">
        <v>1006</v>
      </c>
      <c r="C744" s="10">
        <v>200085</v>
      </c>
      <c r="D744" s="270" t="s">
        <v>1842</v>
      </c>
    </row>
    <row r="745" spans="1:21" ht="13.5" customHeight="1">
      <c r="A745" s="270" t="s">
        <v>2033</v>
      </c>
      <c r="B745" s="10">
        <v>1006</v>
      </c>
      <c r="C745" s="43">
        <v>200092</v>
      </c>
      <c r="D745" s="270" t="s">
        <v>1842</v>
      </c>
    </row>
    <row r="746" spans="1:21" ht="13.5" customHeight="1">
      <c r="A746" s="270" t="s">
        <v>2042</v>
      </c>
      <c r="B746" s="10">
        <v>1006</v>
      </c>
      <c r="C746" s="43">
        <v>200096</v>
      </c>
      <c r="D746" s="270" t="s">
        <v>1842</v>
      </c>
    </row>
    <row r="747" spans="1:21" ht="13.5" customHeight="1">
      <c r="A747" s="315" t="s">
        <v>2094</v>
      </c>
      <c r="B747" s="10">
        <v>1006</v>
      </c>
      <c r="C747" s="315">
        <v>200097</v>
      </c>
      <c r="D747" s="315" t="s">
        <v>736</v>
      </c>
    </row>
    <row r="748" spans="1:21" ht="13.5" customHeight="1">
      <c r="A748" s="328" t="s">
        <v>2122</v>
      </c>
      <c r="B748" s="282">
        <v>1006</v>
      </c>
      <c r="C748" s="327">
        <v>20000113</v>
      </c>
      <c r="D748" s="327" t="s">
        <v>736</v>
      </c>
      <c r="E748" s="10">
        <v>251021</v>
      </c>
    </row>
    <row r="749" spans="1:21" ht="13.5" customHeight="1">
      <c r="A749" s="328" t="s">
        <v>2123</v>
      </c>
      <c r="B749" s="282">
        <v>1006</v>
      </c>
      <c r="C749" s="327">
        <v>20000114</v>
      </c>
      <c r="D749" s="327" t="s">
        <v>736</v>
      </c>
      <c r="E749" s="10">
        <v>251021</v>
      </c>
    </row>
    <row r="750" spans="1:21" ht="13.5" customHeight="1">
      <c r="A750" s="328" t="s">
        <v>2124</v>
      </c>
      <c r="B750" s="282">
        <v>1006</v>
      </c>
      <c r="C750" s="327">
        <v>20000115</v>
      </c>
      <c r="D750" s="327" t="s">
        <v>736</v>
      </c>
      <c r="E750" s="10">
        <v>251021</v>
      </c>
    </row>
    <row r="751" spans="1:21" ht="13.5" customHeight="1">
      <c r="A751" s="328" t="s">
        <v>2125</v>
      </c>
      <c r="B751" s="282">
        <v>1006</v>
      </c>
      <c r="C751" s="327">
        <v>20000116</v>
      </c>
      <c r="D751" s="327" t="s">
        <v>736</v>
      </c>
      <c r="E751" s="10">
        <v>251021</v>
      </c>
    </row>
    <row r="752" spans="1:21">
      <c r="B752" s="282">
        <v>1006</v>
      </c>
      <c r="C752" s="127">
        <v>30520001</v>
      </c>
      <c r="D752" s="303" t="s">
        <v>737</v>
      </c>
      <c r="E752" s="10">
        <v>251111</v>
      </c>
    </row>
    <row r="753" spans="2:12">
      <c r="B753" s="282">
        <v>1006</v>
      </c>
      <c r="C753" s="127">
        <v>30530001</v>
      </c>
      <c r="D753" s="303" t="s">
        <v>737</v>
      </c>
      <c r="E753" s="10">
        <v>251111</v>
      </c>
    </row>
    <row r="754" spans="2:12">
      <c r="B754" s="282">
        <v>1006</v>
      </c>
      <c r="C754" s="127">
        <v>30560001</v>
      </c>
      <c r="D754" s="303" t="s">
        <v>737</v>
      </c>
      <c r="E754" s="10">
        <v>251111</v>
      </c>
    </row>
    <row r="755" spans="2:12">
      <c r="B755" s="282">
        <v>1006</v>
      </c>
      <c r="C755" s="127">
        <v>30610001</v>
      </c>
      <c r="D755" s="303" t="s">
        <v>737</v>
      </c>
      <c r="E755" s="10">
        <v>251111</v>
      </c>
    </row>
    <row r="756" spans="2:12">
      <c r="B756" s="283">
        <v>1006</v>
      </c>
      <c r="C756" s="286">
        <v>305007</v>
      </c>
      <c r="D756" s="10" t="s">
        <v>737</v>
      </c>
      <c r="I756" s="286">
        <v>305007</v>
      </c>
      <c r="J756" s="286" t="s">
        <v>1213</v>
      </c>
      <c r="K756" s="286">
        <v>1</v>
      </c>
      <c r="L756" s="287" t="s">
        <v>1828</v>
      </c>
    </row>
    <row r="757" spans="2:12">
      <c r="B757" s="283">
        <v>1006</v>
      </c>
      <c r="C757" s="286">
        <v>305008</v>
      </c>
      <c r="D757" s="10" t="s">
        <v>737</v>
      </c>
      <c r="I757" s="286">
        <v>305008</v>
      </c>
      <c r="J757" s="286" t="s">
        <v>1217</v>
      </c>
      <c r="K757" s="286">
        <v>1</v>
      </c>
      <c r="L757" s="287" t="s">
        <v>1828</v>
      </c>
    </row>
    <row r="758" spans="2:12">
      <c r="B758" s="283">
        <v>1006</v>
      </c>
      <c r="C758" s="286">
        <v>305009</v>
      </c>
      <c r="D758" s="10" t="s">
        <v>737</v>
      </c>
      <c r="I758" s="286">
        <v>305009</v>
      </c>
      <c r="J758" s="286" t="s">
        <v>1220</v>
      </c>
      <c r="K758" s="286">
        <v>1</v>
      </c>
      <c r="L758" s="287" t="s">
        <v>1828</v>
      </c>
    </row>
    <row r="759" spans="2:12">
      <c r="B759" s="283">
        <v>1006</v>
      </c>
      <c r="C759" s="286">
        <v>305023</v>
      </c>
      <c r="D759" s="10" t="s">
        <v>737</v>
      </c>
      <c r="I759" s="286">
        <v>305023</v>
      </c>
      <c r="J759" s="286" t="s">
        <v>1277</v>
      </c>
      <c r="K759" s="286">
        <v>1</v>
      </c>
      <c r="L759" s="287" t="s">
        <v>1828</v>
      </c>
    </row>
    <row r="760" spans="2:12">
      <c r="B760" s="283">
        <v>1006</v>
      </c>
      <c r="C760" s="286">
        <v>305034</v>
      </c>
      <c r="D760" s="10" t="s">
        <v>737</v>
      </c>
      <c r="I760" s="286">
        <v>305034</v>
      </c>
      <c r="J760" s="286" t="s">
        <v>222</v>
      </c>
      <c r="K760" s="286">
        <v>1</v>
      </c>
      <c r="L760" s="287" t="s">
        <v>1828</v>
      </c>
    </row>
    <row r="761" spans="2:12">
      <c r="B761" s="283">
        <v>1006</v>
      </c>
      <c r="C761" s="286">
        <v>305035</v>
      </c>
      <c r="D761" s="10" t="s">
        <v>737</v>
      </c>
      <c r="I761" s="286">
        <v>305035</v>
      </c>
      <c r="J761" s="286" t="s">
        <v>227</v>
      </c>
      <c r="K761" s="286">
        <v>1</v>
      </c>
      <c r="L761" s="287" t="s">
        <v>1828</v>
      </c>
    </row>
    <row r="762" spans="2:12">
      <c r="B762" s="283">
        <v>1006</v>
      </c>
      <c r="C762" s="286">
        <v>305036</v>
      </c>
      <c r="D762" s="10" t="s">
        <v>737</v>
      </c>
      <c r="I762" s="286">
        <v>305036</v>
      </c>
      <c r="J762" s="286" t="s">
        <v>232</v>
      </c>
      <c r="K762" s="286">
        <v>1</v>
      </c>
      <c r="L762" s="287" t="s">
        <v>1828</v>
      </c>
    </row>
    <row r="763" spans="2:12">
      <c r="B763" s="283">
        <v>1006</v>
      </c>
      <c r="C763" s="286">
        <v>305039</v>
      </c>
      <c r="D763" s="10" t="s">
        <v>737</v>
      </c>
      <c r="I763" s="286">
        <v>305039</v>
      </c>
      <c r="J763" s="286" t="s">
        <v>1829</v>
      </c>
      <c r="K763" s="286">
        <v>1</v>
      </c>
      <c r="L763" s="287" t="s">
        <v>1828</v>
      </c>
    </row>
    <row r="764" spans="2:12">
      <c r="B764" s="283">
        <v>1006</v>
      </c>
      <c r="C764" s="286">
        <v>305040</v>
      </c>
      <c r="D764" s="10" t="s">
        <v>737</v>
      </c>
      <c r="I764" s="286">
        <v>305040</v>
      </c>
      <c r="J764" s="286" t="s">
        <v>277</v>
      </c>
      <c r="K764" s="286">
        <v>1</v>
      </c>
      <c r="L764" s="287" t="s">
        <v>1828</v>
      </c>
    </row>
    <row r="765" spans="2:12">
      <c r="B765" s="283">
        <v>1006</v>
      </c>
      <c r="C765" s="286">
        <v>305200</v>
      </c>
      <c r="D765" s="10" t="s">
        <v>737</v>
      </c>
      <c r="I765" s="286">
        <v>305200</v>
      </c>
      <c r="J765" s="286" t="s">
        <v>313</v>
      </c>
      <c r="K765" s="286">
        <v>1</v>
      </c>
      <c r="L765" s="287" t="s">
        <v>1828</v>
      </c>
    </row>
    <row r="766" spans="2:12">
      <c r="B766" s="283">
        <v>1006</v>
      </c>
      <c r="C766" s="288">
        <v>305224</v>
      </c>
      <c r="D766" s="10" t="s">
        <v>737</v>
      </c>
      <c r="I766" s="288">
        <v>305224</v>
      </c>
      <c r="J766" s="10" t="s">
        <v>1890</v>
      </c>
      <c r="K766" s="286">
        <v>1</v>
      </c>
      <c r="L766" s="287" t="s">
        <v>1828</v>
      </c>
    </row>
    <row r="767" spans="2:12">
      <c r="B767" s="283">
        <v>1006</v>
      </c>
      <c r="C767" s="288">
        <v>305225</v>
      </c>
      <c r="D767" s="10" t="s">
        <v>737</v>
      </c>
      <c r="I767" s="288">
        <v>305225</v>
      </c>
      <c r="J767" s="10" t="s">
        <v>1888</v>
      </c>
      <c r="K767" s="286">
        <v>1</v>
      </c>
      <c r="L767" s="287" t="s">
        <v>1828</v>
      </c>
    </row>
    <row r="768" spans="2:12">
      <c r="B768" s="283">
        <v>1006</v>
      </c>
      <c r="C768" s="288">
        <v>305226</v>
      </c>
      <c r="D768" s="10" t="s">
        <v>737</v>
      </c>
      <c r="I768" s="288">
        <v>305226</v>
      </c>
      <c r="J768" s="10" t="s">
        <v>1891</v>
      </c>
      <c r="K768" s="286">
        <v>1</v>
      </c>
      <c r="L768" s="287" t="s">
        <v>1828</v>
      </c>
    </row>
    <row r="769" spans="2:12">
      <c r="B769" s="283">
        <v>1006</v>
      </c>
      <c r="C769" s="289">
        <v>305010</v>
      </c>
      <c r="D769" s="10" t="s">
        <v>737</v>
      </c>
      <c r="I769" s="289">
        <v>305010</v>
      </c>
      <c r="J769" s="289" t="s">
        <v>1223</v>
      </c>
      <c r="K769" s="289">
        <v>2</v>
      </c>
      <c r="L769" s="290" t="s">
        <v>1830</v>
      </c>
    </row>
    <row r="770" spans="2:12">
      <c r="B770" s="283">
        <v>1006</v>
      </c>
      <c r="C770" s="289">
        <v>305021</v>
      </c>
      <c r="D770" s="10" t="s">
        <v>737</v>
      </c>
      <c r="I770" s="289">
        <v>305021</v>
      </c>
      <c r="J770" s="289" t="s">
        <v>1270</v>
      </c>
      <c r="K770" s="289">
        <v>2</v>
      </c>
      <c r="L770" s="290" t="s">
        <v>1830</v>
      </c>
    </row>
    <row r="771" spans="2:12">
      <c r="B771" s="283">
        <v>1006</v>
      </c>
      <c r="C771" s="289">
        <v>305022</v>
      </c>
      <c r="D771" s="10" t="s">
        <v>737</v>
      </c>
      <c r="I771" s="289">
        <v>305022</v>
      </c>
      <c r="J771" s="289" t="s">
        <v>1273</v>
      </c>
      <c r="K771" s="289">
        <v>2</v>
      </c>
      <c r="L771" s="290" t="s">
        <v>1830</v>
      </c>
    </row>
    <row r="772" spans="2:12">
      <c r="B772" s="283">
        <v>1006</v>
      </c>
      <c r="C772" s="289">
        <v>305032</v>
      </c>
      <c r="D772" s="10" t="s">
        <v>737</v>
      </c>
      <c r="I772" s="289">
        <v>305032</v>
      </c>
      <c r="J772" s="289" t="s">
        <v>213</v>
      </c>
      <c r="K772" s="289">
        <v>2</v>
      </c>
      <c r="L772" s="290" t="s">
        <v>1830</v>
      </c>
    </row>
    <row r="773" spans="2:12">
      <c r="B773" s="283">
        <v>1006</v>
      </c>
      <c r="C773" s="289">
        <v>305033</v>
      </c>
      <c r="D773" s="10" t="s">
        <v>737</v>
      </c>
      <c r="I773" s="289">
        <v>305033</v>
      </c>
      <c r="J773" s="289" t="s">
        <v>217</v>
      </c>
      <c r="K773" s="289">
        <v>2</v>
      </c>
      <c r="L773" s="290" t="s">
        <v>1830</v>
      </c>
    </row>
    <row r="774" spans="2:12">
      <c r="B774" s="283">
        <v>1006</v>
      </c>
      <c r="C774" s="289">
        <v>305037</v>
      </c>
      <c r="D774" s="10" t="s">
        <v>737</v>
      </c>
      <c r="I774" s="289">
        <v>305037</v>
      </c>
      <c r="J774" s="289" t="s">
        <v>264</v>
      </c>
      <c r="K774" s="289">
        <v>2</v>
      </c>
      <c r="L774" s="290" t="s">
        <v>1830</v>
      </c>
    </row>
    <row r="775" spans="2:12">
      <c r="B775" s="283">
        <v>1006</v>
      </c>
      <c r="C775" s="289">
        <v>305038</v>
      </c>
      <c r="D775" s="10" t="s">
        <v>737</v>
      </c>
      <c r="I775" s="289">
        <v>305038</v>
      </c>
      <c r="J775" s="289" t="s">
        <v>268</v>
      </c>
      <c r="K775" s="289">
        <v>2</v>
      </c>
      <c r="L775" s="290" t="s">
        <v>1830</v>
      </c>
    </row>
    <row r="776" spans="2:12">
      <c r="B776" s="283">
        <v>1006</v>
      </c>
      <c r="C776" s="289">
        <v>305300</v>
      </c>
      <c r="D776" s="10" t="s">
        <v>737</v>
      </c>
      <c r="I776" s="289">
        <v>305300</v>
      </c>
      <c r="J776" s="289" t="s">
        <v>318</v>
      </c>
      <c r="K776" s="289">
        <v>2</v>
      </c>
      <c r="L776" s="290" t="s">
        <v>1830</v>
      </c>
    </row>
    <row r="777" spans="2:12">
      <c r="B777" s="283">
        <v>1006</v>
      </c>
      <c r="C777" s="288">
        <v>305324</v>
      </c>
      <c r="D777" s="10" t="s">
        <v>737</v>
      </c>
      <c r="I777" s="288">
        <v>305324</v>
      </c>
      <c r="J777" s="10" t="s">
        <v>1887</v>
      </c>
      <c r="K777" s="289">
        <v>2</v>
      </c>
      <c r="L777" s="290" t="s">
        <v>1830</v>
      </c>
    </row>
    <row r="778" spans="2:12">
      <c r="B778" s="283">
        <v>1006</v>
      </c>
      <c r="C778" s="288">
        <v>305325</v>
      </c>
      <c r="D778" s="10" t="s">
        <v>737</v>
      </c>
      <c r="I778" s="288">
        <v>305325</v>
      </c>
      <c r="J778" s="10" t="s">
        <v>1888</v>
      </c>
      <c r="K778" s="289">
        <v>2</v>
      </c>
      <c r="L778" s="290" t="s">
        <v>1830</v>
      </c>
    </row>
    <row r="779" spans="2:12">
      <c r="B779" s="283">
        <v>1006</v>
      </c>
      <c r="C779" s="288">
        <v>305326</v>
      </c>
      <c r="D779" s="10" t="s">
        <v>737</v>
      </c>
      <c r="I779" s="288">
        <v>305326</v>
      </c>
      <c r="J779" s="10" t="s">
        <v>1889</v>
      </c>
      <c r="K779" s="289">
        <v>2</v>
      </c>
      <c r="L779" s="290" t="s">
        <v>1830</v>
      </c>
    </row>
    <row r="780" spans="2:12">
      <c r="B780" s="283">
        <v>1006</v>
      </c>
      <c r="C780" s="291">
        <v>305001</v>
      </c>
      <c r="D780" s="10" t="s">
        <v>737</v>
      </c>
      <c r="I780" s="291">
        <v>305001</v>
      </c>
      <c r="J780" s="291" t="s">
        <v>176</v>
      </c>
      <c r="K780" s="291">
        <v>0</v>
      </c>
      <c r="L780" s="292" t="s">
        <v>1827</v>
      </c>
    </row>
    <row r="781" spans="2:12">
      <c r="B781" s="283">
        <v>1006</v>
      </c>
      <c r="C781" s="291">
        <v>305002</v>
      </c>
      <c r="D781" s="10" t="s">
        <v>737</v>
      </c>
      <c r="I781" s="291">
        <v>305002</v>
      </c>
      <c r="J781" s="291" t="s">
        <v>181</v>
      </c>
      <c r="K781" s="291">
        <v>0</v>
      </c>
      <c r="L781" s="292" t="s">
        <v>1827</v>
      </c>
    </row>
    <row r="782" spans="2:12">
      <c r="B782" s="283">
        <v>1006</v>
      </c>
      <c r="C782" s="291">
        <v>305003</v>
      </c>
      <c r="D782" s="10" t="s">
        <v>737</v>
      </c>
      <c r="I782" s="291">
        <v>305003</v>
      </c>
      <c r="J782" s="291" t="s">
        <v>186</v>
      </c>
      <c r="K782" s="291">
        <v>0</v>
      </c>
      <c r="L782" s="292" t="s">
        <v>1827</v>
      </c>
    </row>
    <row r="783" spans="2:12">
      <c r="B783" s="283">
        <v>1006</v>
      </c>
      <c r="C783" s="291">
        <v>305018</v>
      </c>
      <c r="D783" s="10" t="s">
        <v>737</v>
      </c>
      <c r="I783" s="291">
        <v>305018</v>
      </c>
      <c r="J783" s="291" t="s">
        <v>191</v>
      </c>
      <c r="K783" s="291">
        <v>0</v>
      </c>
      <c r="L783" s="292" t="s">
        <v>1827</v>
      </c>
    </row>
    <row r="784" spans="2:12">
      <c r="B784" s="283">
        <v>1006</v>
      </c>
      <c r="C784" s="291">
        <v>305019</v>
      </c>
      <c r="D784" s="10" t="s">
        <v>737</v>
      </c>
      <c r="I784" s="291">
        <v>305019</v>
      </c>
      <c r="J784" s="291" t="s">
        <v>196</v>
      </c>
      <c r="K784" s="291">
        <v>0</v>
      </c>
      <c r="L784" s="292" t="s">
        <v>1827</v>
      </c>
    </row>
    <row r="785" spans="2:22">
      <c r="B785" s="283">
        <v>1006</v>
      </c>
      <c r="C785" s="291">
        <v>305041</v>
      </c>
      <c r="D785" s="10" t="s">
        <v>737</v>
      </c>
      <c r="I785" s="291">
        <v>305041</v>
      </c>
      <c r="J785" s="291" t="s">
        <v>282</v>
      </c>
      <c r="K785" s="291">
        <v>0</v>
      </c>
      <c r="L785" s="292" t="s">
        <v>1827</v>
      </c>
    </row>
    <row r="786" spans="2:22">
      <c r="B786" s="283">
        <v>1006</v>
      </c>
      <c r="C786" s="291">
        <v>305042</v>
      </c>
      <c r="D786" s="10" t="s">
        <v>737</v>
      </c>
      <c r="I786" s="291">
        <v>305042</v>
      </c>
      <c r="J786" s="291" t="s">
        <v>287</v>
      </c>
      <c r="K786" s="291">
        <v>0</v>
      </c>
      <c r="L786" s="292" t="s">
        <v>1827</v>
      </c>
    </row>
    <row r="787" spans="2:22">
      <c r="B787" s="283">
        <v>1006</v>
      </c>
      <c r="C787" s="291">
        <v>305600</v>
      </c>
      <c r="D787" s="10" t="s">
        <v>737</v>
      </c>
      <c r="I787" s="291">
        <v>305600</v>
      </c>
      <c r="J787" s="291" t="s">
        <v>323</v>
      </c>
      <c r="K787" s="291">
        <v>0</v>
      </c>
      <c r="L787" s="292" t="s">
        <v>1827</v>
      </c>
    </row>
    <row r="788" spans="2:22">
      <c r="B788" s="283">
        <v>1006</v>
      </c>
      <c r="C788" s="288">
        <v>305623</v>
      </c>
      <c r="D788" s="10" t="s">
        <v>737</v>
      </c>
      <c r="I788" s="288">
        <v>305623</v>
      </c>
      <c r="J788" s="10" t="s">
        <v>1864</v>
      </c>
      <c r="K788" s="291">
        <v>0</v>
      </c>
      <c r="L788" s="292" t="s">
        <v>1827</v>
      </c>
    </row>
    <row r="789" spans="2:22">
      <c r="B789" s="283">
        <v>1006</v>
      </c>
      <c r="C789" s="288">
        <v>305624</v>
      </c>
      <c r="D789" s="10" t="s">
        <v>737</v>
      </c>
      <c r="I789" s="288">
        <v>305624</v>
      </c>
      <c r="J789" s="10" t="s">
        <v>1865</v>
      </c>
      <c r="K789" s="291">
        <v>0</v>
      </c>
      <c r="L789" s="292" t="s">
        <v>1827</v>
      </c>
    </row>
    <row r="790" spans="2:22">
      <c r="B790" s="283">
        <v>1006</v>
      </c>
      <c r="C790" s="288">
        <v>305625</v>
      </c>
      <c r="D790" s="10" t="s">
        <v>737</v>
      </c>
      <c r="I790" s="288">
        <v>305625</v>
      </c>
      <c r="J790" s="10" t="s">
        <v>1866</v>
      </c>
      <c r="K790" s="291">
        <v>0</v>
      </c>
      <c r="L790" s="292" t="s">
        <v>1827</v>
      </c>
    </row>
    <row r="791" spans="2:22">
      <c r="B791" s="283">
        <v>1006</v>
      </c>
      <c r="C791" s="288">
        <v>305626</v>
      </c>
      <c r="D791" s="10" t="s">
        <v>737</v>
      </c>
      <c r="I791" s="288">
        <v>305626</v>
      </c>
      <c r="J791" s="10" t="s">
        <v>1867</v>
      </c>
      <c r="K791" s="291">
        <v>0</v>
      </c>
      <c r="L791" s="292" t="s">
        <v>1827</v>
      </c>
    </row>
    <row r="792" spans="2:22">
      <c r="B792" s="283">
        <v>1006</v>
      </c>
      <c r="C792" s="293">
        <v>305012</v>
      </c>
      <c r="D792" s="10" t="s">
        <v>737</v>
      </c>
      <c r="I792" s="293">
        <v>305012</v>
      </c>
      <c r="J792" s="293" t="s">
        <v>1230</v>
      </c>
      <c r="K792" s="293">
        <v>6</v>
      </c>
      <c r="L792" s="294" t="s">
        <v>1833</v>
      </c>
    </row>
    <row r="793" spans="2:22">
      <c r="B793" s="283">
        <v>1006</v>
      </c>
      <c r="C793" s="293">
        <v>305013</v>
      </c>
      <c r="D793" s="10" t="s">
        <v>737</v>
      </c>
      <c r="I793" s="293">
        <v>305013</v>
      </c>
      <c r="J793" s="293" t="s">
        <v>1237</v>
      </c>
      <c r="K793" s="293">
        <v>6</v>
      </c>
      <c r="L793" s="294" t="s">
        <v>1833</v>
      </c>
    </row>
    <row r="794" spans="2:22">
      <c r="B794" s="283">
        <v>1006</v>
      </c>
      <c r="C794" s="293">
        <v>305014</v>
      </c>
      <c r="D794" s="10" t="s">
        <v>737</v>
      </c>
      <c r="I794" s="293">
        <v>305014</v>
      </c>
      <c r="J794" s="293" t="s">
        <v>1241</v>
      </c>
      <c r="K794" s="293">
        <v>6</v>
      </c>
      <c r="L794" s="294" t="s">
        <v>1833</v>
      </c>
    </row>
    <row r="795" spans="2:22" s="285" customFormat="1">
      <c r="B795" s="283">
        <v>1006</v>
      </c>
      <c r="C795" s="293">
        <v>305046</v>
      </c>
      <c r="D795" s="285" t="s">
        <v>737</v>
      </c>
      <c r="G795" s="10"/>
      <c r="H795" s="10"/>
      <c r="I795" s="293">
        <v>305046</v>
      </c>
      <c r="J795" s="293" t="s">
        <v>309</v>
      </c>
      <c r="K795" s="293">
        <v>6</v>
      </c>
      <c r="L795" s="294" t="s">
        <v>1833</v>
      </c>
      <c r="M795" s="10"/>
      <c r="R795" s="10"/>
      <c r="S795" s="10"/>
      <c r="T795" s="10"/>
      <c r="U795" s="10"/>
      <c r="V795" s="10"/>
    </row>
    <row r="796" spans="2:22">
      <c r="B796" s="283">
        <v>1006</v>
      </c>
      <c r="C796" s="288">
        <v>305815</v>
      </c>
      <c r="D796" s="10" t="s">
        <v>737</v>
      </c>
      <c r="I796" s="288">
        <v>305815</v>
      </c>
      <c r="J796" s="10" t="s">
        <v>1868</v>
      </c>
      <c r="K796" s="293">
        <v>6</v>
      </c>
      <c r="L796" s="294" t="s">
        <v>1833</v>
      </c>
    </row>
    <row r="797" spans="2:22">
      <c r="B797" s="283">
        <v>1006</v>
      </c>
      <c r="C797" s="288">
        <v>305816</v>
      </c>
      <c r="D797" s="10" t="s">
        <v>737</v>
      </c>
      <c r="I797" s="288">
        <v>305816</v>
      </c>
      <c r="J797" s="10" t="s">
        <v>1869</v>
      </c>
      <c r="K797" s="293">
        <v>6</v>
      </c>
      <c r="L797" s="294" t="s">
        <v>1833</v>
      </c>
    </row>
    <row r="798" spans="2:22">
      <c r="B798" s="283">
        <v>1006</v>
      </c>
      <c r="C798" s="288">
        <v>305817</v>
      </c>
      <c r="D798" s="10" t="s">
        <v>737</v>
      </c>
      <c r="I798" s="288">
        <v>305817</v>
      </c>
      <c r="J798" s="10" t="s">
        <v>1870</v>
      </c>
      <c r="K798" s="293">
        <v>6</v>
      </c>
      <c r="L798" s="294" t="s">
        <v>1833</v>
      </c>
    </row>
    <row r="799" spans="2:22" s="285" customFormat="1">
      <c r="B799" s="283">
        <v>1006</v>
      </c>
      <c r="C799" s="288">
        <v>305818</v>
      </c>
      <c r="D799" s="285" t="s">
        <v>737</v>
      </c>
      <c r="G799" s="10"/>
      <c r="H799" s="10"/>
      <c r="I799" s="288">
        <v>305818</v>
      </c>
      <c r="J799" s="10" t="s">
        <v>1871</v>
      </c>
      <c r="K799" s="293">
        <v>6</v>
      </c>
      <c r="L799" s="294" t="s">
        <v>1833</v>
      </c>
      <c r="M799" s="10"/>
      <c r="R799" s="10"/>
      <c r="S799" s="10"/>
      <c r="T799" s="10"/>
      <c r="U799" s="10"/>
      <c r="V799" s="10"/>
    </row>
    <row r="800" spans="2:22">
      <c r="B800" s="283">
        <v>1006</v>
      </c>
      <c r="C800" s="288">
        <v>305819</v>
      </c>
      <c r="D800" s="10" t="s">
        <v>737</v>
      </c>
      <c r="I800" s="288">
        <v>305819</v>
      </c>
      <c r="J800" s="10" t="s">
        <v>1872</v>
      </c>
      <c r="K800" s="293">
        <v>6</v>
      </c>
      <c r="L800" s="294" t="s">
        <v>1833</v>
      </c>
    </row>
    <row r="801" spans="1:22" s="285" customFormat="1">
      <c r="B801" s="283">
        <v>1006</v>
      </c>
      <c r="C801" s="288">
        <v>305820</v>
      </c>
      <c r="D801" s="285" t="s">
        <v>737</v>
      </c>
      <c r="G801" s="10"/>
      <c r="H801" s="10"/>
      <c r="I801" s="288">
        <v>305820</v>
      </c>
      <c r="J801" s="10" t="s">
        <v>1873</v>
      </c>
      <c r="K801" s="293">
        <v>6</v>
      </c>
      <c r="L801" s="294" t="s">
        <v>1833</v>
      </c>
      <c r="M801" s="10"/>
      <c r="R801" s="10"/>
      <c r="S801" s="10"/>
      <c r="T801" s="10"/>
      <c r="U801" s="10"/>
      <c r="V801" s="10"/>
    </row>
    <row r="802" spans="1:22">
      <c r="B802" s="283">
        <v>1006</v>
      </c>
      <c r="C802" s="295">
        <v>305015</v>
      </c>
      <c r="D802" s="10" t="s">
        <v>737</v>
      </c>
      <c r="I802" s="295">
        <v>305015</v>
      </c>
      <c r="J802" s="295" t="s">
        <v>1245</v>
      </c>
      <c r="K802" s="295">
        <v>7</v>
      </c>
      <c r="L802" s="296" t="s">
        <v>538</v>
      </c>
    </row>
    <row r="803" spans="1:22">
      <c r="B803" s="283">
        <v>1006</v>
      </c>
      <c r="C803" s="295">
        <v>305016</v>
      </c>
      <c r="D803" s="10" t="s">
        <v>737</v>
      </c>
      <c r="I803" s="295">
        <v>305016</v>
      </c>
      <c r="J803" s="295" t="s">
        <v>1251</v>
      </c>
      <c r="K803" s="295">
        <v>7</v>
      </c>
      <c r="L803" s="296" t="s">
        <v>538</v>
      </c>
    </row>
    <row r="804" spans="1:22">
      <c r="B804" s="283">
        <v>1006</v>
      </c>
      <c r="C804" s="295">
        <v>305017</v>
      </c>
      <c r="D804" s="10" t="s">
        <v>737</v>
      </c>
      <c r="I804" s="295">
        <v>305017</v>
      </c>
      <c r="J804" s="295" t="s">
        <v>1255</v>
      </c>
      <c r="K804" s="295">
        <v>7</v>
      </c>
      <c r="L804" s="296" t="s">
        <v>538</v>
      </c>
    </row>
    <row r="805" spans="1:22">
      <c r="B805" s="283">
        <v>1006</v>
      </c>
      <c r="C805" s="295">
        <v>305700</v>
      </c>
      <c r="D805" s="10" t="s">
        <v>737</v>
      </c>
      <c r="I805" s="295">
        <v>305700</v>
      </c>
      <c r="J805" s="295" t="s">
        <v>328</v>
      </c>
      <c r="K805" s="295">
        <v>7</v>
      </c>
      <c r="L805" s="296" t="s">
        <v>538</v>
      </c>
    </row>
    <row r="806" spans="1:22">
      <c r="B806" s="283">
        <v>1006</v>
      </c>
      <c r="C806" s="288">
        <v>305719</v>
      </c>
      <c r="D806" s="10" t="s">
        <v>737</v>
      </c>
      <c r="I806" s="288">
        <v>305719</v>
      </c>
      <c r="J806" s="10" t="s">
        <v>1874</v>
      </c>
      <c r="K806" s="295">
        <v>7</v>
      </c>
      <c r="L806" s="296" t="s">
        <v>538</v>
      </c>
    </row>
    <row r="807" spans="1:22">
      <c r="B807" s="283">
        <v>1006</v>
      </c>
      <c r="C807" s="288">
        <v>305720</v>
      </c>
      <c r="D807" s="10" t="s">
        <v>737</v>
      </c>
      <c r="I807" s="288">
        <v>305720</v>
      </c>
      <c r="J807" s="10" t="s">
        <v>1875</v>
      </c>
      <c r="K807" s="295">
        <v>7</v>
      </c>
      <c r="L807" s="296" t="s">
        <v>538</v>
      </c>
    </row>
    <row r="808" spans="1:22">
      <c r="B808" s="283">
        <v>1006</v>
      </c>
      <c r="C808" s="288">
        <v>305721</v>
      </c>
      <c r="D808" s="10" t="s">
        <v>737</v>
      </c>
      <c r="I808" s="288">
        <v>305721</v>
      </c>
      <c r="J808" s="10" t="s">
        <v>1876</v>
      </c>
      <c r="K808" s="295">
        <v>7</v>
      </c>
      <c r="L808" s="296" t="s">
        <v>538</v>
      </c>
    </row>
    <row r="809" spans="1:22">
      <c r="B809" s="283">
        <v>1006</v>
      </c>
      <c r="C809" s="288">
        <v>305722</v>
      </c>
      <c r="D809" s="10" t="s">
        <v>737</v>
      </c>
      <c r="I809" s="288">
        <v>305722</v>
      </c>
      <c r="J809" s="10" t="s">
        <v>1877</v>
      </c>
      <c r="K809" s="295">
        <v>7</v>
      </c>
      <c r="L809" s="296" t="s">
        <v>538</v>
      </c>
    </row>
    <row r="810" spans="1:22">
      <c r="B810" s="283">
        <v>1006</v>
      </c>
      <c r="C810" s="288">
        <v>305723</v>
      </c>
      <c r="D810" s="10" t="s">
        <v>737</v>
      </c>
      <c r="I810" s="288">
        <v>305723</v>
      </c>
      <c r="J810" s="10" t="s">
        <v>1878</v>
      </c>
      <c r="K810" s="295">
        <v>7</v>
      </c>
      <c r="L810" s="296" t="s">
        <v>538</v>
      </c>
    </row>
    <row r="811" spans="1:22">
      <c r="B811" s="283">
        <v>1006</v>
      </c>
      <c r="C811" s="288">
        <v>305724</v>
      </c>
      <c r="D811" s="10" t="s">
        <v>737</v>
      </c>
      <c r="I811" s="288">
        <v>305724</v>
      </c>
      <c r="J811" s="10" t="s">
        <v>1879</v>
      </c>
      <c r="K811" s="295">
        <v>7</v>
      </c>
      <c r="L811" s="296" t="s">
        <v>538</v>
      </c>
    </row>
    <row r="812" spans="1:22">
      <c r="B812" s="283">
        <v>1006</v>
      </c>
      <c r="C812" s="297">
        <v>305011</v>
      </c>
      <c r="D812" s="10" t="s">
        <v>737</v>
      </c>
      <c r="I812" s="297">
        <v>305011</v>
      </c>
      <c r="J812" s="297" t="s">
        <v>161</v>
      </c>
      <c r="K812" s="297">
        <v>3</v>
      </c>
      <c r="L812" s="298" t="s">
        <v>1831</v>
      </c>
    </row>
    <row r="813" spans="1:22">
      <c r="B813" s="283">
        <v>1006</v>
      </c>
      <c r="C813" s="299">
        <v>305025</v>
      </c>
      <c r="D813" s="10" t="s">
        <v>737</v>
      </c>
      <c r="I813" s="299">
        <v>305025</v>
      </c>
      <c r="J813" s="299" t="s">
        <v>200</v>
      </c>
      <c r="K813" s="299">
        <v>4</v>
      </c>
      <c r="L813" s="300" t="s">
        <v>1832</v>
      </c>
    </row>
    <row r="814" spans="1:22" s="285" customFormat="1">
      <c r="A814" s="10"/>
      <c r="B814" s="283">
        <v>1006</v>
      </c>
      <c r="C814" s="299">
        <v>305026</v>
      </c>
      <c r="D814" s="10" t="s">
        <v>737</v>
      </c>
      <c r="E814" s="10"/>
      <c r="F814" s="10"/>
      <c r="G814" s="10"/>
      <c r="H814" s="10"/>
      <c r="I814" s="299">
        <v>305026</v>
      </c>
      <c r="J814" s="299" t="s">
        <v>204</v>
      </c>
      <c r="K814" s="299">
        <v>4</v>
      </c>
      <c r="L814" s="300" t="s">
        <v>1832</v>
      </c>
      <c r="M814" s="10"/>
      <c r="N814" s="10"/>
      <c r="O814" s="10"/>
      <c r="P814" s="10"/>
      <c r="Q814" s="10"/>
      <c r="R814" s="10"/>
      <c r="S814" s="10"/>
      <c r="T814" s="10"/>
      <c r="U814" s="10"/>
      <c r="V814" s="10"/>
    </row>
    <row r="815" spans="1:22" s="285" customFormat="1">
      <c r="A815" s="10"/>
      <c r="B815" s="283">
        <v>1006</v>
      </c>
      <c r="C815" s="299">
        <v>305050</v>
      </c>
      <c r="D815" s="10" t="s">
        <v>737</v>
      </c>
      <c r="E815" s="10"/>
      <c r="F815" s="10"/>
      <c r="G815" s="10"/>
      <c r="H815" s="10"/>
      <c r="I815" s="299">
        <v>305050</v>
      </c>
      <c r="J815" s="299" t="s">
        <v>300</v>
      </c>
      <c r="K815" s="299">
        <v>4</v>
      </c>
      <c r="L815" s="300" t="s">
        <v>1832</v>
      </c>
      <c r="M815" s="10"/>
      <c r="N815" s="10"/>
      <c r="O815" s="10"/>
      <c r="P815" s="10"/>
      <c r="Q815" s="10"/>
      <c r="R815" s="10"/>
      <c r="S815" s="10"/>
      <c r="T815" s="10"/>
      <c r="U815" s="10"/>
      <c r="V815" s="10"/>
    </row>
    <row r="816" spans="1:22" s="285" customFormat="1">
      <c r="A816" s="10"/>
      <c r="B816" s="283">
        <v>1006</v>
      </c>
      <c r="C816" s="299">
        <v>305051</v>
      </c>
      <c r="D816" s="10" t="s">
        <v>737</v>
      </c>
      <c r="E816" s="10"/>
      <c r="F816" s="10"/>
      <c r="G816" s="10"/>
      <c r="H816" s="10"/>
      <c r="I816" s="299">
        <v>305051</v>
      </c>
      <c r="J816" s="299" t="s">
        <v>340</v>
      </c>
      <c r="K816" s="299">
        <v>4</v>
      </c>
      <c r="L816" s="300" t="s">
        <v>1832</v>
      </c>
      <c r="M816" s="10"/>
      <c r="N816" s="10"/>
      <c r="O816" s="10"/>
      <c r="P816" s="10"/>
      <c r="Q816" s="10"/>
      <c r="R816" s="10"/>
      <c r="S816" s="10"/>
      <c r="T816" s="10"/>
      <c r="U816" s="10"/>
      <c r="V816" s="10"/>
    </row>
    <row r="817" spans="1:22">
      <c r="B817" s="283">
        <v>1006</v>
      </c>
      <c r="C817" s="288">
        <v>305055</v>
      </c>
      <c r="D817" s="10" t="s">
        <v>737</v>
      </c>
      <c r="I817" s="288">
        <v>305055</v>
      </c>
      <c r="J817" s="10" t="s">
        <v>1880</v>
      </c>
      <c r="K817" s="299">
        <v>4</v>
      </c>
      <c r="L817" s="300" t="s">
        <v>1832</v>
      </c>
    </row>
    <row r="818" spans="1:22" s="285" customFormat="1">
      <c r="A818" s="10"/>
      <c r="B818" s="283">
        <v>1006</v>
      </c>
      <c r="C818" s="288">
        <v>305056</v>
      </c>
      <c r="D818" s="10" t="s">
        <v>737</v>
      </c>
      <c r="E818" s="10"/>
      <c r="F818" s="10"/>
      <c r="G818" s="10"/>
      <c r="H818" s="10"/>
      <c r="I818" s="288">
        <v>305056</v>
      </c>
      <c r="J818" s="10" t="s">
        <v>1881</v>
      </c>
      <c r="K818" s="299">
        <v>4</v>
      </c>
      <c r="L818" s="300" t="s">
        <v>1832</v>
      </c>
      <c r="M818" s="10"/>
      <c r="N818" s="10"/>
      <c r="O818" s="10"/>
      <c r="P818" s="10"/>
      <c r="Q818" s="10"/>
      <c r="R818" s="10"/>
      <c r="S818" s="10"/>
      <c r="T818" s="10"/>
      <c r="U818" s="10"/>
      <c r="V818" s="10"/>
    </row>
    <row r="819" spans="1:22" s="285" customFormat="1">
      <c r="A819" s="10"/>
      <c r="B819" s="283">
        <v>1006</v>
      </c>
      <c r="C819" s="288">
        <v>306104</v>
      </c>
      <c r="D819" s="10" t="s">
        <v>737</v>
      </c>
      <c r="E819" s="10"/>
      <c r="F819" s="10"/>
      <c r="G819" s="10"/>
      <c r="H819" s="10"/>
      <c r="I819" s="288">
        <v>306104</v>
      </c>
      <c r="J819" s="10" t="s">
        <v>1882</v>
      </c>
      <c r="K819" s="299">
        <v>4</v>
      </c>
      <c r="L819" s="300" t="s">
        <v>1886</v>
      </c>
      <c r="M819" s="10"/>
      <c r="N819" s="10"/>
      <c r="O819" s="10"/>
      <c r="P819" s="10"/>
      <c r="Q819" s="10"/>
      <c r="R819" s="10"/>
      <c r="S819" s="10"/>
      <c r="T819" s="10"/>
      <c r="U819" s="10"/>
      <c r="V819" s="10"/>
    </row>
    <row r="820" spans="1:22" s="285" customFormat="1">
      <c r="A820" s="10"/>
      <c r="B820" s="283">
        <v>1006</v>
      </c>
      <c r="C820" s="288">
        <v>306105</v>
      </c>
      <c r="D820" s="10" t="s">
        <v>737</v>
      </c>
      <c r="E820" s="10"/>
      <c r="F820" s="10"/>
      <c r="G820" s="10"/>
      <c r="H820" s="10"/>
      <c r="I820" s="288">
        <v>306105</v>
      </c>
      <c r="J820" s="10" t="s">
        <v>1883</v>
      </c>
      <c r="K820" s="299">
        <v>4</v>
      </c>
      <c r="L820" s="300" t="s">
        <v>1886</v>
      </c>
      <c r="M820" s="10"/>
      <c r="N820" s="10"/>
      <c r="O820" s="10"/>
      <c r="P820" s="10"/>
      <c r="Q820" s="10"/>
      <c r="R820" s="10"/>
      <c r="S820" s="10"/>
      <c r="T820" s="10"/>
      <c r="U820" s="10"/>
      <c r="V820" s="10"/>
    </row>
    <row r="821" spans="1:22" s="285" customFormat="1">
      <c r="A821" s="10"/>
      <c r="B821" s="283">
        <v>1006</v>
      </c>
      <c r="C821" s="288">
        <v>306106</v>
      </c>
      <c r="D821" s="10" t="s">
        <v>737</v>
      </c>
      <c r="E821" s="10"/>
      <c r="F821" s="10"/>
      <c r="G821" s="10"/>
      <c r="H821" s="10"/>
      <c r="I821" s="288">
        <v>306106</v>
      </c>
      <c r="J821" s="10" t="s">
        <v>1884</v>
      </c>
      <c r="K821" s="299">
        <v>4</v>
      </c>
      <c r="L821" s="300" t="s">
        <v>1886</v>
      </c>
      <c r="M821" s="10"/>
      <c r="N821" s="10"/>
      <c r="O821" s="10"/>
      <c r="P821" s="10"/>
      <c r="Q821" s="10"/>
      <c r="R821" s="10"/>
      <c r="S821" s="10"/>
      <c r="T821" s="10"/>
      <c r="U821" s="10"/>
      <c r="V821" s="10"/>
    </row>
    <row r="822" spans="1:22" s="285" customFormat="1">
      <c r="A822" s="10"/>
      <c r="B822" s="283">
        <v>1006</v>
      </c>
      <c r="C822" s="288">
        <v>306107</v>
      </c>
      <c r="D822" s="10" t="s">
        <v>737</v>
      </c>
      <c r="E822" s="10"/>
      <c r="F822" s="10"/>
      <c r="G822" s="10"/>
      <c r="H822" s="10"/>
      <c r="I822" s="288">
        <v>306107</v>
      </c>
      <c r="J822" s="10" t="s">
        <v>1885</v>
      </c>
      <c r="K822" s="299">
        <v>4</v>
      </c>
      <c r="L822" s="300" t="s">
        <v>1886</v>
      </c>
      <c r="M822" s="10"/>
      <c r="N822" s="10"/>
      <c r="O822" s="10"/>
      <c r="P822" s="10"/>
      <c r="Q822" s="10"/>
      <c r="R822" s="10"/>
      <c r="S822" s="10"/>
      <c r="T822" s="10"/>
      <c r="U822" s="10"/>
      <c r="V822" s="10"/>
    </row>
    <row r="823" spans="1:22">
      <c r="B823" s="10">
        <v>1006</v>
      </c>
      <c r="C823" s="282">
        <v>303012</v>
      </c>
      <c r="D823" s="301" t="s">
        <v>38</v>
      </c>
    </row>
    <row r="824" spans="1:22">
      <c r="B824" s="10">
        <v>1006</v>
      </c>
      <c r="C824" s="282">
        <v>303013</v>
      </c>
      <c r="D824" s="301" t="s">
        <v>38</v>
      </c>
    </row>
    <row r="825" spans="1:22">
      <c r="B825" s="10">
        <v>1006</v>
      </c>
      <c r="C825" s="282">
        <v>303022</v>
      </c>
      <c r="D825" s="301" t="s">
        <v>38</v>
      </c>
    </row>
    <row r="826" spans="1:22">
      <c r="B826" s="10">
        <v>1006</v>
      </c>
      <c r="C826" s="282">
        <v>303023</v>
      </c>
      <c r="D826" s="301" t="s">
        <v>38</v>
      </c>
    </row>
    <row r="827" spans="1:22">
      <c r="B827" s="10">
        <v>1006</v>
      </c>
      <c r="C827" s="282">
        <v>303032</v>
      </c>
      <c r="D827" s="301" t="s">
        <v>38</v>
      </c>
    </row>
    <row r="828" spans="1:22">
      <c r="B828" s="10">
        <v>1006</v>
      </c>
      <c r="C828" s="282">
        <v>303033</v>
      </c>
      <c r="D828" s="301" t="s">
        <v>38</v>
      </c>
    </row>
    <row r="829" spans="1:22">
      <c r="B829" s="10">
        <v>1006</v>
      </c>
      <c r="C829" s="282">
        <v>303042</v>
      </c>
      <c r="D829" s="301" t="s">
        <v>38</v>
      </c>
    </row>
    <row r="830" spans="1:22">
      <c r="B830" s="10">
        <v>1006</v>
      </c>
      <c r="C830" s="282">
        <v>303043</v>
      </c>
      <c r="D830" s="301" t="s">
        <v>38</v>
      </c>
    </row>
    <row r="831" spans="1:22">
      <c r="B831" s="10">
        <v>1006</v>
      </c>
      <c r="C831" s="282">
        <v>303052</v>
      </c>
      <c r="D831" s="301" t="s">
        <v>38</v>
      </c>
    </row>
    <row r="832" spans="1:22">
      <c r="B832" s="10">
        <v>1006</v>
      </c>
      <c r="C832" s="282">
        <v>303053</v>
      </c>
      <c r="D832" s="301" t="s">
        <v>38</v>
      </c>
    </row>
    <row r="833" spans="2:4">
      <c r="B833" s="10">
        <v>1006</v>
      </c>
      <c r="C833" s="282">
        <v>303062</v>
      </c>
      <c r="D833" s="301" t="s">
        <v>38</v>
      </c>
    </row>
    <row r="834" spans="2:4">
      <c r="B834" s="10">
        <v>1006</v>
      </c>
      <c r="C834" s="282">
        <v>303063</v>
      </c>
      <c r="D834" s="301" t="s">
        <v>38</v>
      </c>
    </row>
    <row r="835" spans="2:4">
      <c r="B835" s="10">
        <v>1006</v>
      </c>
      <c r="C835" s="282">
        <v>303072</v>
      </c>
      <c r="D835" s="301" t="s">
        <v>38</v>
      </c>
    </row>
    <row r="836" spans="2:4">
      <c r="B836" s="10">
        <v>1006</v>
      </c>
      <c r="C836" s="282">
        <v>303073</v>
      </c>
      <c r="D836" s="301" t="s">
        <v>38</v>
      </c>
    </row>
    <row r="837" spans="2:4">
      <c r="B837" s="10">
        <v>1006</v>
      </c>
      <c r="C837" s="282">
        <v>303082</v>
      </c>
      <c r="D837" s="301" t="s">
        <v>38</v>
      </c>
    </row>
    <row r="838" spans="2:4">
      <c r="B838" s="10">
        <v>1006</v>
      </c>
      <c r="C838" s="282">
        <v>303083</v>
      </c>
      <c r="D838" s="301" t="s">
        <v>38</v>
      </c>
    </row>
    <row r="839" spans="2:4">
      <c r="B839" s="10">
        <v>1007</v>
      </c>
      <c r="C839" s="43">
        <v>200011</v>
      </c>
      <c r="D839" s="10" t="s">
        <v>736</v>
      </c>
    </row>
    <row r="840" spans="2:4">
      <c r="B840" s="10">
        <v>1007</v>
      </c>
      <c r="C840" s="43">
        <v>200012</v>
      </c>
      <c r="D840" s="10" t="s">
        <v>736</v>
      </c>
    </row>
    <row r="841" spans="2:4">
      <c r="B841" s="10">
        <v>1007</v>
      </c>
      <c r="C841" s="43">
        <v>200013</v>
      </c>
      <c r="D841" s="10" t="s">
        <v>736</v>
      </c>
    </row>
    <row r="842" spans="2:4">
      <c r="B842" s="10">
        <v>1007</v>
      </c>
      <c r="C842" s="43">
        <v>200014</v>
      </c>
      <c r="D842" s="10" t="s">
        <v>736</v>
      </c>
    </row>
    <row r="843" spans="2:4">
      <c r="B843" s="10">
        <v>1007</v>
      </c>
      <c r="C843" s="43">
        <v>200022</v>
      </c>
      <c r="D843" s="10" t="s">
        <v>736</v>
      </c>
    </row>
    <row r="844" spans="2:4">
      <c r="B844" s="10">
        <v>1007</v>
      </c>
      <c r="C844" s="43">
        <v>200023</v>
      </c>
      <c r="D844" s="10" t="s">
        <v>736</v>
      </c>
    </row>
    <row r="845" spans="2:4">
      <c r="B845" s="10">
        <v>1007</v>
      </c>
      <c r="C845" s="43">
        <v>200025</v>
      </c>
      <c r="D845" s="10" t="s">
        <v>736</v>
      </c>
    </row>
    <row r="846" spans="2:4">
      <c r="B846" s="10">
        <v>1007</v>
      </c>
      <c r="C846" s="43">
        <v>200027</v>
      </c>
      <c r="D846" s="10" t="s">
        <v>736</v>
      </c>
    </row>
    <row r="847" spans="2:4">
      <c r="B847" s="10">
        <v>1007</v>
      </c>
      <c r="C847" s="43">
        <v>200030</v>
      </c>
      <c r="D847" s="10" t="s">
        <v>736</v>
      </c>
    </row>
    <row r="848" spans="2:4">
      <c r="B848" s="10">
        <v>1007</v>
      </c>
      <c r="C848" s="43">
        <v>200031</v>
      </c>
      <c r="D848" s="10" t="s">
        <v>736</v>
      </c>
    </row>
    <row r="849" spans="1:5">
      <c r="B849" s="10">
        <v>1007</v>
      </c>
      <c r="C849" s="43">
        <v>200039</v>
      </c>
      <c r="D849" s="10" t="s">
        <v>736</v>
      </c>
    </row>
    <row r="850" spans="1:5">
      <c r="B850" s="10">
        <v>1007</v>
      </c>
      <c r="C850" s="43">
        <v>200045</v>
      </c>
      <c r="D850" s="10" t="s">
        <v>736</v>
      </c>
    </row>
    <row r="851" spans="1:5">
      <c r="B851" s="10">
        <v>1007</v>
      </c>
      <c r="C851" s="43">
        <v>200047</v>
      </c>
      <c r="D851" s="10" t="s">
        <v>736</v>
      </c>
    </row>
    <row r="852" spans="1:5">
      <c r="B852" s="10">
        <v>1007</v>
      </c>
      <c r="C852" s="43">
        <v>200049</v>
      </c>
      <c r="D852" s="10" t="s">
        <v>736</v>
      </c>
    </row>
    <row r="853" spans="1:5">
      <c r="B853" s="10">
        <v>1007</v>
      </c>
      <c r="C853" s="43">
        <v>200054</v>
      </c>
      <c r="D853" s="10" t="s">
        <v>736</v>
      </c>
    </row>
    <row r="854" spans="1:5">
      <c r="B854" s="10">
        <v>1007</v>
      </c>
      <c r="C854" s="43">
        <v>200060</v>
      </c>
      <c r="D854" s="10" t="s">
        <v>736</v>
      </c>
    </row>
    <row r="855" spans="1:5" ht="13.5" customHeight="1">
      <c r="B855" s="10">
        <v>1007</v>
      </c>
      <c r="C855" s="43">
        <v>200075</v>
      </c>
      <c r="D855" s="270" t="s">
        <v>1842</v>
      </c>
    </row>
    <row r="856" spans="1:5" ht="13.5" customHeight="1">
      <c r="A856" s="270" t="s">
        <v>2039</v>
      </c>
      <c r="B856" s="10">
        <v>1007</v>
      </c>
      <c r="C856" s="43">
        <v>200078</v>
      </c>
      <c r="D856" s="270" t="s">
        <v>1842</v>
      </c>
    </row>
    <row r="857" spans="1:5" ht="13.5" customHeight="1">
      <c r="A857" s="270" t="s">
        <v>2037</v>
      </c>
      <c r="B857" s="10">
        <v>1007</v>
      </c>
      <c r="C857" s="10">
        <v>200090</v>
      </c>
      <c r="D857" s="270" t="s">
        <v>1842</v>
      </c>
    </row>
    <row r="858" spans="1:5" ht="13.5" customHeight="1">
      <c r="A858" s="270" t="s">
        <v>2035</v>
      </c>
      <c r="B858" s="10">
        <v>1007</v>
      </c>
      <c r="C858" s="10">
        <v>200085</v>
      </c>
      <c r="D858" s="270" t="s">
        <v>1842</v>
      </c>
    </row>
    <row r="859" spans="1:5" ht="13.5" customHeight="1">
      <c r="A859" s="270" t="s">
        <v>2033</v>
      </c>
      <c r="B859" s="10">
        <v>1007</v>
      </c>
      <c r="C859" s="43">
        <v>200092</v>
      </c>
      <c r="D859" s="270" t="s">
        <v>1842</v>
      </c>
    </row>
    <row r="860" spans="1:5" ht="13.5" customHeight="1">
      <c r="A860" s="270" t="s">
        <v>2042</v>
      </c>
      <c r="B860" s="10">
        <v>1007</v>
      </c>
      <c r="C860" s="43">
        <v>200096</v>
      </c>
      <c r="D860" s="270" t="s">
        <v>1842</v>
      </c>
    </row>
    <row r="861" spans="1:5" ht="13.5" customHeight="1">
      <c r="A861" s="315" t="s">
        <v>2094</v>
      </c>
      <c r="B861" s="10">
        <v>1007</v>
      </c>
      <c r="C861" s="315">
        <v>200097</v>
      </c>
      <c r="D861" s="315" t="s">
        <v>736</v>
      </c>
    </row>
    <row r="862" spans="1:5" ht="13.5" customHeight="1">
      <c r="A862" s="328" t="s">
        <v>2122</v>
      </c>
      <c r="B862" s="282">
        <v>1007</v>
      </c>
      <c r="C862" s="327">
        <v>20000113</v>
      </c>
      <c r="D862" s="327" t="s">
        <v>736</v>
      </c>
      <c r="E862" s="10">
        <v>251021</v>
      </c>
    </row>
    <row r="863" spans="1:5" ht="13.5" customHeight="1">
      <c r="A863" s="328" t="s">
        <v>2123</v>
      </c>
      <c r="B863" s="282">
        <v>1007</v>
      </c>
      <c r="C863" s="327">
        <v>20000114</v>
      </c>
      <c r="D863" s="327" t="s">
        <v>736</v>
      </c>
      <c r="E863" s="10">
        <v>251021</v>
      </c>
    </row>
    <row r="864" spans="1:5" ht="13.5" customHeight="1">
      <c r="A864" s="328" t="s">
        <v>2124</v>
      </c>
      <c r="B864" s="282">
        <v>1007</v>
      </c>
      <c r="C864" s="327">
        <v>20000115</v>
      </c>
      <c r="D864" s="327" t="s">
        <v>736</v>
      </c>
      <c r="E864" s="10">
        <v>251021</v>
      </c>
    </row>
    <row r="865" spans="1:12" ht="13.5" customHeight="1">
      <c r="A865" s="328" t="s">
        <v>2125</v>
      </c>
      <c r="B865" s="282">
        <v>1007</v>
      </c>
      <c r="C865" s="327">
        <v>20000116</v>
      </c>
      <c r="D865" s="327" t="s">
        <v>736</v>
      </c>
      <c r="E865" s="10">
        <v>251021</v>
      </c>
    </row>
    <row r="866" spans="1:12">
      <c r="B866" s="282">
        <v>1007</v>
      </c>
      <c r="C866" s="127">
        <v>30520001</v>
      </c>
      <c r="D866" s="303" t="s">
        <v>737</v>
      </c>
      <c r="E866" s="10">
        <v>251111</v>
      </c>
    </row>
    <row r="867" spans="1:12">
      <c r="B867" s="282">
        <v>1007</v>
      </c>
      <c r="C867" s="127">
        <v>30530001</v>
      </c>
      <c r="D867" s="303" t="s">
        <v>737</v>
      </c>
      <c r="E867" s="10">
        <v>251111</v>
      </c>
    </row>
    <row r="868" spans="1:12">
      <c r="B868" s="282">
        <v>1007</v>
      </c>
      <c r="C868" s="127">
        <v>30560001</v>
      </c>
      <c r="D868" s="303" t="s">
        <v>737</v>
      </c>
      <c r="E868" s="10">
        <v>251111</v>
      </c>
    </row>
    <row r="869" spans="1:12">
      <c r="B869" s="282">
        <v>1007</v>
      </c>
      <c r="C869" s="127">
        <v>30610001</v>
      </c>
      <c r="D869" s="303" t="s">
        <v>737</v>
      </c>
      <c r="E869" s="10">
        <v>251111</v>
      </c>
    </row>
    <row r="870" spans="1:12">
      <c r="B870" s="283">
        <v>1007</v>
      </c>
      <c r="C870" s="286">
        <v>305007</v>
      </c>
      <c r="D870" s="10" t="s">
        <v>737</v>
      </c>
      <c r="I870" s="286">
        <v>305007</v>
      </c>
      <c r="J870" s="286" t="s">
        <v>1213</v>
      </c>
      <c r="K870" s="286">
        <v>1</v>
      </c>
      <c r="L870" s="287" t="s">
        <v>1828</v>
      </c>
    </row>
    <row r="871" spans="1:12">
      <c r="B871" s="283">
        <v>1007</v>
      </c>
      <c r="C871" s="286">
        <v>305008</v>
      </c>
      <c r="D871" s="10" t="s">
        <v>737</v>
      </c>
      <c r="I871" s="286">
        <v>305008</v>
      </c>
      <c r="J871" s="286" t="s">
        <v>1217</v>
      </c>
      <c r="K871" s="286">
        <v>1</v>
      </c>
      <c r="L871" s="287" t="s">
        <v>1828</v>
      </c>
    </row>
    <row r="872" spans="1:12">
      <c r="B872" s="283">
        <v>1007</v>
      </c>
      <c r="C872" s="286">
        <v>305009</v>
      </c>
      <c r="D872" s="10" t="s">
        <v>737</v>
      </c>
      <c r="I872" s="286">
        <v>305009</v>
      </c>
      <c r="J872" s="286" t="s">
        <v>1220</v>
      </c>
      <c r="K872" s="286">
        <v>1</v>
      </c>
      <c r="L872" s="287" t="s">
        <v>1828</v>
      </c>
    </row>
    <row r="873" spans="1:12">
      <c r="B873" s="283">
        <v>1007</v>
      </c>
      <c r="C873" s="286">
        <v>305023</v>
      </c>
      <c r="D873" s="10" t="s">
        <v>737</v>
      </c>
      <c r="I873" s="286">
        <v>305023</v>
      </c>
      <c r="J873" s="286" t="s">
        <v>1277</v>
      </c>
      <c r="K873" s="286">
        <v>1</v>
      </c>
      <c r="L873" s="287" t="s">
        <v>1828</v>
      </c>
    </row>
    <row r="874" spans="1:12">
      <c r="B874" s="283">
        <v>1007</v>
      </c>
      <c r="C874" s="286">
        <v>305034</v>
      </c>
      <c r="D874" s="10" t="s">
        <v>737</v>
      </c>
      <c r="I874" s="286">
        <v>305034</v>
      </c>
      <c r="J874" s="286" t="s">
        <v>222</v>
      </c>
      <c r="K874" s="286">
        <v>1</v>
      </c>
      <c r="L874" s="287" t="s">
        <v>1828</v>
      </c>
    </row>
    <row r="875" spans="1:12">
      <c r="B875" s="283">
        <v>1007</v>
      </c>
      <c r="C875" s="286">
        <v>305035</v>
      </c>
      <c r="D875" s="10" t="s">
        <v>737</v>
      </c>
      <c r="I875" s="286">
        <v>305035</v>
      </c>
      <c r="J875" s="286" t="s">
        <v>227</v>
      </c>
      <c r="K875" s="286">
        <v>1</v>
      </c>
      <c r="L875" s="287" t="s">
        <v>1828</v>
      </c>
    </row>
    <row r="876" spans="1:12">
      <c r="B876" s="283">
        <v>1007</v>
      </c>
      <c r="C876" s="286">
        <v>305036</v>
      </c>
      <c r="D876" s="10" t="s">
        <v>737</v>
      </c>
      <c r="I876" s="286">
        <v>305036</v>
      </c>
      <c r="J876" s="286" t="s">
        <v>232</v>
      </c>
      <c r="K876" s="286">
        <v>1</v>
      </c>
      <c r="L876" s="287" t="s">
        <v>1828</v>
      </c>
    </row>
    <row r="877" spans="1:12">
      <c r="B877" s="283">
        <v>1007</v>
      </c>
      <c r="C877" s="286">
        <v>305039</v>
      </c>
      <c r="D877" s="10" t="s">
        <v>737</v>
      </c>
      <c r="I877" s="286">
        <v>305039</v>
      </c>
      <c r="J877" s="286" t="s">
        <v>1829</v>
      </c>
      <c r="K877" s="286">
        <v>1</v>
      </c>
      <c r="L877" s="287" t="s">
        <v>1828</v>
      </c>
    </row>
    <row r="878" spans="1:12">
      <c r="B878" s="283">
        <v>1007</v>
      </c>
      <c r="C878" s="286">
        <v>305040</v>
      </c>
      <c r="D878" s="10" t="s">
        <v>737</v>
      </c>
      <c r="I878" s="286">
        <v>305040</v>
      </c>
      <c r="J878" s="286" t="s">
        <v>277</v>
      </c>
      <c r="K878" s="286">
        <v>1</v>
      </c>
      <c r="L878" s="287" t="s">
        <v>1828</v>
      </c>
    </row>
    <row r="879" spans="1:12">
      <c r="B879" s="283">
        <v>1007</v>
      </c>
      <c r="C879" s="286">
        <v>305200</v>
      </c>
      <c r="D879" s="10" t="s">
        <v>737</v>
      </c>
      <c r="I879" s="286">
        <v>305200</v>
      </c>
      <c r="J879" s="286" t="s">
        <v>313</v>
      </c>
      <c r="K879" s="286">
        <v>1</v>
      </c>
      <c r="L879" s="287" t="s">
        <v>1828</v>
      </c>
    </row>
    <row r="880" spans="1:12">
      <c r="B880" s="283">
        <v>1007</v>
      </c>
      <c r="C880" s="288">
        <v>305224</v>
      </c>
      <c r="D880" s="10" t="s">
        <v>737</v>
      </c>
      <c r="I880" s="288">
        <v>305224</v>
      </c>
      <c r="J880" s="10" t="s">
        <v>1890</v>
      </c>
      <c r="K880" s="286">
        <v>1</v>
      </c>
      <c r="L880" s="287" t="s">
        <v>1828</v>
      </c>
    </row>
    <row r="881" spans="2:12">
      <c r="B881" s="283">
        <v>1007</v>
      </c>
      <c r="C881" s="288">
        <v>305225</v>
      </c>
      <c r="D881" s="10" t="s">
        <v>737</v>
      </c>
      <c r="I881" s="288">
        <v>305225</v>
      </c>
      <c r="J881" s="10" t="s">
        <v>1888</v>
      </c>
      <c r="K881" s="286">
        <v>1</v>
      </c>
      <c r="L881" s="287" t="s">
        <v>1828</v>
      </c>
    </row>
    <row r="882" spans="2:12">
      <c r="B882" s="283">
        <v>1007</v>
      </c>
      <c r="C882" s="288">
        <v>305226</v>
      </c>
      <c r="D882" s="10" t="s">
        <v>737</v>
      </c>
      <c r="I882" s="288">
        <v>305226</v>
      </c>
      <c r="J882" s="10" t="s">
        <v>1891</v>
      </c>
      <c r="K882" s="286">
        <v>1</v>
      </c>
      <c r="L882" s="287" t="s">
        <v>1828</v>
      </c>
    </row>
    <row r="883" spans="2:12">
      <c r="B883" s="283">
        <v>1007</v>
      </c>
      <c r="C883" s="289">
        <v>305010</v>
      </c>
      <c r="D883" s="10" t="s">
        <v>737</v>
      </c>
      <c r="I883" s="289">
        <v>305010</v>
      </c>
      <c r="J883" s="289" t="s">
        <v>1223</v>
      </c>
      <c r="K883" s="289">
        <v>2</v>
      </c>
      <c r="L883" s="290" t="s">
        <v>1830</v>
      </c>
    </row>
    <row r="884" spans="2:12">
      <c r="B884" s="283">
        <v>1007</v>
      </c>
      <c r="C884" s="289">
        <v>305021</v>
      </c>
      <c r="D884" s="10" t="s">
        <v>737</v>
      </c>
      <c r="I884" s="289">
        <v>305021</v>
      </c>
      <c r="J884" s="289" t="s">
        <v>1270</v>
      </c>
      <c r="K884" s="289">
        <v>2</v>
      </c>
      <c r="L884" s="290" t="s">
        <v>1830</v>
      </c>
    </row>
    <row r="885" spans="2:12">
      <c r="B885" s="283">
        <v>1007</v>
      </c>
      <c r="C885" s="289">
        <v>305022</v>
      </c>
      <c r="D885" s="10" t="s">
        <v>737</v>
      </c>
      <c r="I885" s="289">
        <v>305022</v>
      </c>
      <c r="J885" s="289" t="s">
        <v>1273</v>
      </c>
      <c r="K885" s="289">
        <v>2</v>
      </c>
      <c r="L885" s="290" t="s">
        <v>1830</v>
      </c>
    </row>
    <row r="886" spans="2:12">
      <c r="B886" s="283">
        <v>1007</v>
      </c>
      <c r="C886" s="289">
        <v>305032</v>
      </c>
      <c r="D886" s="10" t="s">
        <v>737</v>
      </c>
      <c r="I886" s="289">
        <v>305032</v>
      </c>
      <c r="J886" s="289" t="s">
        <v>213</v>
      </c>
      <c r="K886" s="289">
        <v>2</v>
      </c>
      <c r="L886" s="290" t="s">
        <v>1830</v>
      </c>
    </row>
    <row r="887" spans="2:12">
      <c r="B887" s="283">
        <v>1007</v>
      </c>
      <c r="C887" s="289">
        <v>305033</v>
      </c>
      <c r="D887" s="10" t="s">
        <v>737</v>
      </c>
      <c r="I887" s="289">
        <v>305033</v>
      </c>
      <c r="J887" s="289" t="s">
        <v>217</v>
      </c>
      <c r="K887" s="289">
        <v>2</v>
      </c>
      <c r="L887" s="290" t="s">
        <v>1830</v>
      </c>
    </row>
    <row r="888" spans="2:12">
      <c r="B888" s="283">
        <v>1007</v>
      </c>
      <c r="C888" s="289">
        <v>305037</v>
      </c>
      <c r="D888" s="10" t="s">
        <v>737</v>
      </c>
      <c r="I888" s="289">
        <v>305037</v>
      </c>
      <c r="J888" s="289" t="s">
        <v>264</v>
      </c>
      <c r="K888" s="289">
        <v>2</v>
      </c>
      <c r="L888" s="290" t="s">
        <v>1830</v>
      </c>
    </row>
    <row r="889" spans="2:12">
      <c r="B889" s="283">
        <v>1007</v>
      </c>
      <c r="C889" s="289">
        <v>305038</v>
      </c>
      <c r="D889" s="10" t="s">
        <v>737</v>
      </c>
      <c r="I889" s="289">
        <v>305038</v>
      </c>
      <c r="J889" s="289" t="s">
        <v>268</v>
      </c>
      <c r="K889" s="289">
        <v>2</v>
      </c>
      <c r="L889" s="290" t="s">
        <v>1830</v>
      </c>
    </row>
    <row r="890" spans="2:12">
      <c r="B890" s="283">
        <v>1007</v>
      </c>
      <c r="C890" s="289">
        <v>305300</v>
      </c>
      <c r="D890" s="10" t="s">
        <v>737</v>
      </c>
      <c r="I890" s="289">
        <v>305300</v>
      </c>
      <c r="J890" s="289" t="s">
        <v>318</v>
      </c>
      <c r="K890" s="289">
        <v>2</v>
      </c>
      <c r="L890" s="290" t="s">
        <v>1830</v>
      </c>
    </row>
    <row r="891" spans="2:12">
      <c r="B891" s="283">
        <v>1007</v>
      </c>
      <c r="C891" s="288">
        <v>305324</v>
      </c>
      <c r="D891" s="10" t="s">
        <v>737</v>
      </c>
      <c r="I891" s="288">
        <v>305324</v>
      </c>
      <c r="J891" s="10" t="s">
        <v>1887</v>
      </c>
      <c r="K891" s="289">
        <v>2</v>
      </c>
      <c r="L891" s="290" t="s">
        <v>1830</v>
      </c>
    </row>
    <row r="892" spans="2:12">
      <c r="B892" s="283">
        <v>1007</v>
      </c>
      <c r="C892" s="288">
        <v>305325</v>
      </c>
      <c r="D892" s="10" t="s">
        <v>737</v>
      </c>
      <c r="I892" s="288">
        <v>305325</v>
      </c>
      <c r="J892" s="10" t="s">
        <v>1888</v>
      </c>
      <c r="K892" s="289">
        <v>2</v>
      </c>
      <c r="L892" s="290" t="s">
        <v>1830</v>
      </c>
    </row>
    <row r="893" spans="2:12">
      <c r="B893" s="283">
        <v>1007</v>
      </c>
      <c r="C893" s="288">
        <v>305326</v>
      </c>
      <c r="D893" s="10" t="s">
        <v>737</v>
      </c>
      <c r="I893" s="288">
        <v>305326</v>
      </c>
      <c r="J893" s="10" t="s">
        <v>1889</v>
      </c>
      <c r="K893" s="289">
        <v>2</v>
      </c>
      <c r="L893" s="290" t="s">
        <v>1830</v>
      </c>
    </row>
    <row r="894" spans="2:12">
      <c r="B894" s="283">
        <v>1007</v>
      </c>
      <c r="C894" s="291">
        <v>305001</v>
      </c>
      <c r="D894" s="10" t="s">
        <v>737</v>
      </c>
      <c r="I894" s="291">
        <v>305001</v>
      </c>
      <c r="J894" s="291" t="s">
        <v>176</v>
      </c>
      <c r="K894" s="291">
        <v>0</v>
      </c>
      <c r="L894" s="292" t="s">
        <v>1827</v>
      </c>
    </row>
    <row r="895" spans="2:12">
      <c r="B895" s="283">
        <v>1007</v>
      </c>
      <c r="C895" s="291">
        <v>305002</v>
      </c>
      <c r="D895" s="10" t="s">
        <v>737</v>
      </c>
      <c r="I895" s="291">
        <v>305002</v>
      </c>
      <c r="J895" s="291" t="s">
        <v>181</v>
      </c>
      <c r="K895" s="291">
        <v>0</v>
      </c>
      <c r="L895" s="292" t="s">
        <v>1827</v>
      </c>
    </row>
    <row r="896" spans="2:12">
      <c r="B896" s="283">
        <v>1007</v>
      </c>
      <c r="C896" s="291">
        <v>305003</v>
      </c>
      <c r="D896" s="10" t="s">
        <v>737</v>
      </c>
      <c r="I896" s="291">
        <v>305003</v>
      </c>
      <c r="J896" s="291" t="s">
        <v>186</v>
      </c>
      <c r="K896" s="291">
        <v>0</v>
      </c>
      <c r="L896" s="292" t="s">
        <v>1827</v>
      </c>
    </row>
    <row r="897" spans="2:22">
      <c r="B897" s="283">
        <v>1007</v>
      </c>
      <c r="C897" s="291">
        <v>305018</v>
      </c>
      <c r="D897" s="10" t="s">
        <v>737</v>
      </c>
      <c r="I897" s="291">
        <v>305018</v>
      </c>
      <c r="J897" s="291" t="s">
        <v>191</v>
      </c>
      <c r="K897" s="291">
        <v>0</v>
      </c>
      <c r="L897" s="292" t="s">
        <v>1827</v>
      </c>
    </row>
    <row r="898" spans="2:22">
      <c r="B898" s="283">
        <v>1007</v>
      </c>
      <c r="C898" s="291">
        <v>305019</v>
      </c>
      <c r="D898" s="10" t="s">
        <v>737</v>
      </c>
      <c r="I898" s="291">
        <v>305019</v>
      </c>
      <c r="J898" s="291" t="s">
        <v>196</v>
      </c>
      <c r="K898" s="291">
        <v>0</v>
      </c>
      <c r="L898" s="292" t="s">
        <v>1827</v>
      </c>
    </row>
    <row r="899" spans="2:22">
      <c r="B899" s="283">
        <v>1007</v>
      </c>
      <c r="C899" s="291">
        <v>305041</v>
      </c>
      <c r="D899" s="10" t="s">
        <v>737</v>
      </c>
      <c r="I899" s="291">
        <v>305041</v>
      </c>
      <c r="J899" s="291" t="s">
        <v>282</v>
      </c>
      <c r="K899" s="291">
        <v>0</v>
      </c>
      <c r="L899" s="292" t="s">
        <v>1827</v>
      </c>
    </row>
    <row r="900" spans="2:22">
      <c r="B900" s="283">
        <v>1007</v>
      </c>
      <c r="C900" s="291">
        <v>305042</v>
      </c>
      <c r="D900" s="10" t="s">
        <v>737</v>
      </c>
      <c r="I900" s="291">
        <v>305042</v>
      </c>
      <c r="J900" s="291" t="s">
        <v>287</v>
      </c>
      <c r="K900" s="291">
        <v>0</v>
      </c>
      <c r="L900" s="292" t="s">
        <v>1827</v>
      </c>
    </row>
    <row r="901" spans="2:22">
      <c r="B901" s="283">
        <v>1007</v>
      </c>
      <c r="C901" s="291">
        <v>305600</v>
      </c>
      <c r="D901" s="10" t="s">
        <v>737</v>
      </c>
      <c r="I901" s="291">
        <v>305600</v>
      </c>
      <c r="J901" s="291" t="s">
        <v>323</v>
      </c>
      <c r="K901" s="291">
        <v>0</v>
      </c>
      <c r="L901" s="292" t="s">
        <v>1827</v>
      </c>
    </row>
    <row r="902" spans="2:22">
      <c r="B902" s="283">
        <v>1007</v>
      </c>
      <c r="C902" s="288">
        <v>305623</v>
      </c>
      <c r="D902" s="10" t="s">
        <v>737</v>
      </c>
      <c r="I902" s="288">
        <v>305623</v>
      </c>
      <c r="J902" s="10" t="s">
        <v>1864</v>
      </c>
      <c r="K902" s="291">
        <v>0</v>
      </c>
      <c r="L902" s="292" t="s">
        <v>1827</v>
      </c>
    </row>
    <row r="903" spans="2:22">
      <c r="B903" s="283">
        <v>1007</v>
      </c>
      <c r="C903" s="288">
        <v>305624</v>
      </c>
      <c r="D903" s="10" t="s">
        <v>737</v>
      </c>
      <c r="I903" s="288">
        <v>305624</v>
      </c>
      <c r="J903" s="10" t="s">
        <v>1865</v>
      </c>
      <c r="K903" s="291">
        <v>0</v>
      </c>
      <c r="L903" s="292" t="s">
        <v>1827</v>
      </c>
    </row>
    <row r="904" spans="2:22">
      <c r="B904" s="283">
        <v>1007</v>
      </c>
      <c r="C904" s="288">
        <v>305625</v>
      </c>
      <c r="D904" s="10" t="s">
        <v>737</v>
      </c>
      <c r="I904" s="288">
        <v>305625</v>
      </c>
      <c r="J904" s="10" t="s">
        <v>1866</v>
      </c>
      <c r="K904" s="291">
        <v>0</v>
      </c>
      <c r="L904" s="292" t="s">
        <v>1827</v>
      </c>
    </row>
    <row r="905" spans="2:22">
      <c r="B905" s="283">
        <v>1007</v>
      </c>
      <c r="C905" s="288">
        <v>305626</v>
      </c>
      <c r="D905" s="10" t="s">
        <v>737</v>
      </c>
      <c r="I905" s="288">
        <v>305626</v>
      </c>
      <c r="J905" s="10" t="s">
        <v>1867</v>
      </c>
      <c r="K905" s="291">
        <v>0</v>
      </c>
      <c r="L905" s="292" t="s">
        <v>1827</v>
      </c>
    </row>
    <row r="906" spans="2:22">
      <c r="B906" s="283">
        <v>1007</v>
      </c>
      <c r="C906" s="293">
        <v>305012</v>
      </c>
      <c r="D906" s="10" t="s">
        <v>737</v>
      </c>
      <c r="I906" s="293">
        <v>305012</v>
      </c>
      <c r="J906" s="293" t="s">
        <v>1230</v>
      </c>
      <c r="K906" s="293">
        <v>6</v>
      </c>
      <c r="L906" s="294" t="s">
        <v>1833</v>
      </c>
    </row>
    <row r="907" spans="2:22">
      <c r="B907" s="283">
        <v>1007</v>
      </c>
      <c r="C907" s="293">
        <v>305013</v>
      </c>
      <c r="D907" s="10" t="s">
        <v>737</v>
      </c>
      <c r="I907" s="293">
        <v>305013</v>
      </c>
      <c r="J907" s="293" t="s">
        <v>1237</v>
      </c>
      <c r="K907" s="293">
        <v>6</v>
      </c>
      <c r="L907" s="294" t="s">
        <v>1833</v>
      </c>
    </row>
    <row r="908" spans="2:22">
      <c r="B908" s="283">
        <v>1007</v>
      </c>
      <c r="C908" s="293">
        <v>305014</v>
      </c>
      <c r="D908" s="10" t="s">
        <v>737</v>
      </c>
      <c r="I908" s="293">
        <v>305014</v>
      </c>
      <c r="J908" s="293" t="s">
        <v>1241</v>
      </c>
      <c r="K908" s="293">
        <v>6</v>
      </c>
      <c r="L908" s="294" t="s">
        <v>1833</v>
      </c>
    </row>
    <row r="909" spans="2:22" s="285" customFormat="1">
      <c r="B909" s="283">
        <v>1007</v>
      </c>
      <c r="C909" s="293">
        <v>305046</v>
      </c>
      <c r="D909" s="285" t="s">
        <v>737</v>
      </c>
      <c r="G909" s="10"/>
      <c r="H909" s="10"/>
      <c r="I909" s="293">
        <v>305046</v>
      </c>
      <c r="J909" s="293" t="s">
        <v>309</v>
      </c>
      <c r="K909" s="293">
        <v>6</v>
      </c>
      <c r="L909" s="294" t="s">
        <v>1833</v>
      </c>
      <c r="M909" s="10"/>
      <c r="R909" s="10"/>
      <c r="S909" s="10"/>
      <c r="T909" s="10"/>
      <c r="U909" s="10"/>
      <c r="V909" s="10"/>
    </row>
    <row r="910" spans="2:22">
      <c r="B910" s="283">
        <v>1007</v>
      </c>
      <c r="C910" s="288">
        <v>305815</v>
      </c>
      <c r="D910" s="10" t="s">
        <v>737</v>
      </c>
      <c r="I910" s="288">
        <v>305815</v>
      </c>
      <c r="J910" s="10" t="s">
        <v>1868</v>
      </c>
      <c r="K910" s="293">
        <v>6</v>
      </c>
      <c r="L910" s="294" t="s">
        <v>1833</v>
      </c>
    </row>
    <row r="911" spans="2:22">
      <c r="B911" s="283">
        <v>1007</v>
      </c>
      <c r="C911" s="288">
        <v>305816</v>
      </c>
      <c r="D911" s="10" t="s">
        <v>737</v>
      </c>
      <c r="I911" s="288">
        <v>305816</v>
      </c>
      <c r="J911" s="10" t="s">
        <v>1869</v>
      </c>
      <c r="K911" s="293">
        <v>6</v>
      </c>
      <c r="L911" s="294" t="s">
        <v>1833</v>
      </c>
    </row>
    <row r="912" spans="2:22">
      <c r="B912" s="283">
        <v>1007</v>
      </c>
      <c r="C912" s="288">
        <v>305817</v>
      </c>
      <c r="D912" s="10" t="s">
        <v>737</v>
      </c>
      <c r="I912" s="288">
        <v>305817</v>
      </c>
      <c r="J912" s="10" t="s">
        <v>1870</v>
      </c>
      <c r="K912" s="293">
        <v>6</v>
      </c>
      <c r="L912" s="294" t="s">
        <v>1833</v>
      </c>
    </row>
    <row r="913" spans="1:22" s="285" customFormat="1">
      <c r="B913" s="283">
        <v>1007</v>
      </c>
      <c r="C913" s="288">
        <v>305818</v>
      </c>
      <c r="D913" s="285" t="s">
        <v>737</v>
      </c>
      <c r="G913" s="10"/>
      <c r="H913" s="10"/>
      <c r="I913" s="288">
        <v>305818</v>
      </c>
      <c r="J913" s="10" t="s">
        <v>1871</v>
      </c>
      <c r="K913" s="293">
        <v>6</v>
      </c>
      <c r="L913" s="294" t="s">
        <v>1833</v>
      </c>
      <c r="M913" s="10"/>
      <c r="R913" s="10"/>
      <c r="S913" s="10"/>
      <c r="T913" s="10"/>
      <c r="U913" s="10"/>
      <c r="V913" s="10"/>
    </row>
    <row r="914" spans="1:22">
      <c r="B914" s="283">
        <v>1007</v>
      </c>
      <c r="C914" s="288">
        <v>305819</v>
      </c>
      <c r="D914" s="10" t="s">
        <v>737</v>
      </c>
      <c r="I914" s="288">
        <v>305819</v>
      </c>
      <c r="J914" s="10" t="s">
        <v>1872</v>
      </c>
      <c r="K914" s="293">
        <v>6</v>
      </c>
      <c r="L914" s="294" t="s">
        <v>1833</v>
      </c>
    </row>
    <row r="915" spans="1:22" s="285" customFormat="1">
      <c r="B915" s="283">
        <v>1007</v>
      </c>
      <c r="C915" s="288">
        <v>305820</v>
      </c>
      <c r="D915" s="285" t="s">
        <v>737</v>
      </c>
      <c r="G915" s="10"/>
      <c r="H915" s="10"/>
      <c r="I915" s="288">
        <v>305820</v>
      </c>
      <c r="J915" s="10" t="s">
        <v>1873</v>
      </c>
      <c r="K915" s="293">
        <v>6</v>
      </c>
      <c r="L915" s="294" t="s">
        <v>1833</v>
      </c>
      <c r="M915" s="10"/>
      <c r="R915" s="10"/>
      <c r="S915" s="10"/>
      <c r="T915" s="10"/>
      <c r="U915" s="10"/>
      <c r="V915" s="10"/>
    </row>
    <row r="916" spans="1:22">
      <c r="B916" s="283">
        <v>1007</v>
      </c>
      <c r="C916" s="295">
        <v>305015</v>
      </c>
      <c r="D916" s="10" t="s">
        <v>737</v>
      </c>
      <c r="I916" s="295">
        <v>305015</v>
      </c>
      <c r="J916" s="295" t="s">
        <v>1245</v>
      </c>
      <c r="K916" s="295">
        <v>7</v>
      </c>
      <c r="L916" s="296" t="s">
        <v>538</v>
      </c>
    </row>
    <row r="917" spans="1:22">
      <c r="B917" s="283">
        <v>1007</v>
      </c>
      <c r="C917" s="295">
        <v>305016</v>
      </c>
      <c r="D917" s="10" t="s">
        <v>737</v>
      </c>
      <c r="I917" s="295">
        <v>305016</v>
      </c>
      <c r="J917" s="295" t="s">
        <v>1251</v>
      </c>
      <c r="K917" s="295">
        <v>7</v>
      </c>
      <c r="L917" s="296" t="s">
        <v>538</v>
      </c>
    </row>
    <row r="918" spans="1:22">
      <c r="B918" s="283">
        <v>1007</v>
      </c>
      <c r="C918" s="295">
        <v>305017</v>
      </c>
      <c r="D918" s="10" t="s">
        <v>737</v>
      </c>
      <c r="I918" s="295">
        <v>305017</v>
      </c>
      <c r="J918" s="295" t="s">
        <v>1255</v>
      </c>
      <c r="K918" s="295">
        <v>7</v>
      </c>
      <c r="L918" s="296" t="s">
        <v>538</v>
      </c>
    </row>
    <row r="919" spans="1:22">
      <c r="B919" s="283">
        <v>1007</v>
      </c>
      <c r="C919" s="295">
        <v>305700</v>
      </c>
      <c r="D919" s="10" t="s">
        <v>737</v>
      </c>
      <c r="I919" s="295">
        <v>305700</v>
      </c>
      <c r="J919" s="295" t="s">
        <v>328</v>
      </c>
      <c r="K919" s="295">
        <v>7</v>
      </c>
      <c r="L919" s="296" t="s">
        <v>538</v>
      </c>
    </row>
    <row r="920" spans="1:22">
      <c r="B920" s="283">
        <v>1007</v>
      </c>
      <c r="C920" s="288">
        <v>305719</v>
      </c>
      <c r="D920" s="10" t="s">
        <v>737</v>
      </c>
      <c r="I920" s="288">
        <v>305719</v>
      </c>
      <c r="J920" s="10" t="s">
        <v>1874</v>
      </c>
      <c r="K920" s="295">
        <v>7</v>
      </c>
      <c r="L920" s="296" t="s">
        <v>538</v>
      </c>
    </row>
    <row r="921" spans="1:22">
      <c r="B921" s="283">
        <v>1007</v>
      </c>
      <c r="C921" s="288">
        <v>305720</v>
      </c>
      <c r="D921" s="10" t="s">
        <v>737</v>
      </c>
      <c r="I921" s="288">
        <v>305720</v>
      </c>
      <c r="J921" s="10" t="s">
        <v>1875</v>
      </c>
      <c r="K921" s="295">
        <v>7</v>
      </c>
      <c r="L921" s="296" t="s">
        <v>538</v>
      </c>
    </row>
    <row r="922" spans="1:22">
      <c r="B922" s="283">
        <v>1007</v>
      </c>
      <c r="C922" s="288">
        <v>305721</v>
      </c>
      <c r="D922" s="10" t="s">
        <v>737</v>
      </c>
      <c r="I922" s="288">
        <v>305721</v>
      </c>
      <c r="J922" s="10" t="s">
        <v>1876</v>
      </c>
      <c r="K922" s="295">
        <v>7</v>
      </c>
      <c r="L922" s="296" t="s">
        <v>538</v>
      </c>
    </row>
    <row r="923" spans="1:22">
      <c r="B923" s="283">
        <v>1007</v>
      </c>
      <c r="C923" s="288">
        <v>305722</v>
      </c>
      <c r="D923" s="10" t="s">
        <v>737</v>
      </c>
      <c r="I923" s="288">
        <v>305722</v>
      </c>
      <c r="J923" s="10" t="s">
        <v>1877</v>
      </c>
      <c r="K923" s="295">
        <v>7</v>
      </c>
      <c r="L923" s="296" t="s">
        <v>538</v>
      </c>
    </row>
    <row r="924" spans="1:22">
      <c r="B924" s="283">
        <v>1007</v>
      </c>
      <c r="C924" s="288">
        <v>305723</v>
      </c>
      <c r="D924" s="10" t="s">
        <v>737</v>
      </c>
      <c r="I924" s="288">
        <v>305723</v>
      </c>
      <c r="J924" s="10" t="s">
        <v>1878</v>
      </c>
      <c r="K924" s="295">
        <v>7</v>
      </c>
      <c r="L924" s="296" t="s">
        <v>538</v>
      </c>
    </row>
    <row r="925" spans="1:22">
      <c r="B925" s="283">
        <v>1007</v>
      </c>
      <c r="C925" s="288">
        <v>305724</v>
      </c>
      <c r="D925" s="10" t="s">
        <v>737</v>
      </c>
      <c r="I925" s="288">
        <v>305724</v>
      </c>
      <c r="J925" s="10" t="s">
        <v>1879</v>
      </c>
      <c r="K925" s="295">
        <v>7</v>
      </c>
      <c r="L925" s="296" t="s">
        <v>538</v>
      </c>
    </row>
    <row r="926" spans="1:22">
      <c r="B926" s="283">
        <v>1007</v>
      </c>
      <c r="C926" s="297">
        <v>305011</v>
      </c>
      <c r="D926" s="10" t="s">
        <v>737</v>
      </c>
      <c r="I926" s="297">
        <v>305011</v>
      </c>
      <c r="J926" s="297" t="s">
        <v>161</v>
      </c>
      <c r="K926" s="297">
        <v>3</v>
      </c>
      <c r="L926" s="298" t="s">
        <v>1831</v>
      </c>
    </row>
    <row r="927" spans="1:22">
      <c r="B927" s="283">
        <v>1007</v>
      </c>
      <c r="C927" s="299">
        <v>305025</v>
      </c>
      <c r="D927" s="10" t="s">
        <v>737</v>
      </c>
      <c r="I927" s="299">
        <v>305025</v>
      </c>
      <c r="J927" s="299" t="s">
        <v>200</v>
      </c>
      <c r="K927" s="299">
        <v>4</v>
      </c>
      <c r="L927" s="300" t="s">
        <v>1832</v>
      </c>
    </row>
    <row r="928" spans="1:22" s="285" customFormat="1">
      <c r="A928" s="10"/>
      <c r="B928" s="283">
        <v>1007</v>
      </c>
      <c r="C928" s="299">
        <v>305026</v>
      </c>
      <c r="D928" s="10" t="s">
        <v>737</v>
      </c>
      <c r="E928" s="10"/>
      <c r="F928" s="10"/>
      <c r="G928" s="10"/>
      <c r="H928" s="10"/>
      <c r="I928" s="299">
        <v>305026</v>
      </c>
      <c r="J928" s="299" t="s">
        <v>204</v>
      </c>
      <c r="K928" s="299">
        <v>4</v>
      </c>
      <c r="L928" s="300" t="s">
        <v>1832</v>
      </c>
      <c r="M928" s="10"/>
      <c r="N928" s="10"/>
      <c r="O928" s="10"/>
      <c r="P928" s="10"/>
      <c r="Q928" s="10"/>
      <c r="R928" s="10"/>
      <c r="S928" s="10"/>
      <c r="T928" s="10"/>
      <c r="U928" s="10"/>
      <c r="V928" s="10"/>
    </row>
    <row r="929" spans="1:22" s="285" customFormat="1">
      <c r="A929" s="10"/>
      <c r="B929" s="283">
        <v>1007</v>
      </c>
      <c r="C929" s="299">
        <v>305050</v>
      </c>
      <c r="D929" s="10" t="s">
        <v>737</v>
      </c>
      <c r="E929" s="10"/>
      <c r="F929" s="10"/>
      <c r="G929" s="10"/>
      <c r="H929" s="10"/>
      <c r="I929" s="299">
        <v>305050</v>
      </c>
      <c r="J929" s="299" t="s">
        <v>300</v>
      </c>
      <c r="K929" s="299">
        <v>4</v>
      </c>
      <c r="L929" s="300" t="s">
        <v>1832</v>
      </c>
      <c r="M929" s="10"/>
      <c r="N929" s="10"/>
      <c r="O929" s="10"/>
      <c r="P929" s="10"/>
      <c r="Q929" s="10"/>
      <c r="R929" s="10"/>
      <c r="S929" s="10"/>
      <c r="T929" s="10"/>
      <c r="U929" s="10"/>
      <c r="V929" s="10"/>
    </row>
    <row r="930" spans="1:22" s="285" customFormat="1">
      <c r="A930" s="10"/>
      <c r="B930" s="283">
        <v>1007</v>
      </c>
      <c r="C930" s="299">
        <v>305051</v>
      </c>
      <c r="D930" s="10" t="s">
        <v>737</v>
      </c>
      <c r="E930" s="10"/>
      <c r="F930" s="10"/>
      <c r="G930" s="10"/>
      <c r="H930" s="10"/>
      <c r="I930" s="299">
        <v>305051</v>
      </c>
      <c r="J930" s="299" t="s">
        <v>340</v>
      </c>
      <c r="K930" s="299">
        <v>4</v>
      </c>
      <c r="L930" s="300" t="s">
        <v>1832</v>
      </c>
      <c r="M930" s="10"/>
      <c r="N930" s="10"/>
      <c r="O930" s="10"/>
      <c r="P930" s="10"/>
      <c r="Q930" s="10"/>
      <c r="R930" s="10"/>
      <c r="S930" s="10"/>
      <c r="T930" s="10"/>
      <c r="U930" s="10"/>
      <c r="V930" s="10"/>
    </row>
    <row r="931" spans="1:22">
      <c r="B931" s="283">
        <v>1007</v>
      </c>
      <c r="C931" s="288">
        <v>305055</v>
      </c>
      <c r="D931" s="10" t="s">
        <v>737</v>
      </c>
      <c r="I931" s="288">
        <v>305055</v>
      </c>
      <c r="J931" s="10" t="s">
        <v>1880</v>
      </c>
      <c r="K931" s="299">
        <v>4</v>
      </c>
      <c r="L931" s="300" t="s">
        <v>1832</v>
      </c>
    </row>
    <row r="932" spans="1:22" s="285" customFormat="1">
      <c r="A932" s="10"/>
      <c r="B932" s="283">
        <v>1007</v>
      </c>
      <c r="C932" s="288">
        <v>305056</v>
      </c>
      <c r="D932" s="10" t="s">
        <v>737</v>
      </c>
      <c r="E932" s="10"/>
      <c r="F932" s="10"/>
      <c r="G932" s="10"/>
      <c r="H932" s="10"/>
      <c r="I932" s="288">
        <v>305056</v>
      </c>
      <c r="J932" s="10" t="s">
        <v>1881</v>
      </c>
      <c r="K932" s="299">
        <v>4</v>
      </c>
      <c r="L932" s="300" t="s">
        <v>1832</v>
      </c>
      <c r="M932" s="10"/>
      <c r="N932" s="10"/>
      <c r="O932" s="10"/>
      <c r="P932" s="10"/>
      <c r="Q932" s="10"/>
      <c r="R932" s="10"/>
      <c r="S932" s="10"/>
      <c r="T932" s="10"/>
      <c r="U932" s="10"/>
      <c r="V932" s="10"/>
    </row>
    <row r="933" spans="1:22" s="285" customFormat="1">
      <c r="A933" s="10"/>
      <c r="B933" s="283">
        <v>1007</v>
      </c>
      <c r="C933" s="288">
        <v>306104</v>
      </c>
      <c r="D933" s="10" t="s">
        <v>737</v>
      </c>
      <c r="E933" s="10"/>
      <c r="F933" s="10"/>
      <c r="G933" s="10"/>
      <c r="H933" s="10"/>
      <c r="I933" s="288">
        <v>306104</v>
      </c>
      <c r="J933" s="10" t="s">
        <v>1882</v>
      </c>
      <c r="K933" s="299">
        <v>4</v>
      </c>
      <c r="L933" s="300" t="s">
        <v>1886</v>
      </c>
      <c r="M933" s="10"/>
      <c r="N933" s="10"/>
      <c r="O933" s="10"/>
      <c r="P933" s="10"/>
      <c r="Q933" s="10"/>
      <c r="R933" s="10"/>
      <c r="S933" s="10"/>
      <c r="T933" s="10"/>
      <c r="U933" s="10"/>
      <c r="V933" s="10"/>
    </row>
    <row r="934" spans="1:22" s="285" customFormat="1">
      <c r="A934" s="10"/>
      <c r="B934" s="283">
        <v>1007</v>
      </c>
      <c r="C934" s="288">
        <v>306105</v>
      </c>
      <c r="D934" s="10" t="s">
        <v>737</v>
      </c>
      <c r="E934" s="10"/>
      <c r="F934" s="10"/>
      <c r="G934" s="10"/>
      <c r="H934" s="10"/>
      <c r="I934" s="288">
        <v>306105</v>
      </c>
      <c r="J934" s="10" t="s">
        <v>1883</v>
      </c>
      <c r="K934" s="299">
        <v>4</v>
      </c>
      <c r="L934" s="300" t="s">
        <v>1886</v>
      </c>
      <c r="M934" s="10"/>
      <c r="N934" s="10"/>
      <c r="O934" s="10"/>
      <c r="P934" s="10"/>
      <c r="Q934" s="10"/>
      <c r="R934" s="10"/>
      <c r="S934" s="10"/>
      <c r="T934" s="10"/>
      <c r="U934" s="10"/>
      <c r="V934" s="10"/>
    </row>
    <row r="935" spans="1:22" s="285" customFormat="1">
      <c r="A935" s="10"/>
      <c r="B935" s="283">
        <v>1007</v>
      </c>
      <c r="C935" s="288">
        <v>306106</v>
      </c>
      <c r="D935" s="10" t="s">
        <v>737</v>
      </c>
      <c r="E935" s="10"/>
      <c r="F935" s="10"/>
      <c r="G935" s="10"/>
      <c r="H935" s="10"/>
      <c r="I935" s="288">
        <v>306106</v>
      </c>
      <c r="J935" s="10" t="s">
        <v>1884</v>
      </c>
      <c r="K935" s="299">
        <v>4</v>
      </c>
      <c r="L935" s="300" t="s">
        <v>1886</v>
      </c>
      <c r="M935" s="10"/>
      <c r="N935" s="10"/>
      <c r="O935" s="10"/>
      <c r="P935" s="10"/>
      <c r="Q935" s="10"/>
      <c r="R935" s="10"/>
      <c r="S935" s="10"/>
      <c r="T935" s="10"/>
      <c r="U935" s="10"/>
      <c r="V935" s="10"/>
    </row>
    <row r="936" spans="1:22" s="285" customFormat="1">
      <c r="A936" s="10"/>
      <c r="B936" s="283">
        <v>1007</v>
      </c>
      <c r="C936" s="288">
        <v>306107</v>
      </c>
      <c r="D936" s="10" t="s">
        <v>737</v>
      </c>
      <c r="E936" s="10"/>
      <c r="F936" s="10"/>
      <c r="G936" s="10"/>
      <c r="H936" s="10"/>
      <c r="I936" s="288">
        <v>306107</v>
      </c>
      <c r="J936" s="10" t="s">
        <v>1885</v>
      </c>
      <c r="K936" s="299">
        <v>4</v>
      </c>
      <c r="L936" s="300" t="s">
        <v>1886</v>
      </c>
      <c r="M936" s="10"/>
      <c r="N936" s="10"/>
      <c r="O936" s="10"/>
      <c r="P936" s="10"/>
      <c r="Q936" s="10"/>
      <c r="R936" s="10"/>
      <c r="S936" s="10"/>
      <c r="T936" s="10"/>
      <c r="U936" s="10"/>
      <c r="V936" s="10"/>
    </row>
    <row r="937" spans="1:22">
      <c r="B937" s="10">
        <v>1007</v>
      </c>
      <c r="C937" s="282">
        <v>303012</v>
      </c>
      <c r="D937" s="301" t="s">
        <v>38</v>
      </c>
    </row>
    <row r="938" spans="1:22">
      <c r="B938" s="10">
        <v>1007</v>
      </c>
      <c r="C938" s="282">
        <v>303013</v>
      </c>
      <c r="D938" s="301" t="s">
        <v>38</v>
      </c>
    </row>
    <row r="939" spans="1:22">
      <c r="B939" s="10">
        <v>1007</v>
      </c>
      <c r="C939" s="282">
        <v>303022</v>
      </c>
      <c r="D939" s="301" t="s">
        <v>38</v>
      </c>
    </row>
    <row r="940" spans="1:22">
      <c r="B940" s="10">
        <v>1007</v>
      </c>
      <c r="C940" s="282">
        <v>303023</v>
      </c>
      <c r="D940" s="301" t="s">
        <v>38</v>
      </c>
    </row>
    <row r="941" spans="1:22">
      <c r="B941" s="10">
        <v>1007</v>
      </c>
      <c r="C941" s="282">
        <v>303032</v>
      </c>
      <c r="D941" s="301" t="s">
        <v>38</v>
      </c>
    </row>
    <row r="942" spans="1:22">
      <c r="B942" s="10">
        <v>1007</v>
      </c>
      <c r="C942" s="282">
        <v>303033</v>
      </c>
      <c r="D942" s="301" t="s">
        <v>38</v>
      </c>
    </row>
    <row r="943" spans="1:22">
      <c r="B943" s="10">
        <v>1007</v>
      </c>
      <c r="C943" s="282">
        <v>303042</v>
      </c>
      <c r="D943" s="301" t="s">
        <v>38</v>
      </c>
    </row>
    <row r="944" spans="1:22">
      <c r="B944" s="10">
        <v>1007</v>
      </c>
      <c r="C944" s="282">
        <v>303043</v>
      </c>
      <c r="D944" s="301" t="s">
        <v>38</v>
      </c>
    </row>
    <row r="945" spans="1:7">
      <c r="B945" s="10">
        <v>1007</v>
      </c>
      <c r="C945" s="282">
        <v>303052</v>
      </c>
      <c r="D945" s="301" t="s">
        <v>38</v>
      </c>
    </row>
    <row r="946" spans="1:7">
      <c r="B946" s="10">
        <v>1007</v>
      </c>
      <c r="C946" s="282">
        <v>303053</v>
      </c>
      <c r="D946" s="301" t="s">
        <v>38</v>
      </c>
    </row>
    <row r="947" spans="1:7">
      <c r="B947" s="10">
        <v>1007</v>
      </c>
      <c r="C947" s="282">
        <v>303062</v>
      </c>
      <c r="D947" s="301" t="s">
        <v>38</v>
      </c>
    </row>
    <row r="948" spans="1:7">
      <c r="B948" s="10">
        <v>1007</v>
      </c>
      <c r="C948" s="282">
        <v>303063</v>
      </c>
      <c r="D948" s="301" t="s">
        <v>38</v>
      </c>
    </row>
    <row r="949" spans="1:7">
      <c r="B949" s="10">
        <v>1007</v>
      </c>
      <c r="C949" s="282">
        <v>303072</v>
      </c>
      <c r="D949" s="301" t="s">
        <v>38</v>
      </c>
    </row>
    <row r="950" spans="1:7">
      <c r="B950" s="10">
        <v>1007</v>
      </c>
      <c r="C950" s="282">
        <v>303073</v>
      </c>
      <c r="D950" s="301" t="s">
        <v>38</v>
      </c>
    </row>
    <row r="951" spans="1:7">
      <c r="B951" s="10">
        <v>1007</v>
      </c>
      <c r="C951" s="282">
        <v>303082</v>
      </c>
      <c r="D951" s="301" t="s">
        <v>38</v>
      </c>
    </row>
    <row r="952" spans="1:7">
      <c r="B952" s="10">
        <v>1007</v>
      </c>
      <c r="C952" s="282">
        <v>303083</v>
      </c>
      <c r="D952" s="301" t="s">
        <v>38</v>
      </c>
    </row>
    <row r="953" spans="1:7" s="303" customFormat="1">
      <c r="A953" s="10"/>
      <c r="B953" s="305">
        <v>1008</v>
      </c>
      <c r="C953" s="43">
        <v>200004</v>
      </c>
      <c r="D953" s="10" t="s">
        <v>736</v>
      </c>
      <c r="E953" s="10"/>
      <c r="G953" s="10"/>
    </row>
    <row r="954" spans="1:7" s="303" customFormat="1">
      <c r="A954" s="10"/>
      <c r="B954" s="305">
        <v>1008</v>
      </c>
      <c r="C954" s="43">
        <v>200003</v>
      </c>
      <c r="D954" s="10" t="s">
        <v>736</v>
      </c>
      <c r="E954" s="10"/>
      <c r="G954" s="10"/>
    </row>
    <row r="955" spans="1:7" s="303" customFormat="1">
      <c r="A955" s="10"/>
      <c r="B955" s="305">
        <v>1008</v>
      </c>
      <c r="C955" s="43">
        <v>200005</v>
      </c>
      <c r="D955" s="10" t="s">
        <v>736</v>
      </c>
      <c r="E955" s="10"/>
      <c r="G955" s="10"/>
    </row>
    <row r="956" spans="1:7">
      <c r="B956" s="305">
        <v>1008</v>
      </c>
      <c r="C956" s="43">
        <v>200006</v>
      </c>
      <c r="D956" s="10" t="s">
        <v>736</v>
      </c>
    </row>
    <row r="957" spans="1:7">
      <c r="B957" s="305">
        <v>1008</v>
      </c>
      <c r="C957" s="43">
        <v>200007</v>
      </c>
      <c r="D957" s="10" t="s">
        <v>736</v>
      </c>
    </row>
    <row r="958" spans="1:7">
      <c r="B958" s="305">
        <v>1008</v>
      </c>
      <c r="C958" s="43">
        <v>200008</v>
      </c>
      <c r="D958" s="10" t="s">
        <v>736</v>
      </c>
    </row>
    <row r="959" spans="1:7">
      <c r="B959" s="305">
        <v>1008</v>
      </c>
      <c r="C959" s="43">
        <v>200009</v>
      </c>
      <c r="D959" s="10" t="s">
        <v>736</v>
      </c>
    </row>
    <row r="960" spans="1:7">
      <c r="B960" s="305">
        <v>1008</v>
      </c>
      <c r="C960" s="43">
        <v>200010</v>
      </c>
      <c r="D960" s="10" t="s">
        <v>736</v>
      </c>
    </row>
    <row r="961" spans="2:4">
      <c r="B961" s="305">
        <v>1008</v>
      </c>
      <c r="C961" s="43">
        <v>200016</v>
      </c>
      <c r="D961" s="10" t="s">
        <v>736</v>
      </c>
    </row>
    <row r="962" spans="2:4">
      <c r="B962" s="305">
        <v>1008</v>
      </c>
      <c r="C962" s="43">
        <v>200017</v>
      </c>
      <c r="D962" s="10" t="s">
        <v>736</v>
      </c>
    </row>
    <row r="963" spans="2:4">
      <c r="B963" s="305">
        <v>1008</v>
      </c>
      <c r="C963" s="43">
        <v>200018</v>
      </c>
      <c r="D963" s="10" t="s">
        <v>736</v>
      </c>
    </row>
    <row r="964" spans="2:4">
      <c r="B964" s="305">
        <v>1008</v>
      </c>
      <c r="C964" s="43">
        <v>200019</v>
      </c>
      <c r="D964" s="10" t="s">
        <v>736</v>
      </c>
    </row>
    <row r="965" spans="2:4">
      <c r="B965" s="305">
        <v>1008</v>
      </c>
      <c r="C965" s="43">
        <v>200020</v>
      </c>
      <c r="D965" s="10" t="s">
        <v>736</v>
      </c>
    </row>
    <row r="966" spans="2:4">
      <c r="B966" s="305">
        <v>1008</v>
      </c>
      <c r="C966" s="43">
        <v>200021</v>
      </c>
      <c r="D966" s="10" t="s">
        <v>736</v>
      </c>
    </row>
    <row r="967" spans="2:4">
      <c r="B967" s="305">
        <v>1008</v>
      </c>
      <c r="C967" s="43">
        <v>200024</v>
      </c>
      <c r="D967" s="10" t="s">
        <v>736</v>
      </c>
    </row>
    <row r="968" spans="2:4">
      <c r="B968" s="305">
        <v>1008</v>
      </c>
      <c r="C968" s="43">
        <v>200026</v>
      </c>
      <c r="D968" s="10" t="s">
        <v>736</v>
      </c>
    </row>
    <row r="969" spans="2:4">
      <c r="B969" s="305">
        <v>1008</v>
      </c>
      <c r="C969" s="43">
        <v>200029</v>
      </c>
      <c r="D969" s="10" t="s">
        <v>736</v>
      </c>
    </row>
    <row r="970" spans="2:4">
      <c r="B970" s="305">
        <v>1008</v>
      </c>
      <c r="C970" s="43">
        <v>200028</v>
      </c>
      <c r="D970" s="10" t="s">
        <v>736</v>
      </c>
    </row>
    <row r="971" spans="2:4">
      <c r="B971" s="305">
        <v>1008</v>
      </c>
      <c r="C971" s="43">
        <v>200032</v>
      </c>
      <c r="D971" s="10" t="s">
        <v>736</v>
      </c>
    </row>
    <row r="972" spans="2:4">
      <c r="B972" s="305">
        <v>1008</v>
      </c>
      <c r="C972" s="43">
        <v>200033</v>
      </c>
      <c r="D972" s="10" t="s">
        <v>736</v>
      </c>
    </row>
    <row r="973" spans="2:4">
      <c r="B973" s="305">
        <v>1008</v>
      </c>
      <c r="C973" s="43">
        <v>200038</v>
      </c>
      <c r="D973" s="10" t="s">
        <v>736</v>
      </c>
    </row>
    <row r="974" spans="2:4">
      <c r="B974" s="305">
        <v>1008</v>
      </c>
      <c r="C974" s="43">
        <v>200044</v>
      </c>
      <c r="D974" s="10" t="s">
        <v>736</v>
      </c>
    </row>
    <row r="975" spans="2:4">
      <c r="B975" s="305">
        <v>1008</v>
      </c>
      <c r="C975" s="43">
        <v>200046</v>
      </c>
      <c r="D975" s="10" t="s">
        <v>736</v>
      </c>
    </row>
    <row r="976" spans="2:4">
      <c r="B976" s="10">
        <v>1008</v>
      </c>
      <c r="C976" s="43">
        <v>200048</v>
      </c>
      <c r="D976" s="10" t="s">
        <v>736</v>
      </c>
    </row>
    <row r="977" spans="1:4">
      <c r="B977" s="10">
        <v>1008</v>
      </c>
      <c r="C977" s="43">
        <v>200053</v>
      </c>
      <c r="D977" s="10" t="s">
        <v>736</v>
      </c>
    </row>
    <row r="978" spans="1:4">
      <c r="B978" s="10">
        <v>1008</v>
      </c>
      <c r="C978" s="43">
        <v>200059</v>
      </c>
      <c r="D978" s="10" t="s">
        <v>736</v>
      </c>
    </row>
    <row r="979" spans="1:4" ht="13.5" customHeight="1">
      <c r="B979" s="10">
        <v>1008</v>
      </c>
      <c r="C979" s="43">
        <v>200066</v>
      </c>
      <c r="D979" s="10" t="s">
        <v>736</v>
      </c>
    </row>
    <row r="980" spans="1:4" ht="13.5" customHeight="1">
      <c r="B980" s="10">
        <v>1008</v>
      </c>
      <c r="C980" s="43">
        <v>200067</v>
      </c>
      <c r="D980" s="10" t="s">
        <v>736</v>
      </c>
    </row>
    <row r="981" spans="1:4" ht="13.5" customHeight="1">
      <c r="B981" s="10">
        <v>1008</v>
      </c>
      <c r="C981" s="43">
        <v>200068</v>
      </c>
      <c r="D981" s="10" t="s">
        <v>736</v>
      </c>
    </row>
    <row r="982" spans="1:4" ht="13.5" customHeight="1">
      <c r="B982" s="10">
        <v>1008</v>
      </c>
      <c r="C982" s="43">
        <v>200069</v>
      </c>
      <c r="D982" s="10" t="s">
        <v>736</v>
      </c>
    </row>
    <row r="983" spans="1:4" ht="13.5" customHeight="1">
      <c r="B983" s="10">
        <v>1008</v>
      </c>
      <c r="C983" s="43">
        <v>200074</v>
      </c>
      <c r="D983" s="10" t="s">
        <v>736</v>
      </c>
    </row>
    <row r="984" spans="1:4" ht="13.5" customHeight="1">
      <c r="B984" s="10">
        <v>1008</v>
      </c>
      <c r="C984" s="43">
        <v>200077</v>
      </c>
      <c r="D984" s="270" t="s">
        <v>1842</v>
      </c>
    </row>
    <row r="985" spans="1:4" ht="13.5" customHeight="1">
      <c r="A985" s="270" t="s">
        <v>2031</v>
      </c>
      <c r="B985" s="10">
        <v>1008</v>
      </c>
      <c r="C985" s="10">
        <v>200083</v>
      </c>
      <c r="D985" s="270" t="s">
        <v>1842</v>
      </c>
    </row>
    <row r="986" spans="1:4" ht="13.5" customHeight="1">
      <c r="A986" s="270" t="s">
        <v>2029</v>
      </c>
      <c r="B986" s="10">
        <v>1008</v>
      </c>
      <c r="C986" s="10">
        <v>200084</v>
      </c>
      <c r="D986" s="270" t="s">
        <v>1842</v>
      </c>
    </row>
    <row r="987" spans="1:4" ht="13.5" customHeight="1">
      <c r="A987" s="270" t="s">
        <v>2027</v>
      </c>
      <c r="B987" s="10">
        <v>1008</v>
      </c>
      <c r="C987" s="10">
        <v>200093</v>
      </c>
      <c r="D987" s="270" t="s">
        <v>1842</v>
      </c>
    </row>
    <row r="988" spans="1:4" ht="13.5" customHeight="1">
      <c r="A988" s="270" t="s">
        <v>2025</v>
      </c>
      <c r="B988" s="10">
        <v>1008</v>
      </c>
      <c r="C988" s="10">
        <v>200094</v>
      </c>
      <c r="D988" s="270" t="s">
        <v>1842</v>
      </c>
    </row>
    <row r="989" spans="1:4" ht="13.5" customHeight="1">
      <c r="A989" s="270" t="s">
        <v>2023</v>
      </c>
      <c r="B989" s="10">
        <v>1008</v>
      </c>
      <c r="C989" s="10">
        <v>200091</v>
      </c>
      <c r="D989" s="270" t="s">
        <v>1842</v>
      </c>
    </row>
    <row r="990" spans="1:4" ht="13.5" customHeight="1">
      <c r="A990" s="270" t="s">
        <v>2043</v>
      </c>
      <c r="B990" s="10">
        <v>1008</v>
      </c>
      <c r="C990" s="10">
        <v>20000107</v>
      </c>
      <c r="D990" s="270" t="s">
        <v>1842</v>
      </c>
    </row>
    <row r="991" spans="1:4" ht="13.5" customHeight="1">
      <c r="A991" s="270" t="s">
        <v>2061</v>
      </c>
      <c r="B991" s="43">
        <v>1008</v>
      </c>
      <c r="C991" s="43">
        <v>200099</v>
      </c>
      <c r="D991" s="43" t="s">
        <v>1842</v>
      </c>
    </row>
    <row r="992" spans="1:4" ht="13.5" customHeight="1">
      <c r="A992" s="270" t="s">
        <v>2062</v>
      </c>
      <c r="B992" s="43">
        <v>1008</v>
      </c>
      <c r="C992" s="43">
        <v>200098</v>
      </c>
      <c r="D992" s="43" t="s">
        <v>1842</v>
      </c>
    </row>
    <row r="993" spans="1:12" ht="13.5" customHeight="1">
      <c r="A993" s="315" t="s">
        <v>2092</v>
      </c>
      <c r="B993" s="269">
        <v>1008</v>
      </c>
      <c r="C993" s="315">
        <v>20000106</v>
      </c>
      <c r="D993" s="315" t="s">
        <v>736</v>
      </c>
    </row>
    <row r="994" spans="1:12">
      <c r="B994" s="301">
        <v>1008</v>
      </c>
      <c r="C994" s="127">
        <v>30530010</v>
      </c>
      <c r="D994" s="303" t="s">
        <v>737</v>
      </c>
      <c r="E994" s="10">
        <v>250831</v>
      </c>
    </row>
    <row r="995" spans="1:12">
      <c r="B995" s="301">
        <v>1008</v>
      </c>
      <c r="C995" s="127">
        <v>30520010</v>
      </c>
      <c r="D995" s="303" t="s">
        <v>737</v>
      </c>
      <c r="E995" s="10">
        <v>250831</v>
      </c>
    </row>
    <row r="996" spans="1:12">
      <c r="B996" s="301">
        <v>1008</v>
      </c>
      <c r="C996" s="127">
        <v>30580020</v>
      </c>
      <c r="D996" s="303" t="s">
        <v>737</v>
      </c>
      <c r="E996" s="10">
        <v>250831</v>
      </c>
    </row>
    <row r="997" spans="1:12">
      <c r="B997" s="301">
        <v>1008</v>
      </c>
      <c r="C997" s="127">
        <v>30570012</v>
      </c>
      <c r="D997" s="303" t="s">
        <v>737</v>
      </c>
      <c r="E997" s="10">
        <v>250831</v>
      </c>
    </row>
    <row r="998" spans="1:12">
      <c r="B998" s="301">
        <v>1008</v>
      </c>
      <c r="C998" s="127">
        <v>30560009</v>
      </c>
      <c r="D998" s="303" t="s">
        <v>737</v>
      </c>
      <c r="E998" s="10">
        <v>250831</v>
      </c>
    </row>
    <row r="999" spans="1:12">
      <c r="B999" s="283">
        <v>1008</v>
      </c>
      <c r="C999" s="286">
        <v>305007</v>
      </c>
      <c r="D999" s="10" t="s">
        <v>737</v>
      </c>
      <c r="I999" s="286">
        <v>305007</v>
      </c>
      <c r="J999" s="286" t="s">
        <v>1213</v>
      </c>
      <c r="K999" s="286">
        <v>1</v>
      </c>
      <c r="L999" s="287" t="s">
        <v>1828</v>
      </c>
    </row>
    <row r="1000" spans="1:12">
      <c r="B1000" s="283">
        <v>1008</v>
      </c>
      <c r="C1000" s="286">
        <v>305008</v>
      </c>
      <c r="D1000" s="10" t="s">
        <v>737</v>
      </c>
      <c r="I1000" s="286">
        <v>305008</v>
      </c>
      <c r="J1000" s="286" t="s">
        <v>1217</v>
      </c>
      <c r="K1000" s="286">
        <v>1</v>
      </c>
      <c r="L1000" s="287" t="s">
        <v>1828</v>
      </c>
    </row>
    <row r="1001" spans="1:12">
      <c r="B1001" s="283">
        <v>1008</v>
      </c>
      <c r="C1001" s="286">
        <v>305009</v>
      </c>
      <c r="D1001" s="10" t="s">
        <v>737</v>
      </c>
      <c r="I1001" s="286">
        <v>305009</v>
      </c>
      <c r="J1001" s="286" t="s">
        <v>1220</v>
      </c>
      <c r="K1001" s="286">
        <v>1</v>
      </c>
      <c r="L1001" s="287" t="s">
        <v>1828</v>
      </c>
    </row>
    <row r="1002" spans="1:12">
      <c r="B1002" s="283">
        <v>1008</v>
      </c>
      <c r="C1002" s="286">
        <v>305023</v>
      </c>
      <c r="D1002" s="10" t="s">
        <v>737</v>
      </c>
      <c r="I1002" s="286">
        <v>305023</v>
      </c>
      <c r="J1002" s="286" t="s">
        <v>1277</v>
      </c>
      <c r="K1002" s="286">
        <v>1</v>
      </c>
      <c r="L1002" s="287" t="s">
        <v>1828</v>
      </c>
    </row>
    <row r="1003" spans="1:12">
      <c r="B1003" s="283">
        <v>1008</v>
      </c>
      <c r="C1003" s="286">
        <v>305034</v>
      </c>
      <c r="D1003" s="10" t="s">
        <v>737</v>
      </c>
      <c r="I1003" s="286">
        <v>305034</v>
      </c>
      <c r="J1003" s="286" t="s">
        <v>222</v>
      </c>
      <c r="K1003" s="286">
        <v>1</v>
      </c>
      <c r="L1003" s="287" t="s">
        <v>1828</v>
      </c>
    </row>
    <row r="1004" spans="1:12">
      <c r="B1004" s="283">
        <v>1008</v>
      </c>
      <c r="C1004" s="286">
        <v>305035</v>
      </c>
      <c r="D1004" s="10" t="s">
        <v>737</v>
      </c>
      <c r="I1004" s="286">
        <v>305035</v>
      </c>
      <c r="J1004" s="286" t="s">
        <v>227</v>
      </c>
      <c r="K1004" s="286">
        <v>1</v>
      </c>
      <c r="L1004" s="287" t="s">
        <v>1828</v>
      </c>
    </row>
    <row r="1005" spans="1:12">
      <c r="B1005" s="283">
        <v>1008</v>
      </c>
      <c r="C1005" s="286">
        <v>305036</v>
      </c>
      <c r="D1005" s="10" t="s">
        <v>737</v>
      </c>
      <c r="I1005" s="286">
        <v>305036</v>
      </c>
      <c r="J1005" s="286" t="s">
        <v>232</v>
      </c>
      <c r="K1005" s="286">
        <v>1</v>
      </c>
      <c r="L1005" s="287" t="s">
        <v>1828</v>
      </c>
    </row>
    <row r="1006" spans="1:12">
      <c r="B1006" s="283">
        <v>1008</v>
      </c>
      <c r="C1006" s="286">
        <v>305039</v>
      </c>
      <c r="D1006" s="10" t="s">
        <v>737</v>
      </c>
      <c r="I1006" s="286">
        <v>305039</v>
      </c>
      <c r="J1006" s="286" t="s">
        <v>1829</v>
      </c>
      <c r="K1006" s="286">
        <v>1</v>
      </c>
      <c r="L1006" s="287" t="s">
        <v>1828</v>
      </c>
    </row>
    <row r="1007" spans="1:12">
      <c r="B1007" s="283">
        <v>1008</v>
      </c>
      <c r="C1007" s="286">
        <v>305040</v>
      </c>
      <c r="D1007" s="10" t="s">
        <v>737</v>
      </c>
      <c r="I1007" s="286">
        <v>305040</v>
      </c>
      <c r="J1007" s="286" t="s">
        <v>277</v>
      </c>
      <c r="K1007" s="286">
        <v>1</v>
      </c>
      <c r="L1007" s="287" t="s">
        <v>1828</v>
      </c>
    </row>
    <row r="1008" spans="1:12">
      <c r="B1008" s="283">
        <v>1008</v>
      </c>
      <c r="C1008" s="286">
        <v>305200</v>
      </c>
      <c r="D1008" s="10" t="s">
        <v>737</v>
      </c>
      <c r="I1008" s="286">
        <v>305200</v>
      </c>
      <c r="J1008" s="286" t="s">
        <v>313</v>
      </c>
      <c r="K1008" s="286">
        <v>1</v>
      </c>
      <c r="L1008" s="287" t="s">
        <v>1828</v>
      </c>
    </row>
    <row r="1009" spans="2:12">
      <c r="B1009" s="283">
        <v>1008</v>
      </c>
      <c r="C1009" s="288">
        <v>305224</v>
      </c>
      <c r="D1009" s="10" t="s">
        <v>737</v>
      </c>
      <c r="I1009" s="288">
        <v>305224</v>
      </c>
      <c r="J1009" s="10" t="s">
        <v>1890</v>
      </c>
      <c r="K1009" s="286">
        <v>1</v>
      </c>
      <c r="L1009" s="287" t="s">
        <v>1828</v>
      </c>
    </row>
    <row r="1010" spans="2:12">
      <c r="B1010" s="283">
        <v>1008</v>
      </c>
      <c r="C1010" s="288">
        <v>305225</v>
      </c>
      <c r="D1010" s="10" t="s">
        <v>737</v>
      </c>
      <c r="I1010" s="288">
        <v>305225</v>
      </c>
      <c r="J1010" s="10" t="s">
        <v>1888</v>
      </c>
      <c r="K1010" s="286">
        <v>1</v>
      </c>
      <c r="L1010" s="287" t="s">
        <v>1828</v>
      </c>
    </row>
    <row r="1011" spans="2:12">
      <c r="B1011" s="283">
        <v>1008</v>
      </c>
      <c r="C1011" s="288">
        <v>305226</v>
      </c>
      <c r="D1011" s="10" t="s">
        <v>737</v>
      </c>
      <c r="I1011" s="288">
        <v>305226</v>
      </c>
      <c r="J1011" s="10" t="s">
        <v>1891</v>
      </c>
      <c r="K1011" s="286">
        <v>1</v>
      </c>
      <c r="L1011" s="287" t="s">
        <v>1828</v>
      </c>
    </row>
    <row r="1012" spans="2:12">
      <c r="B1012" s="283">
        <v>1008</v>
      </c>
      <c r="C1012" s="289">
        <v>305010</v>
      </c>
      <c r="D1012" s="10" t="s">
        <v>737</v>
      </c>
      <c r="I1012" s="289">
        <v>305010</v>
      </c>
      <c r="J1012" s="289" t="s">
        <v>1223</v>
      </c>
      <c r="K1012" s="289">
        <v>2</v>
      </c>
      <c r="L1012" s="290" t="s">
        <v>1830</v>
      </c>
    </row>
    <row r="1013" spans="2:12">
      <c r="B1013" s="283">
        <v>1008</v>
      </c>
      <c r="C1013" s="289">
        <v>305021</v>
      </c>
      <c r="D1013" s="10" t="s">
        <v>737</v>
      </c>
      <c r="I1013" s="289">
        <v>305021</v>
      </c>
      <c r="J1013" s="289" t="s">
        <v>1270</v>
      </c>
      <c r="K1013" s="289">
        <v>2</v>
      </c>
      <c r="L1013" s="290" t="s">
        <v>1830</v>
      </c>
    </row>
    <row r="1014" spans="2:12">
      <c r="B1014" s="283">
        <v>1008</v>
      </c>
      <c r="C1014" s="289">
        <v>305022</v>
      </c>
      <c r="D1014" s="10" t="s">
        <v>737</v>
      </c>
      <c r="I1014" s="289">
        <v>305022</v>
      </c>
      <c r="J1014" s="289" t="s">
        <v>1273</v>
      </c>
      <c r="K1014" s="289">
        <v>2</v>
      </c>
      <c r="L1014" s="290" t="s">
        <v>1830</v>
      </c>
    </row>
    <row r="1015" spans="2:12">
      <c r="B1015" s="283">
        <v>1008</v>
      </c>
      <c r="C1015" s="289">
        <v>305032</v>
      </c>
      <c r="D1015" s="10" t="s">
        <v>737</v>
      </c>
      <c r="I1015" s="289">
        <v>305032</v>
      </c>
      <c r="J1015" s="289" t="s">
        <v>213</v>
      </c>
      <c r="K1015" s="289">
        <v>2</v>
      </c>
      <c r="L1015" s="290" t="s">
        <v>1830</v>
      </c>
    </row>
    <row r="1016" spans="2:12">
      <c r="B1016" s="283">
        <v>1008</v>
      </c>
      <c r="C1016" s="289">
        <v>305033</v>
      </c>
      <c r="D1016" s="10" t="s">
        <v>737</v>
      </c>
      <c r="I1016" s="289">
        <v>305033</v>
      </c>
      <c r="J1016" s="289" t="s">
        <v>217</v>
      </c>
      <c r="K1016" s="289">
        <v>2</v>
      </c>
      <c r="L1016" s="290" t="s">
        <v>1830</v>
      </c>
    </row>
    <row r="1017" spans="2:12">
      <c r="B1017" s="283">
        <v>1008</v>
      </c>
      <c r="C1017" s="289">
        <v>305037</v>
      </c>
      <c r="D1017" s="10" t="s">
        <v>737</v>
      </c>
      <c r="I1017" s="289">
        <v>305037</v>
      </c>
      <c r="J1017" s="289" t="s">
        <v>264</v>
      </c>
      <c r="K1017" s="289">
        <v>2</v>
      </c>
      <c r="L1017" s="290" t="s">
        <v>1830</v>
      </c>
    </row>
    <row r="1018" spans="2:12">
      <c r="B1018" s="283">
        <v>1008</v>
      </c>
      <c r="C1018" s="289">
        <v>305038</v>
      </c>
      <c r="D1018" s="10" t="s">
        <v>737</v>
      </c>
      <c r="I1018" s="289">
        <v>305038</v>
      </c>
      <c r="J1018" s="289" t="s">
        <v>268</v>
      </c>
      <c r="K1018" s="289">
        <v>2</v>
      </c>
      <c r="L1018" s="290" t="s">
        <v>1830</v>
      </c>
    </row>
    <row r="1019" spans="2:12">
      <c r="B1019" s="283">
        <v>1008</v>
      </c>
      <c r="C1019" s="289">
        <v>305300</v>
      </c>
      <c r="D1019" s="10" t="s">
        <v>737</v>
      </c>
      <c r="I1019" s="289">
        <v>305300</v>
      </c>
      <c r="J1019" s="289" t="s">
        <v>318</v>
      </c>
      <c r="K1019" s="289">
        <v>2</v>
      </c>
      <c r="L1019" s="290" t="s">
        <v>1830</v>
      </c>
    </row>
    <row r="1020" spans="2:12">
      <c r="B1020" s="283">
        <v>1008</v>
      </c>
      <c r="C1020" s="288">
        <v>305324</v>
      </c>
      <c r="D1020" s="10" t="s">
        <v>737</v>
      </c>
      <c r="I1020" s="288">
        <v>305324</v>
      </c>
      <c r="J1020" s="10" t="s">
        <v>1887</v>
      </c>
      <c r="K1020" s="289">
        <v>2</v>
      </c>
      <c r="L1020" s="290" t="s">
        <v>1830</v>
      </c>
    </row>
    <row r="1021" spans="2:12">
      <c r="B1021" s="283">
        <v>1008</v>
      </c>
      <c r="C1021" s="288">
        <v>305325</v>
      </c>
      <c r="D1021" s="10" t="s">
        <v>737</v>
      </c>
      <c r="I1021" s="288">
        <v>305325</v>
      </c>
      <c r="J1021" s="10" t="s">
        <v>1888</v>
      </c>
      <c r="K1021" s="289">
        <v>2</v>
      </c>
      <c r="L1021" s="290" t="s">
        <v>1830</v>
      </c>
    </row>
    <row r="1022" spans="2:12">
      <c r="B1022" s="283">
        <v>1008</v>
      </c>
      <c r="C1022" s="288">
        <v>305326</v>
      </c>
      <c r="D1022" s="10" t="s">
        <v>737</v>
      </c>
      <c r="I1022" s="288">
        <v>305326</v>
      </c>
      <c r="J1022" s="10" t="s">
        <v>1889</v>
      </c>
      <c r="K1022" s="289">
        <v>2</v>
      </c>
      <c r="L1022" s="290" t="s">
        <v>1830</v>
      </c>
    </row>
    <row r="1023" spans="2:12">
      <c r="B1023" s="283">
        <v>1008</v>
      </c>
      <c r="C1023" s="291">
        <v>305001</v>
      </c>
      <c r="D1023" s="10" t="s">
        <v>737</v>
      </c>
      <c r="I1023" s="291">
        <v>305001</v>
      </c>
      <c r="J1023" s="291" t="s">
        <v>176</v>
      </c>
      <c r="K1023" s="291">
        <v>0</v>
      </c>
      <c r="L1023" s="292" t="s">
        <v>1827</v>
      </c>
    </row>
    <row r="1024" spans="2:12">
      <c r="B1024" s="283">
        <v>1008</v>
      </c>
      <c r="C1024" s="291">
        <v>305002</v>
      </c>
      <c r="D1024" s="10" t="s">
        <v>737</v>
      </c>
      <c r="I1024" s="291">
        <v>305002</v>
      </c>
      <c r="J1024" s="291" t="s">
        <v>181</v>
      </c>
      <c r="K1024" s="291">
        <v>0</v>
      </c>
      <c r="L1024" s="292" t="s">
        <v>1827</v>
      </c>
    </row>
    <row r="1025" spans="2:22">
      <c r="B1025" s="283">
        <v>1008</v>
      </c>
      <c r="C1025" s="291">
        <v>305003</v>
      </c>
      <c r="D1025" s="10" t="s">
        <v>737</v>
      </c>
      <c r="I1025" s="291">
        <v>305003</v>
      </c>
      <c r="J1025" s="291" t="s">
        <v>186</v>
      </c>
      <c r="K1025" s="291">
        <v>0</v>
      </c>
      <c r="L1025" s="292" t="s">
        <v>1827</v>
      </c>
    </row>
    <row r="1026" spans="2:22">
      <c r="B1026" s="283">
        <v>1008</v>
      </c>
      <c r="C1026" s="291">
        <v>305018</v>
      </c>
      <c r="D1026" s="10" t="s">
        <v>737</v>
      </c>
      <c r="I1026" s="291">
        <v>305018</v>
      </c>
      <c r="J1026" s="291" t="s">
        <v>191</v>
      </c>
      <c r="K1026" s="291">
        <v>0</v>
      </c>
      <c r="L1026" s="292" t="s">
        <v>1827</v>
      </c>
    </row>
    <row r="1027" spans="2:22">
      <c r="B1027" s="283">
        <v>1008</v>
      </c>
      <c r="C1027" s="291">
        <v>305019</v>
      </c>
      <c r="D1027" s="10" t="s">
        <v>737</v>
      </c>
      <c r="I1027" s="291">
        <v>305019</v>
      </c>
      <c r="J1027" s="291" t="s">
        <v>196</v>
      </c>
      <c r="K1027" s="291">
        <v>0</v>
      </c>
      <c r="L1027" s="292" t="s">
        <v>1827</v>
      </c>
    </row>
    <row r="1028" spans="2:22">
      <c r="B1028" s="283">
        <v>1008</v>
      </c>
      <c r="C1028" s="291">
        <v>305041</v>
      </c>
      <c r="D1028" s="10" t="s">
        <v>737</v>
      </c>
      <c r="I1028" s="291">
        <v>305041</v>
      </c>
      <c r="J1028" s="291" t="s">
        <v>282</v>
      </c>
      <c r="K1028" s="291">
        <v>0</v>
      </c>
      <c r="L1028" s="292" t="s">
        <v>1827</v>
      </c>
    </row>
    <row r="1029" spans="2:22">
      <c r="B1029" s="283">
        <v>1008</v>
      </c>
      <c r="C1029" s="291">
        <v>305042</v>
      </c>
      <c r="D1029" s="10" t="s">
        <v>737</v>
      </c>
      <c r="I1029" s="291">
        <v>305042</v>
      </c>
      <c r="J1029" s="291" t="s">
        <v>287</v>
      </c>
      <c r="K1029" s="291">
        <v>0</v>
      </c>
      <c r="L1029" s="292" t="s">
        <v>1827</v>
      </c>
    </row>
    <row r="1030" spans="2:22">
      <c r="B1030" s="283">
        <v>1008</v>
      </c>
      <c r="C1030" s="291">
        <v>305600</v>
      </c>
      <c r="D1030" s="10" t="s">
        <v>737</v>
      </c>
      <c r="I1030" s="291">
        <v>305600</v>
      </c>
      <c r="J1030" s="291" t="s">
        <v>323</v>
      </c>
      <c r="K1030" s="291">
        <v>0</v>
      </c>
      <c r="L1030" s="292" t="s">
        <v>1827</v>
      </c>
    </row>
    <row r="1031" spans="2:22">
      <c r="B1031" s="283">
        <v>1008</v>
      </c>
      <c r="C1031" s="288">
        <v>305623</v>
      </c>
      <c r="D1031" s="10" t="s">
        <v>737</v>
      </c>
      <c r="I1031" s="288">
        <v>305623</v>
      </c>
      <c r="J1031" s="10" t="s">
        <v>1864</v>
      </c>
      <c r="K1031" s="291">
        <v>0</v>
      </c>
      <c r="L1031" s="292" t="s">
        <v>1827</v>
      </c>
    </row>
    <row r="1032" spans="2:22">
      <c r="B1032" s="283">
        <v>1008</v>
      </c>
      <c r="C1032" s="288">
        <v>305624</v>
      </c>
      <c r="D1032" s="10" t="s">
        <v>737</v>
      </c>
      <c r="I1032" s="288">
        <v>305624</v>
      </c>
      <c r="J1032" s="10" t="s">
        <v>1865</v>
      </c>
      <c r="K1032" s="291">
        <v>0</v>
      </c>
      <c r="L1032" s="292" t="s">
        <v>1827</v>
      </c>
    </row>
    <row r="1033" spans="2:22">
      <c r="B1033" s="283">
        <v>1008</v>
      </c>
      <c r="C1033" s="288">
        <v>305625</v>
      </c>
      <c r="D1033" s="10" t="s">
        <v>737</v>
      </c>
      <c r="I1033" s="288">
        <v>305625</v>
      </c>
      <c r="J1033" s="10" t="s">
        <v>1866</v>
      </c>
      <c r="K1033" s="291">
        <v>0</v>
      </c>
      <c r="L1033" s="292" t="s">
        <v>1827</v>
      </c>
    </row>
    <row r="1034" spans="2:22">
      <c r="B1034" s="283">
        <v>1008</v>
      </c>
      <c r="C1034" s="288">
        <v>305626</v>
      </c>
      <c r="D1034" s="10" t="s">
        <v>737</v>
      </c>
      <c r="I1034" s="288">
        <v>305626</v>
      </c>
      <c r="J1034" s="10" t="s">
        <v>1867</v>
      </c>
      <c r="K1034" s="291">
        <v>0</v>
      </c>
      <c r="L1034" s="292" t="s">
        <v>1827</v>
      </c>
    </row>
    <row r="1035" spans="2:22">
      <c r="B1035" s="283">
        <v>1008</v>
      </c>
      <c r="C1035" s="293">
        <v>305012</v>
      </c>
      <c r="D1035" s="10" t="s">
        <v>737</v>
      </c>
      <c r="I1035" s="293">
        <v>305012</v>
      </c>
      <c r="J1035" s="293" t="s">
        <v>1230</v>
      </c>
      <c r="K1035" s="293">
        <v>6</v>
      </c>
      <c r="L1035" s="294" t="s">
        <v>1833</v>
      </c>
    </row>
    <row r="1036" spans="2:22">
      <c r="B1036" s="283">
        <v>1008</v>
      </c>
      <c r="C1036" s="293">
        <v>305013</v>
      </c>
      <c r="D1036" s="10" t="s">
        <v>737</v>
      </c>
      <c r="I1036" s="293">
        <v>305013</v>
      </c>
      <c r="J1036" s="293" t="s">
        <v>1237</v>
      </c>
      <c r="K1036" s="293">
        <v>6</v>
      </c>
      <c r="L1036" s="294" t="s">
        <v>1833</v>
      </c>
    </row>
    <row r="1037" spans="2:22">
      <c r="B1037" s="283">
        <v>1008</v>
      </c>
      <c r="C1037" s="293">
        <v>305014</v>
      </c>
      <c r="D1037" s="10" t="s">
        <v>737</v>
      </c>
      <c r="I1037" s="293">
        <v>305014</v>
      </c>
      <c r="J1037" s="293" t="s">
        <v>1241</v>
      </c>
      <c r="K1037" s="293">
        <v>6</v>
      </c>
      <c r="L1037" s="294" t="s">
        <v>1833</v>
      </c>
    </row>
    <row r="1038" spans="2:22" s="285" customFormat="1">
      <c r="B1038" s="283">
        <v>1008</v>
      </c>
      <c r="C1038" s="293">
        <v>305046</v>
      </c>
      <c r="D1038" s="285" t="s">
        <v>737</v>
      </c>
      <c r="G1038" s="10"/>
      <c r="H1038" s="10"/>
      <c r="I1038" s="293">
        <v>305046</v>
      </c>
      <c r="J1038" s="293" t="s">
        <v>309</v>
      </c>
      <c r="K1038" s="293">
        <v>6</v>
      </c>
      <c r="L1038" s="294" t="s">
        <v>1833</v>
      </c>
      <c r="M1038" s="10"/>
      <c r="R1038" s="10"/>
      <c r="S1038" s="10"/>
      <c r="T1038" s="10"/>
      <c r="U1038" s="10"/>
      <c r="V1038" s="10"/>
    </row>
    <row r="1039" spans="2:22">
      <c r="B1039" s="283">
        <v>1008</v>
      </c>
      <c r="C1039" s="288">
        <v>305815</v>
      </c>
      <c r="D1039" s="10" t="s">
        <v>737</v>
      </c>
      <c r="I1039" s="288">
        <v>305815</v>
      </c>
      <c r="J1039" s="10" t="s">
        <v>1868</v>
      </c>
      <c r="K1039" s="293">
        <v>6</v>
      </c>
      <c r="L1039" s="294" t="s">
        <v>1833</v>
      </c>
    </row>
    <row r="1040" spans="2:22">
      <c r="B1040" s="283">
        <v>1008</v>
      </c>
      <c r="C1040" s="288">
        <v>305816</v>
      </c>
      <c r="D1040" s="10" t="s">
        <v>737</v>
      </c>
      <c r="I1040" s="288">
        <v>305816</v>
      </c>
      <c r="J1040" s="10" t="s">
        <v>1869</v>
      </c>
      <c r="K1040" s="293">
        <v>6</v>
      </c>
      <c r="L1040" s="294" t="s">
        <v>1833</v>
      </c>
    </row>
    <row r="1041" spans="2:22">
      <c r="B1041" s="283">
        <v>1008</v>
      </c>
      <c r="C1041" s="288">
        <v>305817</v>
      </c>
      <c r="D1041" s="10" t="s">
        <v>737</v>
      </c>
      <c r="I1041" s="288">
        <v>305817</v>
      </c>
      <c r="J1041" s="10" t="s">
        <v>1870</v>
      </c>
      <c r="K1041" s="293">
        <v>6</v>
      </c>
      <c r="L1041" s="294" t="s">
        <v>1833</v>
      </c>
    </row>
    <row r="1042" spans="2:22" s="285" customFormat="1">
      <c r="B1042" s="283">
        <v>1008</v>
      </c>
      <c r="C1042" s="288">
        <v>305818</v>
      </c>
      <c r="D1042" s="285" t="s">
        <v>737</v>
      </c>
      <c r="G1042" s="10"/>
      <c r="H1042" s="10"/>
      <c r="I1042" s="288">
        <v>305818</v>
      </c>
      <c r="J1042" s="10" t="s">
        <v>1871</v>
      </c>
      <c r="K1042" s="293">
        <v>6</v>
      </c>
      <c r="L1042" s="294" t="s">
        <v>1833</v>
      </c>
      <c r="M1042" s="10"/>
      <c r="R1042" s="10"/>
      <c r="S1042" s="10"/>
      <c r="T1042" s="10"/>
      <c r="U1042" s="10"/>
      <c r="V1042" s="10"/>
    </row>
    <row r="1043" spans="2:22">
      <c r="B1043" s="283">
        <v>1008</v>
      </c>
      <c r="C1043" s="288">
        <v>305819</v>
      </c>
      <c r="D1043" s="10" t="s">
        <v>737</v>
      </c>
      <c r="I1043" s="288">
        <v>305819</v>
      </c>
      <c r="J1043" s="10" t="s">
        <v>1872</v>
      </c>
      <c r="K1043" s="293">
        <v>6</v>
      </c>
      <c r="L1043" s="294" t="s">
        <v>1833</v>
      </c>
    </row>
    <row r="1044" spans="2:22" s="285" customFormat="1">
      <c r="B1044" s="283">
        <v>1008</v>
      </c>
      <c r="C1044" s="288">
        <v>305820</v>
      </c>
      <c r="D1044" s="285" t="s">
        <v>737</v>
      </c>
      <c r="G1044" s="10"/>
      <c r="H1044" s="10"/>
      <c r="I1044" s="288">
        <v>305820</v>
      </c>
      <c r="J1044" s="10" t="s">
        <v>1873</v>
      </c>
      <c r="K1044" s="293">
        <v>6</v>
      </c>
      <c r="L1044" s="294" t="s">
        <v>1833</v>
      </c>
      <c r="M1044" s="10"/>
      <c r="R1044" s="10"/>
      <c r="S1044" s="10"/>
      <c r="T1044" s="10"/>
      <c r="U1044" s="10"/>
      <c r="V1044" s="10"/>
    </row>
    <row r="1045" spans="2:22">
      <c r="B1045" s="283">
        <v>1008</v>
      </c>
      <c r="C1045" s="295">
        <v>305015</v>
      </c>
      <c r="D1045" s="10" t="s">
        <v>737</v>
      </c>
      <c r="I1045" s="295">
        <v>305015</v>
      </c>
      <c r="J1045" s="295" t="s">
        <v>1245</v>
      </c>
      <c r="K1045" s="295">
        <v>7</v>
      </c>
      <c r="L1045" s="296" t="s">
        <v>538</v>
      </c>
    </row>
    <row r="1046" spans="2:22">
      <c r="B1046" s="283">
        <v>1008</v>
      </c>
      <c r="C1046" s="295">
        <v>305016</v>
      </c>
      <c r="D1046" s="10" t="s">
        <v>737</v>
      </c>
      <c r="I1046" s="295">
        <v>305016</v>
      </c>
      <c r="J1046" s="295" t="s">
        <v>1251</v>
      </c>
      <c r="K1046" s="295">
        <v>7</v>
      </c>
      <c r="L1046" s="296" t="s">
        <v>538</v>
      </c>
    </row>
    <row r="1047" spans="2:22">
      <c r="B1047" s="283">
        <v>1008</v>
      </c>
      <c r="C1047" s="295">
        <v>305017</v>
      </c>
      <c r="D1047" s="10" t="s">
        <v>737</v>
      </c>
      <c r="I1047" s="295">
        <v>305017</v>
      </c>
      <c r="J1047" s="295" t="s">
        <v>1255</v>
      </c>
      <c r="K1047" s="295">
        <v>7</v>
      </c>
      <c r="L1047" s="296" t="s">
        <v>538</v>
      </c>
    </row>
    <row r="1048" spans="2:22">
      <c r="B1048" s="283">
        <v>1008</v>
      </c>
      <c r="C1048" s="295">
        <v>305700</v>
      </c>
      <c r="D1048" s="10" t="s">
        <v>737</v>
      </c>
      <c r="I1048" s="295">
        <v>305700</v>
      </c>
      <c r="J1048" s="295" t="s">
        <v>328</v>
      </c>
      <c r="K1048" s="295">
        <v>7</v>
      </c>
      <c r="L1048" s="296" t="s">
        <v>538</v>
      </c>
    </row>
    <row r="1049" spans="2:22">
      <c r="B1049" s="283">
        <v>1008</v>
      </c>
      <c r="C1049" s="288">
        <v>305719</v>
      </c>
      <c r="D1049" s="10" t="s">
        <v>737</v>
      </c>
      <c r="I1049" s="288">
        <v>305719</v>
      </c>
      <c r="J1049" s="10" t="s">
        <v>1874</v>
      </c>
      <c r="K1049" s="295">
        <v>7</v>
      </c>
      <c r="L1049" s="296" t="s">
        <v>538</v>
      </c>
    </row>
    <row r="1050" spans="2:22">
      <c r="B1050" s="283">
        <v>1008</v>
      </c>
      <c r="C1050" s="288">
        <v>305720</v>
      </c>
      <c r="D1050" s="10" t="s">
        <v>737</v>
      </c>
      <c r="I1050" s="288">
        <v>305720</v>
      </c>
      <c r="J1050" s="10" t="s">
        <v>1875</v>
      </c>
      <c r="K1050" s="295">
        <v>7</v>
      </c>
      <c r="L1050" s="296" t="s">
        <v>538</v>
      </c>
    </row>
    <row r="1051" spans="2:22">
      <c r="B1051" s="283">
        <v>1008</v>
      </c>
      <c r="C1051" s="288">
        <v>305721</v>
      </c>
      <c r="D1051" s="10" t="s">
        <v>737</v>
      </c>
      <c r="I1051" s="288">
        <v>305721</v>
      </c>
      <c r="J1051" s="10" t="s">
        <v>1876</v>
      </c>
      <c r="K1051" s="295">
        <v>7</v>
      </c>
      <c r="L1051" s="296" t="s">
        <v>538</v>
      </c>
    </row>
    <row r="1052" spans="2:22">
      <c r="B1052" s="283">
        <v>1008</v>
      </c>
      <c r="C1052" s="288">
        <v>305722</v>
      </c>
      <c r="D1052" s="10" t="s">
        <v>737</v>
      </c>
      <c r="I1052" s="288">
        <v>305722</v>
      </c>
      <c r="J1052" s="10" t="s">
        <v>1877</v>
      </c>
      <c r="K1052" s="295">
        <v>7</v>
      </c>
      <c r="L1052" s="296" t="s">
        <v>538</v>
      </c>
    </row>
    <row r="1053" spans="2:22">
      <c r="B1053" s="283">
        <v>1008</v>
      </c>
      <c r="C1053" s="288">
        <v>305723</v>
      </c>
      <c r="D1053" s="10" t="s">
        <v>737</v>
      </c>
      <c r="I1053" s="288">
        <v>305723</v>
      </c>
      <c r="J1053" s="10" t="s">
        <v>1878</v>
      </c>
      <c r="K1053" s="295">
        <v>7</v>
      </c>
      <c r="L1053" s="296" t="s">
        <v>538</v>
      </c>
    </row>
    <row r="1054" spans="2:22">
      <c r="B1054" s="283">
        <v>1008</v>
      </c>
      <c r="C1054" s="288">
        <v>305724</v>
      </c>
      <c r="D1054" s="10" t="s">
        <v>737</v>
      </c>
      <c r="I1054" s="288">
        <v>305724</v>
      </c>
      <c r="J1054" s="10" t="s">
        <v>1879</v>
      </c>
      <c r="K1054" s="295">
        <v>7</v>
      </c>
      <c r="L1054" s="296" t="s">
        <v>538</v>
      </c>
    </row>
    <row r="1055" spans="2:22">
      <c r="B1055" s="283">
        <v>1008</v>
      </c>
      <c r="C1055" s="297">
        <v>305011</v>
      </c>
      <c r="D1055" s="10" t="s">
        <v>737</v>
      </c>
      <c r="I1055" s="297">
        <v>305011</v>
      </c>
      <c r="J1055" s="297" t="s">
        <v>161</v>
      </c>
      <c r="K1055" s="297">
        <v>3</v>
      </c>
      <c r="L1055" s="298" t="s">
        <v>1831</v>
      </c>
    </row>
    <row r="1056" spans="2:22">
      <c r="B1056" s="283">
        <v>1008</v>
      </c>
      <c r="C1056" s="299">
        <v>305025</v>
      </c>
      <c r="D1056" s="10" t="s">
        <v>737</v>
      </c>
      <c r="I1056" s="299">
        <v>305025</v>
      </c>
      <c r="J1056" s="299" t="s">
        <v>200</v>
      </c>
      <c r="K1056" s="299">
        <v>4</v>
      </c>
      <c r="L1056" s="300" t="s">
        <v>1832</v>
      </c>
    </row>
    <row r="1057" spans="1:22" s="285" customFormat="1">
      <c r="A1057" s="10"/>
      <c r="B1057" s="283">
        <v>1008</v>
      </c>
      <c r="C1057" s="299">
        <v>305026</v>
      </c>
      <c r="D1057" s="10" t="s">
        <v>737</v>
      </c>
      <c r="E1057" s="10"/>
      <c r="F1057" s="10"/>
      <c r="G1057" s="10"/>
      <c r="H1057" s="10"/>
      <c r="I1057" s="299">
        <v>305026</v>
      </c>
      <c r="J1057" s="299" t="s">
        <v>204</v>
      </c>
      <c r="K1057" s="299">
        <v>4</v>
      </c>
      <c r="L1057" s="300" t="s">
        <v>1832</v>
      </c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</row>
    <row r="1058" spans="1:22" s="285" customFormat="1">
      <c r="A1058" s="10"/>
      <c r="B1058" s="283">
        <v>1008</v>
      </c>
      <c r="C1058" s="299">
        <v>305050</v>
      </c>
      <c r="D1058" s="10" t="s">
        <v>737</v>
      </c>
      <c r="E1058" s="10"/>
      <c r="F1058" s="10"/>
      <c r="G1058" s="10"/>
      <c r="H1058" s="10"/>
      <c r="I1058" s="299">
        <v>305050</v>
      </c>
      <c r="J1058" s="299" t="s">
        <v>300</v>
      </c>
      <c r="K1058" s="299">
        <v>4</v>
      </c>
      <c r="L1058" s="300" t="s">
        <v>1832</v>
      </c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</row>
    <row r="1059" spans="1:22" s="285" customFormat="1">
      <c r="A1059" s="10"/>
      <c r="B1059" s="283">
        <v>1008</v>
      </c>
      <c r="C1059" s="299">
        <v>305051</v>
      </c>
      <c r="D1059" s="10" t="s">
        <v>737</v>
      </c>
      <c r="E1059" s="10"/>
      <c r="F1059" s="10"/>
      <c r="G1059" s="10"/>
      <c r="H1059" s="10"/>
      <c r="I1059" s="299">
        <v>305051</v>
      </c>
      <c r="J1059" s="299" t="s">
        <v>340</v>
      </c>
      <c r="K1059" s="299">
        <v>4</v>
      </c>
      <c r="L1059" s="300" t="s">
        <v>1832</v>
      </c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</row>
    <row r="1060" spans="1:22">
      <c r="B1060" s="283">
        <v>1008</v>
      </c>
      <c r="C1060" s="288">
        <v>305055</v>
      </c>
      <c r="D1060" s="10" t="s">
        <v>737</v>
      </c>
      <c r="I1060" s="288">
        <v>305055</v>
      </c>
      <c r="J1060" s="10" t="s">
        <v>1880</v>
      </c>
      <c r="K1060" s="299">
        <v>4</v>
      </c>
      <c r="L1060" s="300" t="s">
        <v>1832</v>
      </c>
    </row>
    <row r="1061" spans="1:22" s="285" customFormat="1">
      <c r="A1061" s="10"/>
      <c r="B1061" s="283">
        <v>1008</v>
      </c>
      <c r="C1061" s="288">
        <v>305056</v>
      </c>
      <c r="D1061" s="10" t="s">
        <v>737</v>
      </c>
      <c r="E1061" s="10"/>
      <c r="F1061" s="10"/>
      <c r="G1061" s="10"/>
      <c r="H1061" s="10"/>
      <c r="I1061" s="288">
        <v>305056</v>
      </c>
      <c r="J1061" s="10" t="s">
        <v>1881</v>
      </c>
      <c r="K1061" s="299">
        <v>4</v>
      </c>
      <c r="L1061" s="300" t="s">
        <v>1832</v>
      </c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</row>
    <row r="1062" spans="1:22" s="285" customFormat="1">
      <c r="A1062" s="10"/>
      <c r="B1062" s="283">
        <v>1008</v>
      </c>
      <c r="C1062" s="288">
        <v>306104</v>
      </c>
      <c r="D1062" s="10" t="s">
        <v>737</v>
      </c>
      <c r="E1062" s="10"/>
      <c r="F1062" s="10"/>
      <c r="G1062" s="10"/>
      <c r="H1062" s="10"/>
      <c r="I1062" s="288">
        <v>306104</v>
      </c>
      <c r="J1062" s="10" t="s">
        <v>1882</v>
      </c>
      <c r="K1062" s="299">
        <v>4</v>
      </c>
      <c r="L1062" s="300" t="s">
        <v>1886</v>
      </c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</row>
    <row r="1063" spans="1:22" s="285" customFormat="1">
      <c r="A1063" s="10"/>
      <c r="B1063" s="283">
        <v>1008</v>
      </c>
      <c r="C1063" s="288">
        <v>306105</v>
      </c>
      <c r="D1063" s="10" t="s">
        <v>737</v>
      </c>
      <c r="E1063" s="10"/>
      <c r="F1063" s="10"/>
      <c r="G1063" s="10"/>
      <c r="H1063" s="10"/>
      <c r="I1063" s="288">
        <v>306105</v>
      </c>
      <c r="J1063" s="10" t="s">
        <v>1883</v>
      </c>
      <c r="K1063" s="299">
        <v>4</v>
      </c>
      <c r="L1063" s="300" t="s">
        <v>1886</v>
      </c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</row>
    <row r="1064" spans="1:22" s="285" customFormat="1">
      <c r="A1064" s="10"/>
      <c r="B1064" s="283">
        <v>1008</v>
      </c>
      <c r="C1064" s="288">
        <v>306106</v>
      </c>
      <c r="D1064" s="10" t="s">
        <v>737</v>
      </c>
      <c r="E1064" s="10"/>
      <c r="F1064" s="10"/>
      <c r="G1064" s="10"/>
      <c r="H1064" s="10"/>
      <c r="I1064" s="288">
        <v>306106</v>
      </c>
      <c r="J1064" s="10" t="s">
        <v>1884</v>
      </c>
      <c r="K1064" s="299">
        <v>4</v>
      </c>
      <c r="L1064" s="300" t="s">
        <v>1886</v>
      </c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</row>
    <row r="1065" spans="1:22" s="285" customFormat="1">
      <c r="A1065" s="10"/>
      <c r="B1065" s="283">
        <v>1008</v>
      </c>
      <c r="C1065" s="288">
        <v>306107</v>
      </c>
      <c r="D1065" s="10" t="s">
        <v>737</v>
      </c>
      <c r="E1065" s="10"/>
      <c r="F1065" s="10"/>
      <c r="G1065" s="10"/>
      <c r="H1065" s="10"/>
      <c r="I1065" s="288">
        <v>306107</v>
      </c>
      <c r="J1065" s="10" t="s">
        <v>1885</v>
      </c>
      <c r="K1065" s="299">
        <v>4</v>
      </c>
      <c r="L1065" s="300" t="s">
        <v>1886</v>
      </c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</row>
    <row r="1066" spans="1:22">
      <c r="B1066" s="306">
        <v>1008</v>
      </c>
      <c r="C1066" s="282">
        <v>303012</v>
      </c>
      <c r="D1066" s="301" t="s">
        <v>38</v>
      </c>
    </row>
    <row r="1067" spans="1:22">
      <c r="B1067" s="306">
        <v>1008</v>
      </c>
      <c r="C1067" s="282">
        <v>303013</v>
      </c>
      <c r="D1067" s="301" t="s">
        <v>38</v>
      </c>
    </row>
    <row r="1068" spans="1:22">
      <c r="B1068" s="306">
        <v>1008</v>
      </c>
      <c r="C1068" s="282">
        <v>303022</v>
      </c>
      <c r="D1068" s="301" t="s">
        <v>38</v>
      </c>
    </row>
    <row r="1069" spans="1:22">
      <c r="B1069" s="306">
        <v>1008</v>
      </c>
      <c r="C1069" s="282">
        <v>303023</v>
      </c>
      <c r="D1069" s="301" t="s">
        <v>38</v>
      </c>
    </row>
    <row r="1070" spans="1:22">
      <c r="B1070" s="306">
        <v>1008</v>
      </c>
      <c r="C1070" s="282">
        <v>303032</v>
      </c>
      <c r="D1070" s="301" t="s">
        <v>38</v>
      </c>
    </row>
    <row r="1071" spans="1:22">
      <c r="B1071" s="306">
        <v>1008</v>
      </c>
      <c r="C1071" s="282">
        <v>303033</v>
      </c>
      <c r="D1071" s="301" t="s">
        <v>38</v>
      </c>
    </row>
    <row r="1072" spans="1:22">
      <c r="B1072" s="306">
        <v>1008</v>
      </c>
      <c r="C1072" s="282">
        <v>303042</v>
      </c>
      <c r="D1072" s="301" t="s">
        <v>38</v>
      </c>
    </row>
    <row r="1073" spans="2:4">
      <c r="B1073" s="306">
        <v>1008</v>
      </c>
      <c r="C1073" s="282">
        <v>303043</v>
      </c>
      <c r="D1073" s="301" t="s">
        <v>38</v>
      </c>
    </row>
    <row r="1074" spans="2:4">
      <c r="B1074" s="306">
        <v>1008</v>
      </c>
      <c r="C1074" s="282">
        <v>303052</v>
      </c>
      <c r="D1074" s="301" t="s">
        <v>38</v>
      </c>
    </row>
    <row r="1075" spans="2:4">
      <c r="B1075" s="306">
        <v>1008</v>
      </c>
      <c r="C1075" s="282">
        <v>303053</v>
      </c>
      <c r="D1075" s="301" t="s">
        <v>38</v>
      </c>
    </row>
    <row r="1076" spans="2:4">
      <c r="B1076" s="306">
        <v>1008</v>
      </c>
      <c r="C1076" s="282">
        <v>303062</v>
      </c>
      <c r="D1076" s="301" t="s">
        <v>38</v>
      </c>
    </row>
    <row r="1077" spans="2:4">
      <c r="B1077" s="306">
        <v>1008</v>
      </c>
      <c r="C1077" s="282">
        <v>303063</v>
      </c>
      <c r="D1077" s="301" t="s">
        <v>38</v>
      </c>
    </row>
    <row r="1078" spans="2:4">
      <c r="B1078" s="306">
        <v>1008</v>
      </c>
      <c r="C1078" s="282">
        <v>303072</v>
      </c>
      <c r="D1078" s="301" t="s">
        <v>38</v>
      </c>
    </row>
    <row r="1079" spans="2:4">
      <c r="B1079" s="306">
        <v>1008</v>
      </c>
      <c r="C1079" s="282">
        <v>303073</v>
      </c>
      <c r="D1079" s="301" t="s">
        <v>38</v>
      </c>
    </row>
    <row r="1080" spans="2:4">
      <c r="B1080" s="306">
        <v>1008</v>
      </c>
      <c r="C1080" s="282">
        <v>303082</v>
      </c>
      <c r="D1080" s="301" t="s">
        <v>38</v>
      </c>
    </row>
    <row r="1081" spans="2:4">
      <c r="B1081" s="306">
        <v>1008</v>
      </c>
      <c r="C1081" s="282">
        <v>303083</v>
      </c>
      <c r="D1081" s="301" t="s">
        <v>38</v>
      </c>
    </row>
    <row r="1082" spans="2:4">
      <c r="B1082" s="305">
        <v>1009</v>
      </c>
      <c r="C1082" s="43">
        <v>200004</v>
      </c>
      <c r="D1082" s="10" t="s">
        <v>736</v>
      </c>
    </row>
    <row r="1083" spans="2:4">
      <c r="B1083" s="305">
        <v>1009</v>
      </c>
      <c r="C1083" s="43">
        <v>200003</v>
      </c>
      <c r="D1083" s="10" t="s">
        <v>736</v>
      </c>
    </row>
    <row r="1084" spans="2:4">
      <c r="B1084" s="305">
        <v>1009</v>
      </c>
      <c r="C1084" s="43">
        <v>200005</v>
      </c>
      <c r="D1084" s="10" t="s">
        <v>736</v>
      </c>
    </row>
    <row r="1085" spans="2:4">
      <c r="B1085" s="305">
        <v>1009</v>
      </c>
      <c r="C1085" s="43">
        <v>200006</v>
      </c>
      <c r="D1085" s="10" t="s">
        <v>736</v>
      </c>
    </row>
    <row r="1086" spans="2:4">
      <c r="B1086" s="305">
        <v>1009</v>
      </c>
      <c r="C1086" s="43">
        <v>200007</v>
      </c>
      <c r="D1086" s="10" t="s">
        <v>736</v>
      </c>
    </row>
    <row r="1087" spans="2:4">
      <c r="B1087" s="305">
        <v>1009</v>
      </c>
      <c r="C1087" s="43">
        <v>200008</v>
      </c>
      <c r="D1087" s="10" t="s">
        <v>736</v>
      </c>
    </row>
    <row r="1088" spans="2:4">
      <c r="B1088" s="305">
        <v>1009</v>
      </c>
      <c r="C1088" s="43">
        <v>200009</v>
      </c>
      <c r="D1088" s="10" t="s">
        <v>736</v>
      </c>
    </row>
    <row r="1089" spans="2:4">
      <c r="B1089" s="305">
        <v>1009</v>
      </c>
      <c r="C1089" s="43">
        <v>200010</v>
      </c>
      <c r="D1089" s="10" t="s">
        <v>736</v>
      </c>
    </row>
    <row r="1090" spans="2:4">
      <c r="B1090" s="305">
        <v>1009</v>
      </c>
      <c r="C1090" s="43">
        <v>200016</v>
      </c>
      <c r="D1090" s="10" t="s">
        <v>736</v>
      </c>
    </row>
    <row r="1091" spans="2:4">
      <c r="B1091" s="305">
        <v>1009</v>
      </c>
      <c r="C1091" s="43">
        <v>200017</v>
      </c>
      <c r="D1091" s="10" t="s">
        <v>736</v>
      </c>
    </row>
    <row r="1092" spans="2:4">
      <c r="B1092" s="305">
        <v>1009</v>
      </c>
      <c r="C1092" s="43">
        <v>200018</v>
      </c>
      <c r="D1092" s="10" t="s">
        <v>736</v>
      </c>
    </row>
    <row r="1093" spans="2:4">
      <c r="B1093" s="305">
        <v>1009</v>
      </c>
      <c r="C1093" s="43">
        <v>200019</v>
      </c>
      <c r="D1093" s="10" t="s">
        <v>736</v>
      </c>
    </row>
    <row r="1094" spans="2:4">
      <c r="B1094" s="305">
        <v>1009</v>
      </c>
      <c r="C1094" s="43">
        <v>200020</v>
      </c>
      <c r="D1094" s="10" t="s">
        <v>736</v>
      </c>
    </row>
    <row r="1095" spans="2:4">
      <c r="B1095" s="305">
        <v>1009</v>
      </c>
      <c r="C1095" s="43">
        <v>200021</v>
      </c>
      <c r="D1095" s="10" t="s">
        <v>736</v>
      </c>
    </row>
    <row r="1096" spans="2:4">
      <c r="B1096" s="305">
        <v>1009</v>
      </c>
      <c r="C1096" s="43">
        <v>200024</v>
      </c>
      <c r="D1096" s="10" t="s">
        <v>736</v>
      </c>
    </row>
    <row r="1097" spans="2:4">
      <c r="B1097" s="305">
        <v>1009</v>
      </c>
      <c r="C1097" s="43">
        <v>200026</v>
      </c>
      <c r="D1097" s="10" t="s">
        <v>736</v>
      </c>
    </row>
    <row r="1098" spans="2:4">
      <c r="B1098" s="305">
        <v>1009</v>
      </c>
      <c r="C1098" s="43">
        <v>200029</v>
      </c>
      <c r="D1098" s="10" t="s">
        <v>736</v>
      </c>
    </row>
    <row r="1099" spans="2:4">
      <c r="B1099" s="305">
        <v>1009</v>
      </c>
      <c r="C1099" s="43">
        <v>200028</v>
      </c>
      <c r="D1099" s="10" t="s">
        <v>736</v>
      </c>
    </row>
    <row r="1100" spans="2:4">
      <c r="B1100" s="305">
        <v>1009</v>
      </c>
      <c r="C1100" s="43">
        <v>200032</v>
      </c>
      <c r="D1100" s="10" t="s">
        <v>736</v>
      </c>
    </row>
    <row r="1101" spans="2:4">
      <c r="B1101" s="305">
        <v>1009</v>
      </c>
      <c r="C1101" s="43">
        <v>200033</v>
      </c>
      <c r="D1101" s="10" t="s">
        <v>736</v>
      </c>
    </row>
    <row r="1102" spans="2:4">
      <c r="B1102" s="305">
        <v>1009</v>
      </c>
      <c r="C1102" s="43">
        <v>200038</v>
      </c>
      <c r="D1102" s="10" t="s">
        <v>736</v>
      </c>
    </row>
    <row r="1103" spans="2:4">
      <c r="B1103" s="305">
        <v>1009</v>
      </c>
      <c r="C1103" s="43">
        <v>200044</v>
      </c>
      <c r="D1103" s="10" t="s">
        <v>736</v>
      </c>
    </row>
    <row r="1104" spans="2:4">
      <c r="B1104" s="305">
        <v>1009</v>
      </c>
      <c r="C1104" s="43">
        <v>200046</v>
      </c>
      <c r="D1104" s="10" t="s">
        <v>736</v>
      </c>
    </row>
    <row r="1105" spans="1:4">
      <c r="B1105" s="10">
        <v>1009</v>
      </c>
      <c r="C1105" s="43">
        <v>200048</v>
      </c>
      <c r="D1105" s="10" t="s">
        <v>736</v>
      </c>
    </row>
    <row r="1106" spans="1:4">
      <c r="B1106" s="305">
        <v>1009</v>
      </c>
      <c r="C1106" s="43">
        <v>200053</v>
      </c>
      <c r="D1106" s="305" t="s">
        <v>736</v>
      </c>
    </row>
    <row r="1107" spans="1:4">
      <c r="B1107" s="10">
        <v>1009</v>
      </c>
      <c r="C1107" s="43">
        <v>200059</v>
      </c>
      <c r="D1107" s="10" t="s">
        <v>736</v>
      </c>
    </row>
    <row r="1108" spans="1:4" ht="13.5" customHeight="1">
      <c r="B1108" s="10">
        <v>1009</v>
      </c>
      <c r="C1108" s="43">
        <v>200066</v>
      </c>
      <c r="D1108" s="10" t="s">
        <v>736</v>
      </c>
    </row>
    <row r="1109" spans="1:4" ht="13.5" customHeight="1">
      <c r="B1109" s="10">
        <v>1009</v>
      </c>
      <c r="C1109" s="43">
        <v>200067</v>
      </c>
      <c r="D1109" s="10" t="s">
        <v>736</v>
      </c>
    </row>
    <row r="1110" spans="1:4" ht="13.5" customHeight="1">
      <c r="B1110" s="10">
        <v>1009</v>
      </c>
      <c r="C1110" s="43">
        <v>200068</v>
      </c>
      <c r="D1110" s="10" t="s">
        <v>736</v>
      </c>
    </row>
    <row r="1111" spans="1:4" ht="13.5" customHeight="1">
      <c r="B1111" s="10">
        <v>1009</v>
      </c>
      <c r="C1111" s="43">
        <v>200069</v>
      </c>
      <c r="D1111" s="10" t="s">
        <v>736</v>
      </c>
    </row>
    <row r="1112" spans="1:4" ht="13.5" customHeight="1">
      <c r="B1112" s="10">
        <v>1009</v>
      </c>
      <c r="C1112" s="43">
        <v>200074</v>
      </c>
      <c r="D1112" s="10" t="s">
        <v>736</v>
      </c>
    </row>
    <row r="1113" spans="1:4" ht="13.5" customHeight="1">
      <c r="B1113" s="10">
        <v>1009</v>
      </c>
      <c r="C1113" s="43">
        <v>200077</v>
      </c>
      <c r="D1113" s="270" t="s">
        <v>1842</v>
      </c>
    </row>
    <row r="1114" spans="1:4" ht="13.5" customHeight="1">
      <c r="A1114" s="270" t="s">
        <v>2031</v>
      </c>
      <c r="B1114" s="10">
        <v>1009</v>
      </c>
      <c r="C1114" s="10">
        <v>200083</v>
      </c>
      <c r="D1114" s="270" t="s">
        <v>1842</v>
      </c>
    </row>
    <row r="1115" spans="1:4" ht="13.5" customHeight="1">
      <c r="A1115" s="270" t="s">
        <v>2029</v>
      </c>
      <c r="B1115" s="10">
        <v>1009</v>
      </c>
      <c r="C1115" s="10">
        <v>200084</v>
      </c>
      <c r="D1115" s="270" t="s">
        <v>1842</v>
      </c>
    </row>
    <row r="1116" spans="1:4" ht="13.5" customHeight="1">
      <c r="A1116" s="270" t="s">
        <v>2027</v>
      </c>
      <c r="B1116" s="10">
        <v>1009</v>
      </c>
      <c r="C1116" s="10">
        <v>200093</v>
      </c>
      <c r="D1116" s="270" t="s">
        <v>1842</v>
      </c>
    </row>
    <row r="1117" spans="1:4" ht="13.5" customHeight="1">
      <c r="A1117" s="270" t="s">
        <v>2025</v>
      </c>
      <c r="B1117" s="10">
        <v>1009</v>
      </c>
      <c r="C1117" s="10">
        <v>200094</v>
      </c>
      <c r="D1117" s="270" t="s">
        <v>1842</v>
      </c>
    </row>
    <row r="1118" spans="1:4" ht="13.5" customHeight="1">
      <c r="A1118" s="270" t="s">
        <v>2023</v>
      </c>
      <c r="B1118" s="10">
        <v>1009</v>
      </c>
      <c r="C1118" s="10">
        <v>200091</v>
      </c>
      <c r="D1118" s="270" t="s">
        <v>1842</v>
      </c>
    </row>
    <row r="1119" spans="1:4" ht="13.5" customHeight="1">
      <c r="A1119" s="270" t="s">
        <v>2043</v>
      </c>
      <c r="B1119" s="10">
        <v>1009</v>
      </c>
      <c r="C1119" s="10">
        <v>20000107</v>
      </c>
      <c r="D1119" s="270" t="s">
        <v>1842</v>
      </c>
    </row>
    <row r="1120" spans="1:4" ht="13.5" customHeight="1">
      <c r="A1120" s="270" t="s">
        <v>2061</v>
      </c>
      <c r="B1120" s="43">
        <v>1009</v>
      </c>
      <c r="C1120" s="43">
        <v>200099</v>
      </c>
      <c r="D1120" s="43" t="s">
        <v>1842</v>
      </c>
    </row>
    <row r="1121" spans="1:12" ht="13.5" customHeight="1">
      <c r="A1121" s="270" t="s">
        <v>2062</v>
      </c>
      <c r="B1121" s="43">
        <v>1009</v>
      </c>
      <c r="C1121" s="43">
        <v>200098</v>
      </c>
      <c r="D1121" s="43" t="s">
        <v>1842</v>
      </c>
    </row>
    <row r="1122" spans="1:12" ht="13.5" customHeight="1">
      <c r="A1122" s="315" t="s">
        <v>2092</v>
      </c>
      <c r="B1122" s="269">
        <v>1009</v>
      </c>
      <c r="C1122" s="315">
        <v>20000106</v>
      </c>
      <c r="D1122" s="315" t="s">
        <v>736</v>
      </c>
    </row>
    <row r="1123" spans="1:12">
      <c r="B1123" s="301">
        <v>1009</v>
      </c>
      <c r="C1123" s="127">
        <v>30530010</v>
      </c>
      <c r="D1123" s="303" t="s">
        <v>737</v>
      </c>
      <c r="E1123" s="10">
        <v>250831</v>
      </c>
    </row>
    <row r="1124" spans="1:12">
      <c r="B1124" s="301">
        <v>1009</v>
      </c>
      <c r="C1124" s="127">
        <v>30520010</v>
      </c>
      <c r="D1124" s="303" t="s">
        <v>737</v>
      </c>
      <c r="E1124" s="10">
        <v>250831</v>
      </c>
    </row>
    <row r="1125" spans="1:12">
      <c r="B1125" s="301">
        <v>1009</v>
      </c>
      <c r="C1125" s="127">
        <v>30580020</v>
      </c>
      <c r="D1125" s="303" t="s">
        <v>737</v>
      </c>
      <c r="E1125" s="10">
        <v>250831</v>
      </c>
    </row>
    <row r="1126" spans="1:12">
      <c r="B1126" s="301">
        <v>1009</v>
      </c>
      <c r="C1126" s="127">
        <v>30570012</v>
      </c>
      <c r="D1126" s="303" t="s">
        <v>737</v>
      </c>
      <c r="E1126" s="10">
        <v>250831</v>
      </c>
    </row>
    <row r="1127" spans="1:12">
      <c r="B1127" s="301">
        <v>1009</v>
      </c>
      <c r="C1127" s="127">
        <v>30560009</v>
      </c>
      <c r="D1127" s="303" t="s">
        <v>737</v>
      </c>
      <c r="E1127" s="10">
        <v>250831</v>
      </c>
    </row>
    <row r="1128" spans="1:12">
      <c r="B1128" s="283">
        <v>1009</v>
      </c>
      <c r="C1128" s="286">
        <v>305007</v>
      </c>
      <c r="D1128" s="10" t="s">
        <v>737</v>
      </c>
      <c r="I1128" s="286">
        <v>305007</v>
      </c>
      <c r="J1128" s="286" t="s">
        <v>1213</v>
      </c>
      <c r="K1128" s="286">
        <v>1</v>
      </c>
      <c r="L1128" s="287" t="s">
        <v>1828</v>
      </c>
    </row>
    <row r="1129" spans="1:12">
      <c r="B1129" s="283">
        <v>1009</v>
      </c>
      <c r="C1129" s="286">
        <v>305008</v>
      </c>
      <c r="D1129" s="10" t="s">
        <v>737</v>
      </c>
      <c r="I1129" s="286">
        <v>305008</v>
      </c>
      <c r="J1129" s="286" t="s">
        <v>1217</v>
      </c>
      <c r="K1129" s="286">
        <v>1</v>
      </c>
      <c r="L1129" s="287" t="s">
        <v>1828</v>
      </c>
    </row>
    <row r="1130" spans="1:12">
      <c r="B1130" s="283">
        <v>1009</v>
      </c>
      <c r="C1130" s="286">
        <v>305009</v>
      </c>
      <c r="D1130" s="10" t="s">
        <v>737</v>
      </c>
      <c r="I1130" s="286">
        <v>305009</v>
      </c>
      <c r="J1130" s="286" t="s">
        <v>1220</v>
      </c>
      <c r="K1130" s="286">
        <v>1</v>
      </c>
      <c r="L1130" s="287" t="s">
        <v>1828</v>
      </c>
    </row>
    <row r="1131" spans="1:12">
      <c r="B1131" s="283">
        <v>1009</v>
      </c>
      <c r="C1131" s="286">
        <v>305023</v>
      </c>
      <c r="D1131" s="10" t="s">
        <v>737</v>
      </c>
      <c r="I1131" s="286">
        <v>305023</v>
      </c>
      <c r="J1131" s="286" t="s">
        <v>1277</v>
      </c>
      <c r="K1131" s="286">
        <v>1</v>
      </c>
      <c r="L1131" s="287" t="s">
        <v>1828</v>
      </c>
    </row>
    <row r="1132" spans="1:12">
      <c r="B1132" s="283">
        <v>1009</v>
      </c>
      <c r="C1132" s="286">
        <v>305034</v>
      </c>
      <c r="D1132" s="10" t="s">
        <v>737</v>
      </c>
      <c r="I1132" s="286">
        <v>305034</v>
      </c>
      <c r="J1132" s="286" t="s">
        <v>222</v>
      </c>
      <c r="K1132" s="286">
        <v>1</v>
      </c>
      <c r="L1132" s="287" t="s">
        <v>1828</v>
      </c>
    </row>
    <row r="1133" spans="1:12">
      <c r="B1133" s="283">
        <v>1009</v>
      </c>
      <c r="C1133" s="286">
        <v>305035</v>
      </c>
      <c r="D1133" s="10" t="s">
        <v>737</v>
      </c>
      <c r="I1133" s="286">
        <v>305035</v>
      </c>
      <c r="J1133" s="286" t="s">
        <v>227</v>
      </c>
      <c r="K1133" s="286">
        <v>1</v>
      </c>
      <c r="L1133" s="287" t="s">
        <v>1828</v>
      </c>
    </row>
    <row r="1134" spans="1:12">
      <c r="B1134" s="283">
        <v>1009</v>
      </c>
      <c r="C1134" s="286">
        <v>305036</v>
      </c>
      <c r="D1134" s="10" t="s">
        <v>737</v>
      </c>
      <c r="I1134" s="286">
        <v>305036</v>
      </c>
      <c r="J1134" s="286" t="s">
        <v>232</v>
      </c>
      <c r="K1134" s="286">
        <v>1</v>
      </c>
      <c r="L1134" s="287" t="s">
        <v>1828</v>
      </c>
    </row>
    <row r="1135" spans="1:12">
      <c r="B1135" s="283">
        <v>1009</v>
      </c>
      <c r="C1135" s="286">
        <v>305039</v>
      </c>
      <c r="D1135" s="10" t="s">
        <v>737</v>
      </c>
      <c r="I1135" s="286">
        <v>305039</v>
      </c>
      <c r="J1135" s="286" t="s">
        <v>1829</v>
      </c>
      <c r="K1135" s="286">
        <v>1</v>
      </c>
      <c r="L1135" s="287" t="s">
        <v>1828</v>
      </c>
    </row>
    <row r="1136" spans="1:12">
      <c r="B1136" s="283">
        <v>1009</v>
      </c>
      <c r="C1136" s="286">
        <v>305040</v>
      </c>
      <c r="D1136" s="10" t="s">
        <v>737</v>
      </c>
      <c r="I1136" s="286">
        <v>305040</v>
      </c>
      <c r="J1136" s="286" t="s">
        <v>277</v>
      </c>
      <c r="K1136" s="286">
        <v>1</v>
      </c>
      <c r="L1136" s="287" t="s">
        <v>1828</v>
      </c>
    </row>
    <row r="1137" spans="2:12">
      <c r="B1137" s="283">
        <v>1009</v>
      </c>
      <c r="C1137" s="286">
        <v>305200</v>
      </c>
      <c r="D1137" s="10" t="s">
        <v>737</v>
      </c>
      <c r="I1137" s="286">
        <v>305200</v>
      </c>
      <c r="J1137" s="286" t="s">
        <v>313</v>
      </c>
      <c r="K1137" s="286">
        <v>1</v>
      </c>
      <c r="L1137" s="287" t="s">
        <v>1828</v>
      </c>
    </row>
    <row r="1138" spans="2:12">
      <c r="B1138" s="283">
        <v>1009</v>
      </c>
      <c r="C1138" s="288">
        <v>305224</v>
      </c>
      <c r="D1138" s="10" t="s">
        <v>737</v>
      </c>
      <c r="I1138" s="288">
        <v>305224</v>
      </c>
      <c r="J1138" s="10" t="s">
        <v>1890</v>
      </c>
      <c r="K1138" s="286">
        <v>1</v>
      </c>
      <c r="L1138" s="287" t="s">
        <v>1828</v>
      </c>
    </row>
    <row r="1139" spans="2:12">
      <c r="B1139" s="283">
        <v>1009</v>
      </c>
      <c r="C1139" s="288">
        <v>305225</v>
      </c>
      <c r="D1139" s="10" t="s">
        <v>737</v>
      </c>
      <c r="I1139" s="288">
        <v>305225</v>
      </c>
      <c r="J1139" s="10" t="s">
        <v>1888</v>
      </c>
      <c r="K1139" s="286">
        <v>1</v>
      </c>
      <c r="L1139" s="287" t="s">
        <v>1828</v>
      </c>
    </row>
    <row r="1140" spans="2:12">
      <c r="B1140" s="283">
        <v>1009</v>
      </c>
      <c r="C1140" s="288">
        <v>305226</v>
      </c>
      <c r="D1140" s="10" t="s">
        <v>737</v>
      </c>
      <c r="I1140" s="288">
        <v>305226</v>
      </c>
      <c r="J1140" s="10" t="s">
        <v>1891</v>
      </c>
      <c r="K1140" s="286">
        <v>1</v>
      </c>
      <c r="L1140" s="287" t="s">
        <v>1828</v>
      </c>
    </row>
    <row r="1141" spans="2:12">
      <c r="B1141" s="283">
        <v>1009</v>
      </c>
      <c r="C1141" s="289">
        <v>305010</v>
      </c>
      <c r="D1141" s="10" t="s">
        <v>737</v>
      </c>
      <c r="I1141" s="289">
        <v>305010</v>
      </c>
      <c r="J1141" s="289" t="s">
        <v>1223</v>
      </c>
      <c r="K1141" s="289">
        <v>2</v>
      </c>
      <c r="L1141" s="290" t="s">
        <v>1830</v>
      </c>
    </row>
    <row r="1142" spans="2:12">
      <c r="B1142" s="283">
        <v>1009</v>
      </c>
      <c r="C1142" s="289">
        <v>305021</v>
      </c>
      <c r="D1142" s="10" t="s">
        <v>737</v>
      </c>
      <c r="I1142" s="289">
        <v>305021</v>
      </c>
      <c r="J1142" s="289" t="s">
        <v>1270</v>
      </c>
      <c r="K1142" s="289">
        <v>2</v>
      </c>
      <c r="L1142" s="290" t="s">
        <v>1830</v>
      </c>
    </row>
    <row r="1143" spans="2:12">
      <c r="B1143" s="283">
        <v>1009</v>
      </c>
      <c r="C1143" s="289">
        <v>305022</v>
      </c>
      <c r="D1143" s="10" t="s">
        <v>737</v>
      </c>
      <c r="I1143" s="289">
        <v>305022</v>
      </c>
      <c r="J1143" s="289" t="s">
        <v>1273</v>
      </c>
      <c r="K1143" s="289">
        <v>2</v>
      </c>
      <c r="L1143" s="290" t="s">
        <v>1830</v>
      </c>
    </row>
    <row r="1144" spans="2:12">
      <c r="B1144" s="283">
        <v>1009</v>
      </c>
      <c r="C1144" s="289">
        <v>305032</v>
      </c>
      <c r="D1144" s="10" t="s">
        <v>737</v>
      </c>
      <c r="I1144" s="289">
        <v>305032</v>
      </c>
      <c r="J1144" s="289" t="s">
        <v>213</v>
      </c>
      <c r="K1144" s="289">
        <v>2</v>
      </c>
      <c r="L1144" s="290" t="s">
        <v>1830</v>
      </c>
    </row>
    <row r="1145" spans="2:12">
      <c r="B1145" s="283">
        <v>1009</v>
      </c>
      <c r="C1145" s="289">
        <v>305033</v>
      </c>
      <c r="D1145" s="10" t="s">
        <v>737</v>
      </c>
      <c r="I1145" s="289">
        <v>305033</v>
      </c>
      <c r="J1145" s="289" t="s">
        <v>217</v>
      </c>
      <c r="K1145" s="289">
        <v>2</v>
      </c>
      <c r="L1145" s="290" t="s">
        <v>1830</v>
      </c>
    </row>
    <row r="1146" spans="2:12">
      <c r="B1146" s="283">
        <v>1009</v>
      </c>
      <c r="C1146" s="289">
        <v>305037</v>
      </c>
      <c r="D1146" s="10" t="s">
        <v>737</v>
      </c>
      <c r="I1146" s="289">
        <v>305037</v>
      </c>
      <c r="J1146" s="289" t="s">
        <v>264</v>
      </c>
      <c r="K1146" s="289">
        <v>2</v>
      </c>
      <c r="L1146" s="290" t="s">
        <v>1830</v>
      </c>
    </row>
    <row r="1147" spans="2:12">
      <c r="B1147" s="283">
        <v>1009</v>
      </c>
      <c r="C1147" s="289">
        <v>305038</v>
      </c>
      <c r="D1147" s="10" t="s">
        <v>737</v>
      </c>
      <c r="I1147" s="289">
        <v>305038</v>
      </c>
      <c r="J1147" s="289" t="s">
        <v>268</v>
      </c>
      <c r="K1147" s="289">
        <v>2</v>
      </c>
      <c r="L1147" s="290" t="s">
        <v>1830</v>
      </c>
    </row>
    <row r="1148" spans="2:12">
      <c r="B1148" s="283">
        <v>1009</v>
      </c>
      <c r="C1148" s="289">
        <v>305300</v>
      </c>
      <c r="D1148" s="10" t="s">
        <v>737</v>
      </c>
      <c r="I1148" s="289">
        <v>305300</v>
      </c>
      <c r="J1148" s="289" t="s">
        <v>318</v>
      </c>
      <c r="K1148" s="289">
        <v>2</v>
      </c>
      <c r="L1148" s="290" t="s">
        <v>1830</v>
      </c>
    </row>
    <row r="1149" spans="2:12">
      <c r="B1149" s="283">
        <v>1009</v>
      </c>
      <c r="C1149" s="288">
        <v>305324</v>
      </c>
      <c r="D1149" s="10" t="s">
        <v>737</v>
      </c>
      <c r="I1149" s="288">
        <v>305324</v>
      </c>
      <c r="J1149" s="10" t="s">
        <v>1887</v>
      </c>
      <c r="K1149" s="289">
        <v>2</v>
      </c>
      <c r="L1149" s="290" t="s">
        <v>1830</v>
      </c>
    </row>
    <row r="1150" spans="2:12">
      <c r="B1150" s="283">
        <v>1009</v>
      </c>
      <c r="C1150" s="288">
        <v>305325</v>
      </c>
      <c r="D1150" s="10" t="s">
        <v>737</v>
      </c>
      <c r="I1150" s="288">
        <v>305325</v>
      </c>
      <c r="J1150" s="10" t="s">
        <v>1888</v>
      </c>
      <c r="K1150" s="289">
        <v>2</v>
      </c>
      <c r="L1150" s="290" t="s">
        <v>1830</v>
      </c>
    </row>
    <row r="1151" spans="2:12">
      <c r="B1151" s="283">
        <v>1009</v>
      </c>
      <c r="C1151" s="288">
        <v>305326</v>
      </c>
      <c r="D1151" s="10" t="s">
        <v>737</v>
      </c>
      <c r="I1151" s="288">
        <v>305326</v>
      </c>
      <c r="J1151" s="10" t="s">
        <v>1889</v>
      </c>
      <c r="K1151" s="289">
        <v>2</v>
      </c>
      <c r="L1151" s="290" t="s">
        <v>1830</v>
      </c>
    </row>
    <row r="1152" spans="2:12">
      <c r="B1152" s="283">
        <v>1009</v>
      </c>
      <c r="C1152" s="291">
        <v>305001</v>
      </c>
      <c r="D1152" s="10" t="s">
        <v>737</v>
      </c>
      <c r="I1152" s="291">
        <v>305001</v>
      </c>
      <c r="J1152" s="291" t="s">
        <v>176</v>
      </c>
      <c r="K1152" s="291">
        <v>0</v>
      </c>
      <c r="L1152" s="292" t="s">
        <v>1827</v>
      </c>
    </row>
    <row r="1153" spans="2:22">
      <c r="B1153" s="283">
        <v>1009</v>
      </c>
      <c r="C1153" s="291">
        <v>305002</v>
      </c>
      <c r="D1153" s="10" t="s">
        <v>737</v>
      </c>
      <c r="I1153" s="291">
        <v>305002</v>
      </c>
      <c r="J1153" s="291" t="s">
        <v>181</v>
      </c>
      <c r="K1153" s="291">
        <v>0</v>
      </c>
      <c r="L1153" s="292" t="s">
        <v>1827</v>
      </c>
    </row>
    <row r="1154" spans="2:22">
      <c r="B1154" s="283">
        <v>1009</v>
      </c>
      <c r="C1154" s="291">
        <v>305003</v>
      </c>
      <c r="D1154" s="10" t="s">
        <v>737</v>
      </c>
      <c r="I1154" s="291">
        <v>305003</v>
      </c>
      <c r="J1154" s="291" t="s">
        <v>186</v>
      </c>
      <c r="K1154" s="291">
        <v>0</v>
      </c>
      <c r="L1154" s="292" t="s">
        <v>1827</v>
      </c>
    </row>
    <row r="1155" spans="2:22">
      <c r="B1155" s="283">
        <v>1009</v>
      </c>
      <c r="C1155" s="291">
        <v>305018</v>
      </c>
      <c r="D1155" s="10" t="s">
        <v>737</v>
      </c>
      <c r="I1155" s="291">
        <v>305018</v>
      </c>
      <c r="J1155" s="291" t="s">
        <v>191</v>
      </c>
      <c r="K1155" s="291">
        <v>0</v>
      </c>
      <c r="L1155" s="292" t="s">
        <v>1827</v>
      </c>
    </row>
    <row r="1156" spans="2:22">
      <c r="B1156" s="283">
        <v>1009</v>
      </c>
      <c r="C1156" s="291">
        <v>305019</v>
      </c>
      <c r="D1156" s="10" t="s">
        <v>737</v>
      </c>
      <c r="I1156" s="291">
        <v>305019</v>
      </c>
      <c r="J1156" s="291" t="s">
        <v>196</v>
      </c>
      <c r="K1156" s="291">
        <v>0</v>
      </c>
      <c r="L1156" s="292" t="s">
        <v>1827</v>
      </c>
    </row>
    <row r="1157" spans="2:22">
      <c r="B1157" s="283">
        <v>1009</v>
      </c>
      <c r="C1157" s="291">
        <v>305041</v>
      </c>
      <c r="D1157" s="10" t="s">
        <v>737</v>
      </c>
      <c r="I1157" s="291">
        <v>305041</v>
      </c>
      <c r="J1157" s="291" t="s">
        <v>282</v>
      </c>
      <c r="K1157" s="291">
        <v>0</v>
      </c>
      <c r="L1157" s="292" t="s">
        <v>1827</v>
      </c>
    </row>
    <row r="1158" spans="2:22">
      <c r="B1158" s="283">
        <v>1009</v>
      </c>
      <c r="C1158" s="291">
        <v>305042</v>
      </c>
      <c r="D1158" s="10" t="s">
        <v>737</v>
      </c>
      <c r="I1158" s="291">
        <v>305042</v>
      </c>
      <c r="J1158" s="291" t="s">
        <v>287</v>
      </c>
      <c r="K1158" s="291">
        <v>0</v>
      </c>
      <c r="L1158" s="292" t="s">
        <v>1827</v>
      </c>
    </row>
    <row r="1159" spans="2:22">
      <c r="B1159" s="283">
        <v>1009</v>
      </c>
      <c r="C1159" s="291">
        <v>305600</v>
      </c>
      <c r="D1159" s="10" t="s">
        <v>737</v>
      </c>
      <c r="I1159" s="291">
        <v>305600</v>
      </c>
      <c r="J1159" s="291" t="s">
        <v>323</v>
      </c>
      <c r="K1159" s="291">
        <v>0</v>
      </c>
      <c r="L1159" s="292" t="s">
        <v>1827</v>
      </c>
    </row>
    <row r="1160" spans="2:22">
      <c r="B1160" s="283">
        <v>1009</v>
      </c>
      <c r="C1160" s="288">
        <v>305623</v>
      </c>
      <c r="D1160" s="10" t="s">
        <v>737</v>
      </c>
      <c r="I1160" s="288">
        <v>305623</v>
      </c>
      <c r="J1160" s="10" t="s">
        <v>1864</v>
      </c>
      <c r="K1160" s="291">
        <v>0</v>
      </c>
      <c r="L1160" s="292" t="s">
        <v>1827</v>
      </c>
    </row>
    <row r="1161" spans="2:22">
      <c r="B1161" s="283">
        <v>1009</v>
      </c>
      <c r="C1161" s="288">
        <v>305624</v>
      </c>
      <c r="D1161" s="10" t="s">
        <v>737</v>
      </c>
      <c r="I1161" s="288">
        <v>305624</v>
      </c>
      <c r="J1161" s="10" t="s">
        <v>1865</v>
      </c>
      <c r="K1161" s="291">
        <v>0</v>
      </c>
      <c r="L1161" s="292" t="s">
        <v>1827</v>
      </c>
    </row>
    <row r="1162" spans="2:22">
      <c r="B1162" s="283">
        <v>1009</v>
      </c>
      <c r="C1162" s="288">
        <v>305625</v>
      </c>
      <c r="D1162" s="10" t="s">
        <v>737</v>
      </c>
      <c r="I1162" s="288">
        <v>305625</v>
      </c>
      <c r="J1162" s="10" t="s">
        <v>1866</v>
      </c>
      <c r="K1162" s="291">
        <v>0</v>
      </c>
      <c r="L1162" s="292" t="s">
        <v>1827</v>
      </c>
    </row>
    <row r="1163" spans="2:22">
      <c r="B1163" s="283">
        <v>1009</v>
      </c>
      <c r="C1163" s="288">
        <v>305626</v>
      </c>
      <c r="D1163" s="10" t="s">
        <v>737</v>
      </c>
      <c r="I1163" s="288">
        <v>305626</v>
      </c>
      <c r="J1163" s="10" t="s">
        <v>1867</v>
      </c>
      <c r="K1163" s="291">
        <v>0</v>
      </c>
      <c r="L1163" s="292" t="s">
        <v>1827</v>
      </c>
    </row>
    <row r="1164" spans="2:22">
      <c r="B1164" s="283">
        <v>1009</v>
      </c>
      <c r="C1164" s="293">
        <v>305012</v>
      </c>
      <c r="D1164" s="10" t="s">
        <v>737</v>
      </c>
      <c r="I1164" s="293">
        <v>305012</v>
      </c>
      <c r="J1164" s="293" t="s">
        <v>1230</v>
      </c>
      <c r="K1164" s="293">
        <v>6</v>
      </c>
      <c r="L1164" s="294" t="s">
        <v>1833</v>
      </c>
    </row>
    <row r="1165" spans="2:22">
      <c r="B1165" s="283">
        <v>1009</v>
      </c>
      <c r="C1165" s="293">
        <v>305013</v>
      </c>
      <c r="D1165" s="10" t="s">
        <v>737</v>
      </c>
      <c r="I1165" s="293">
        <v>305013</v>
      </c>
      <c r="J1165" s="293" t="s">
        <v>1237</v>
      </c>
      <c r="K1165" s="293">
        <v>6</v>
      </c>
      <c r="L1165" s="294" t="s">
        <v>1833</v>
      </c>
    </row>
    <row r="1166" spans="2:22">
      <c r="B1166" s="283">
        <v>1009</v>
      </c>
      <c r="C1166" s="293">
        <v>305014</v>
      </c>
      <c r="D1166" s="10" t="s">
        <v>737</v>
      </c>
      <c r="I1166" s="293">
        <v>305014</v>
      </c>
      <c r="J1166" s="293" t="s">
        <v>1241</v>
      </c>
      <c r="K1166" s="293">
        <v>6</v>
      </c>
      <c r="L1166" s="294" t="s">
        <v>1833</v>
      </c>
    </row>
    <row r="1167" spans="2:22" s="285" customFormat="1">
      <c r="B1167" s="283">
        <v>1009</v>
      </c>
      <c r="C1167" s="293">
        <v>305046</v>
      </c>
      <c r="D1167" s="285" t="s">
        <v>737</v>
      </c>
      <c r="G1167" s="10"/>
      <c r="H1167" s="10"/>
      <c r="I1167" s="293">
        <v>305046</v>
      </c>
      <c r="J1167" s="293" t="s">
        <v>309</v>
      </c>
      <c r="K1167" s="293">
        <v>6</v>
      </c>
      <c r="L1167" s="294" t="s">
        <v>1833</v>
      </c>
      <c r="M1167" s="10"/>
      <c r="R1167" s="10"/>
      <c r="S1167" s="10"/>
      <c r="T1167" s="10"/>
      <c r="U1167" s="10"/>
      <c r="V1167" s="10"/>
    </row>
    <row r="1168" spans="2:22">
      <c r="B1168" s="283">
        <v>1009</v>
      </c>
      <c r="C1168" s="288">
        <v>305815</v>
      </c>
      <c r="D1168" s="10" t="s">
        <v>737</v>
      </c>
      <c r="I1168" s="288">
        <v>305815</v>
      </c>
      <c r="J1168" s="10" t="s">
        <v>1868</v>
      </c>
      <c r="K1168" s="293">
        <v>6</v>
      </c>
      <c r="L1168" s="294" t="s">
        <v>1833</v>
      </c>
    </row>
    <row r="1169" spans="2:22">
      <c r="B1169" s="283">
        <v>1009</v>
      </c>
      <c r="C1169" s="288">
        <v>305816</v>
      </c>
      <c r="D1169" s="10" t="s">
        <v>737</v>
      </c>
      <c r="I1169" s="288">
        <v>305816</v>
      </c>
      <c r="J1169" s="10" t="s">
        <v>1869</v>
      </c>
      <c r="K1169" s="293">
        <v>6</v>
      </c>
      <c r="L1169" s="294" t="s">
        <v>1833</v>
      </c>
    </row>
    <row r="1170" spans="2:22">
      <c r="B1170" s="283">
        <v>1009</v>
      </c>
      <c r="C1170" s="288">
        <v>305817</v>
      </c>
      <c r="D1170" s="10" t="s">
        <v>737</v>
      </c>
      <c r="I1170" s="288">
        <v>305817</v>
      </c>
      <c r="J1170" s="10" t="s">
        <v>1870</v>
      </c>
      <c r="K1170" s="293">
        <v>6</v>
      </c>
      <c r="L1170" s="294" t="s">
        <v>1833</v>
      </c>
    </row>
    <row r="1171" spans="2:22" s="285" customFormat="1">
      <c r="B1171" s="283">
        <v>1009</v>
      </c>
      <c r="C1171" s="288">
        <v>305818</v>
      </c>
      <c r="D1171" s="285" t="s">
        <v>737</v>
      </c>
      <c r="G1171" s="10"/>
      <c r="H1171" s="10"/>
      <c r="I1171" s="288">
        <v>305818</v>
      </c>
      <c r="J1171" s="10" t="s">
        <v>1871</v>
      </c>
      <c r="K1171" s="293">
        <v>6</v>
      </c>
      <c r="L1171" s="294" t="s">
        <v>1833</v>
      </c>
      <c r="M1171" s="10"/>
      <c r="R1171" s="10"/>
      <c r="S1171" s="10"/>
      <c r="T1171" s="10"/>
      <c r="U1171" s="10"/>
      <c r="V1171" s="10"/>
    </row>
    <row r="1172" spans="2:22">
      <c r="B1172" s="283">
        <v>1009</v>
      </c>
      <c r="C1172" s="288">
        <v>305819</v>
      </c>
      <c r="D1172" s="10" t="s">
        <v>737</v>
      </c>
      <c r="I1172" s="288">
        <v>305819</v>
      </c>
      <c r="J1172" s="10" t="s">
        <v>1872</v>
      </c>
      <c r="K1172" s="293">
        <v>6</v>
      </c>
      <c r="L1172" s="294" t="s">
        <v>1833</v>
      </c>
    </row>
    <row r="1173" spans="2:22" s="285" customFormat="1">
      <c r="B1173" s="283">
        <v>1009</v>
      </c>
      <c r="C1173" s="288">
        <v>305820</v>
      </c>
      <c r="D1173" s="285" t="s">
        <v>737</v>
      </c>
      <c r="G1173" s="10"/>
      <c r="H1173" s="10"/>
      <c r="I1173" s="288">
        <v>305820</v>
      </c>
      <c r="J1173" s="10" t="s">
        <v>1873</v>
      </c>
      <c r="K1173" s="293">
        <v>6</v>
      </c>
      <c r="L1173" s="294" t="s">
        <v>1833</v>
      </c>
      <c r="M1173" s="10"/>
      <c r="R1173" s="10"/>
      <c r="S1173" s="10"/>
      <c r="T1173" s="10"/>
      <c r="U1173" s="10"/>
      <c r="V1173" s="10"/>
    </row>
    <row r="1174" spans="2:22">
      <c r="B1174" s="283">
        <v>1009</v>
      </c>
      <c r="C1174" s="295">
        <v>305015</v>
      </c>
      <c r="D1174" s="10" t="s">
        <v>737</v>
      </c>
      <c r="I1174" s="295">
        <v>305015</v>
      </c>
      <c r="J1174" s="295" t="s">
        <v>1245</v>
      </c>
      <c r="K1174" s="295">
        <v>7</v>
      </c>
      <c r="L1174" s="296" t="s">
        <v>538</v>
      </c>
    </row>
    <row r="1175" spans="2:22">
      <c r="B1175" s="283">
        <v>1009</v>
      </c>
      <c r="C1175" s="295">
        <v>305016</v>
      </c>
      <c r="D1175" s="10" t="s">
        <v>737</v>
      </c>
      <c r="I1175" s="295">
        <v>305016</v>
      </c>
      <c r="J1175" s="295" t="s">
        <v>1251</v>
      </c>
      <c r="K1175" s="295">
        <v>7</v>
      </c>
      <c r="L1175" s="296" t="s">
        <v>538</v>
      </c>
    </row>
    <row r="1176" spans="2:22">
      <c r="B1176" s="283">
        <v>1009</v>
      </c>
      <c r="C1176" s="295">
        <v>305017</v>
      </c>
      <c r="D1176" s="10" t="s">
        <v>737</v>
      </c>
      <c r="I1176" s="295">
        <v>305017</v>
      </c>
      <c r="J1176" s="295" t="s">
        <v>1255</v>
      </c>
      <c r="K1176" s="295">
        <v>7</v>
      </c>
      <c r="L1176" s="296" t="s">
        <v>538</v>
      </c>
    </row>
    <row r="1177" spans="2:22">
      <c r="B1177" s="283">
        <v>1009</v>
      </c>
      <c r="C1177" s="295">
        <v>305700</v>
      </c>
      <c r="D1177" s="10" t="s">
        <v>737</v>
      </c>
      <c r="I1177" s="295">
        <v>305700</v>
      </c>
      <c r="J1177" s="295" t="s">
        <v>328</v>
      </c>
      <c r="K1177" s="295">
        <v>7</v>
      </c>
      <c r="L1177" s="296" t="s">
        <v>538</v>
      </c>
    </row>
    <row r="1178" spans="2:22">
      <c r="B1178" s="283">
        <v>1009</v>
      </c>
      <c r="C1178" s="288">
        <v>305719</v>
      </c>
      <c r="D1178" s="10" t="s">
        <v>737</v>
      </c>
      <c r="I1178" s="288">
        <v>305719</v>
      </c>
      <c r="J1178" s="10" t="s">
        <v>1874</v>
      </c>
      <c r="K1178" s="295">
        <v>7</v>
      </c>
      <c r="L1178" s="296" t="s">
        <v>538</v>
      </c>
    </row>
    <row r="1179" spans="2:22">
      <c r="B1179" s="283">
        <v>1009</v>
      </c>
      <c r="C1179" s="288">
        <v>305720</v>
      </c>
      <c r="D1179" s="10" t="s">
        <v>737</v>
      </c>
      <c r="I1179" s="288">
        <v>305720</v>
      </c>
      <c r="J1179" s="10" t="s">
        <v>1875</v>
      </c>
      <c r="K1179" s="295">
        <v>7</v>
      </c>
      <c r="L1179" s="296" t="s">
        <v>538</v>
      </c>
    </row>
    <row r="1180" spans="2:22">
      <c r="B1180" s="283">
        <v>1009</v>
      </c>
      <c r="C1180" s="288">
        <v>305721</v>
      </c>
      <c r="D1180" s="10" t="s">
        <v>737</v>
      </c>
      <c r="I1180" s="288">
        <v>305721</v>
      </c>
      <c r="J1180" s="10" t="s">
        <v>1876</v>
      </c>
      <c r="K1180" s="295">
        <v>7</v>
      </c>
      <c r="L1180" s="296" t="s">
        <v>538</v>
      </c>
    </row>
    <row r="1181" spans="2:22">
      <c r="B1181" s="283">
        <v>1009</v>
      </c>
      <c r="C1181" s="288">
        <v>305722</v>
      </c>
      <c r="D1181" s="10" t="s">
        <v>737</v>
      </c>
      <c r="I1181" s="288">
        <v>305722</v>
      </c>
      <c r="J1181" s="10" t="s">
        <v>1877</v>
      </c>
      <c r="K1181" s="295">
        <v>7</v>
      </c>
      <c r="L1181" s="296" t="s">
        <v>538</v>
      </c>
    </row>
    <row r="1182" spans="2:22">
      <c r="B1182" s="283">
        <v>1009</v>
      </c>
      <c r="C1182" s="288">
        <v>305723</v>
      </c>
      <c r="D1182" s="10" t="s">
        <v>737</v>
      </c>
      <c r="I1182" s="288">
        <v>305723</v>
      </c>
      <c r="J1182" s="10" t="s">
        <v>1878</v>
      </c>
      <c r="K1182" s="295">
        <v>7</v>
      </c>
      <c r="L1182" s="296" t="s">
        <v>538</v>
      </c>
    </row>
    <row r="1183" spans="2:22">
      <c r="B1183" s="283">
        <v>1009</v>
      </c>
      <c r="C1183" s="288">
        <v>305724</v>
      </c>
      <c r="D1183" s="10" t="s">
        <v>737</v>
      </c>
      <c r="I1183" s="288">
        <v>305724</v>
      </c>
      <c r="J1183" s="10" t="s">
        <v>1879</v>
      </c>
      <c r="K1183" s="295">
        <v>7</v>
      </c>
      <c r="L1183" s="296" t="s">
        <v>538</v>
      </c>
    </row>
    <row r="1184" spans="2:22">
      <c r="B1184" s="283">
        <v>1009</v>
      </c>
      <c r="C1184" s="297">
        <v>305011</v>
      </c>
      <c r="D1184" s="10" t="s">
        <v>737</v>
      </c>
      <c r="I1184" s="297">
        <v>305011</v>
      </c>
      <c r="J1184" s="297" t="s">
        <v>161</v>
      </c>
      <c r="K1184" s="297">
        <v>3</v>
      </c>
      <c r="L1184" s="298" t="s">
        <v>1831</v>
      </c>
    </row>
    <row r="1185" spans="1:22">
      <c r="B1185" s="283">
        <v>1009</v>
      </c>
      <c r="C1185" s="299">
        <v>305025</v>
      </c>
      <c r="D1185" s="10" t="s">
        <v>737</v>
      </c>
      <c r="I1185" s="299">
        <v>305025</v>
      </c>
      <c r="J1185" s="299" t="s">
        <v>200</v>
      </c>
      <c r="K1185" s="299">
        <v>4</v>
      </c>
      <c r="L1185" s="300" t="s">
        <v>1832</v>
      </c>
    </row>
    <row r="1186" spans="1:22" s="285" customFormat="1">
      <c r="A1186" s="10"/>
      <c r="B1186" s="283">
        <v>1009</v>
      </c>
      <c r="C1186" s="299">
        <v>305026</v>
      </c>
      <c r="D1186" s="10" t="s">
        <v>737</v>
      </c>
      <c r="E1186" s="10"/>
      <c r="F1186" s="10"/>
      <c r="G1186" s="10"/>
      <c r="H1186" s="10"/>
      <c r="I1186" s="299">
        <v>305026</v>
      </c>
      <c r="J1186" s="299" t="s">
        <v>204</v>
      </c>
      <c r="K1186" s="299">
        <v>4</v>
      </c>
      <c r="L1186" s="300" t="s">
        <v>1832</v>
      </c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</row>
    <row r="1187" spans="1:22" s="285" customFormat="1">
      <c r="A1187" s="10"/>
      <c r="B1187" s="283">
        <v>1009</v>
      </c>
      <c r="C1187" s="299">
        <v>305050</v>
      </c>
      <c r="D1187" s="10" t="s">
        <v>737</v>
      </c>
      <c r="E1187" s="10"/>
      <c r="F1187" s="10"/>
      <c r="G1187" s="10"/>
      <c r="H1187" s="10"/>
      <c r="I1187" s="299">
        <v>305050</v>
      </c>
      <c r="J1187" s="299" t="s">
        <v>300</v>
      </c>
      <c r="K1187" s="299">
        <v>4</v>
      </c>
      <c r="L1187" s="300" t="s">
        <v>1832</v>
      </c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</row>
    <row r="1188" spans="1:22" s="285" customFormat="1">
      <c r="A1188" s="10"/>
      <c r="B1188" s="283">
        <v>1009</v>
      </c>
      <c r="C1188" s="299">
        <v>305051</v>
      </c>
      <c r="D1188" s="10" t="s">
        <v>737</v>
      </c>
      <c r="E1188" s="10"/>
      <c r="F1188" s="10"/>
      <c r="G1188" s="10"/>
      <c r="H1188" s="10"/>
      <c r="I1188" s="299">
        <v>305051</v>
      </c>
      <c r="J1188" s="299" t="s">
        <v>340</v>
      </c>
      <c r="K1188" s="299">
        <v>4</v>
      </c>
      <c r="L1188" s="300" t="s">
        <v>1832</v>
      </c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</row>
    <row r="1189" spans="1:22">
      <c r="B1189" s="283">
        <v>1009</v>
      </c>
      <c r="C1189" s="288">
        <v>305055</v>
      </c>
      <c r="D1189" s="10" t="s">
        <v>737</v>
      </c>
      <c r="I1189" s="288">
        <v>305055</v>
      </c>
      <c r="J1189" s="10" t="s">
        <v>1880</v>
      </c>
      <c r="K1189" s="299">
        <v>4</v>
      </c>
      <c r="L1189" s="300" t="s">
        <v>1832</v>
      </c>
    </row>
    <row r="1190" spans="1:22" s="285" customFormat="1">
      <c r="A1190" s="10"/>
      <c r="B1190" s="283">
        <v>1009</v>
      </c>
      <c r="C1190" s="288">
        <v>305056</v>
      </c>
      <c r="D1190" s="10" t="s">
        <v>737</v>
      </c>
      <c r="E1190" s="10"/>
      <c r="F1190" s="10"/>
      <c r="G1190" s="10"/>
      <c r="H1190" s="10"/>
      <c r="I1190" s="288">
        <v>305056</v>
      </c>
      <c r="J1190" s="10" t="s">
        <v>1881</v>
      </c>
      <c r="K1190" s="299">
        <v>4</v>
      </c>
      <c r="L1190" s="300" t="s">
        <v>1832</v>
      </c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</row>
    <row r="1191" spans="1:22" s="285" customFormat="1">
      <c r="A1191" s="10"/>
      <c r="B1191" s="283">
        <v>1009</v>
      </c>
      <c r="C1191" s="288">
        <v>306104</v>
      </c>
      <c r="D1191" s="10" t="s">
        <v>737</v>
      </c>
      <c r="E1191" s="10"/>
      <c r="F1191" s="10"/>
      <c r="G1191" s="10"/>
      <c r="H1191" s="10"/>
      <c r="I1191" s="288">
        <v>306104</v>
      </c>
      <c r="J1191" s="10" t="s">
        <v>1882</v>
      </c>
      <c r="K1191" s="299">
        <v>4</v>
      </c>
      <c r="L1191" s="300" t="s">
        <v>1886</v>
      </c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</row>
    <row r="1192" spans="1:22" s="285" customFormat="1">
      <c r="A1192" s="10"/>
      <c r="B1192" s="283">
        <v>1009</v>
      </c>
      <c r="C1192" s="288">
        <v>306105</v>
      </c>
      <c r="D1192" s="10" t="s">
        <v>737</v>
      </c>
      <c r="E1192" s="10"/>
      <c r="F1192" s="10"/>
      <c r="G1192" s="10"/>
      <c r="H1192" s="10"/>
      <c r="I1192" s="288">
        <v>306105</v>
      </c>
      <c r="J1192" s="10" t="s">
        <v>1883</v>
      </c>
      <c r="K1192" s="299">
        <v>4</v>
      </c>
      <c r="L1192" s="300" t="s">
        <v>1886</v>
      </c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</row>
    <row r="1193" spans="1:22" s="285" customFormat="1">
      <c r="A1193" s="10"/>
      <c r="B1193" s="283">
        <v>1009</v>
      </c>
      <c r="C1193" s="288">
        <v>306106</v>
      </c>
      <c r="D1193" s="10" t="s">
        <v>737</v>
      </c>
      <c r="E1193" s="10"/>
      <c r="F1193" s="10"/>
      <c r="G1193" s="10"/>
      <c r="H1193" s="10"/>
      <c r="I1193" s="288">
        <v>306106</v>
      </c>
      <c r="J1193" s="10" t="s">
        <v>1884</v>
      </c>
      <c r="K1193" s="299">
        <v>4</v>
      </c>
      <c r="L1193" s="300" t="s">
        <v>1886</v>
      </c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</row>
    <row r="1194" spans="1:22" s="285" customFormat="1">
      <c r="A1194" s="10"/>
      <c r="B1194" s="283">
        <v>1009</v>
      </c>
      <c r="C1194" s="288">
        <v>306107</v>
      </c>
      <c r="D1194" s="10" t="s">
        <v>737</v>
      </c>
      <c r="E1194" s="10"/>
      <c r="F1194" s="10"/>
      <c r="G1194" s="10"/>
      <c r="H1194" s="10"/>
      <c r="I1194" s="288">
        <v>306107</v>
      </c>
      <c r="J1194" s="10" t="s">
        <v>1885</v>
      </c>
      <c r="K1194" s="299">
        <v>4</v>
      </c>
      <c r="L1194" s="300" t="s">
        <v>1886</v>
      </c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</row>
    <row r="1195" spans="1:22">
      <c r="B1195" s="306">
        <v>1009</v>
      </c>
      <c r="C1195" s="282">
        <v>303012</v>
      </c>
      <c r="D1195" s="301" t="s">
        <v>38</v>
      </c>
    </row>
    <row r="1196" spans="1:22">
      <c r="B1196" s="306">
        <v>1009</v>
      </c>
      <c r="C1196" s="282">
        <v>303013</v>
      </c>
      <c r="D1196" s="301" t="s">
        <v>38</v>
      </c>
    </row>
    <row r="1197" spans="1:22" ht="13.5" customHeight="1">
      <c r="B1197" s="306">
        <v>1009</v>
      </c>
      <c r="C1197" s="282">
        <v>303022</v>
      </c>
      <c r="D1197" s="301" t="s">
        <v>38</v>
      </c>
    </row>
    <row r="1198" spans="1:22" ht="13.5" customHeight="1">
      <c r="B1198" s="306">
        <v>1009</v>
      </c>
      <c r="C1198" s="282">
        <v>303023</v>
      </c>
      <c r="D1198" s="301" t="s">
        <v>38</v>
      </c>
    </row>
    <row r="1199" spans="1:22" ht="13.5" customHeight="1">
      <c r="B1199" s="306">
        <v>1009</v>
      </c>
      <c r="C1199" s="282">
        <v>303032</v>
      </c>
      <c r="D1199" s="301" t="s">
        <v>38</v>
      </c>
    </row>
    <row r="1200" spans="1:22" ht="13.5" customHeight="1">
      <c r="B1200" s="306">
        <v>1009</v>
      </c>
      <c r="C1200" s="282">
        <v>303033</v>
      </c>
      <c r="D1200" s="301" t="s">
        <v>38</v>
      </c>
    </row>
    <row r="1201" spans="1:7" s="303" customFormat="1">
      <c r="A1201" s="10"/>
      <c r="B1201" s="306">
        <v>1009</v>
      </c>
      <c r="C1201" s="282">
        <v>303042</v>
      </c>
      <c r="D1201" s="301" t="s">
        <v>38</v>
      </c>
      <c r="E1201" s="10"/>
      <c r="G1201" s="10"/>
    </row>
    <row r="1202" spans="1:7" s="303" customFormat="1">
      <c r="A1202" s="10"/>
      <c r="B1202" s="306">
        <v>1009</v>
      </c>
      <c r="C1202" s="282">
        <v>303043</v>
      </c>
      <c r="D1202" s="301" t="s">
        <v>38</v>
      </c>
      <c r="E1202" s="10"/>
      <c r="G1202" s="10"/>
    </row>
    <row r="1203" spans="1:7" s="303" customFormat="1">
      <c r="A1203" s="10"/>
      <c r="B1203" s="306">
        <v>1009</v>
      </c>
      <c r="C1203" s="282">
        <v>303052</v>
      </c>
      <c r="D1203" s="301" t="s">
        <v>38</v>
      </c>
      <c r="E1203" s="10"/>
      <c r="G1203" s="10"/>
    </row>
    <row r="1204" spans="1:7">
      <c r="B1204" s="306">
        <v>1009</v>
      </c>
      <c r="C1204" s="282">
        <v>303053</v>
      </c>
      <c r="D1204" s="301" t="s">
        <v>38</v>
      </c>
    </row>
    <row r="1205" spans="1:7">
      <c r="B1205" s="306">
        <v>1009</v>
      </c>
      <c r="C1205" s="282">
        <v>303062</v>
      </c>
      <c r="D1205" s="301" t="s">
        <v>38</v>
      </c>
    </row>
    <row r="1206" spans="1:7">
      <c r="B1206" s="306">
        <v>1009</v>
      </c>
      <c r="C1206" s="282">
        <v>303063</v>
      </c>
      <c r="D1206" s="301" t="s">
        <v>38</v>
      </c>
    </row>
    <row r="1207" spans="1:7">
      <c r="B1207" s="306">
        <v>1009</v>
      </c>
      <c r="C1207" s="282">
        <v>303072</v>
      </c>
      <c r="D1207" s="301" t="s">
        <v>38</v>
      </c>
    </row>
    <row r="1208" spans="1:7">
      <c r="B1208" s="306">
        <v>1009</v>
      </c>
      <c r="C1208" s="282">
        <v>303073</v>
      </c>
      <c r="D1208" s="301" t="s">
        <v>38</v>
      </c>
    </row>
    <row r="1209" spans="1:7">
      <c r="B1209" s="306">
        <v>1009</v>
      </c>
      <c r="C1209" s="282">
        <v>303082</v>
      </c>
      <c r="D1209" s="301" t="s">
        <v>38</v>
      </c>
    </row>
    <row r="1210" spans="1:7">
      <c r="B1210" s="306">
        <v>1009</v>
      </c>
      <c r="C1210" s="282">
        <v>303083</v>
      </c>
      <c r="D1210" s="301" t="s">
        <v>38</v>
      </c>
    </row>
    <row r="1211" spans="1:7">
      <c r="B1211" s="10">
        <v>1010</v>
      </c>
      <c r="C1211" s="43">
        <v>200011</v>
      </c>
      <c r="D1211" s="10" t="s">
        <v>736</v>
      </c>
    </row>
    <row r="1212" spans="1:7">
      <c r="B1212" s="10">
        <v>1010</v>
      </c>
      <c r="C1212" s="43">
        <v>200012</v>
      </c>
      <c r="D1212" s="10" t="s">
        <v>736</v>
      </c>
    </row>
    <row r="1213" spans="1:7">
      <c r="B1213" s="10">
        <v>1010</v>
      </c>
      <c r="C1213" s="43">
        <v>200013</v>
      </c>
      <c r="D1213" s="10" t="s">
        <v>736</v>
      </c>
    </row>
    <row r="1214" spans="1:7">
      <c r="B1214" s="10">
        <v>1010</v>
      </c>
      <c r="C1214" s="43">
        <v>200014</v>
      </c>
      <c r="D1214" s="10" t="s">
        <v>736</v>
      </c>
    </row>
    <row r="1215" spans="1:7">
      <c r="B1215" s="10">
        <v>1010</v>
      </c>
      <c r="C1215" s="43">
        <v>200022</v>
      </c>
      <c r="D1215" s="10" t="s">
        <v>736</v>
      </c>
    </row>
    <row r="1216" spans="1:7">
      <c r="B1216" s="10">
        <v>1010</v>
      </c>
      <c r="C1216" s="43">
        <v>200023</v>
      </c>
      <c r="D1216" s="10" t="s">
        <v>736</v>
      </c>
    </row>
    <row r="1217" spans="1:8">
      <c r="B1217" s="10">
        <v>1010</v>
      </c>
      <c r="C1217" s="43">
        <v>200025</v>
      </c>
      <c r="D1217" s="10" t="s">
        <v>736</v>
      </c>
    </row>
    <row r="1218" spans="1:8">
      <c r="B1218" s="10">
        <v>1010</v>
      </c>
      <c r="C1218" s="43">
        <v>200027</v>
      </c>
      <c r="D1218" s="10" t="s">
        <v>736</v>
      </c>
    </row>
    <row r="1219" spans="1:8">
      <c r="B1219" s="10">
        <v>1010</v>
      </c>
      <c r="C1219" s="43">
        <v>200030</v>
      </c>
      <c r="D1219" s="10" t="s">
        <v>736</v>
      </c>
    </row>
    <row r="1220" spans="1:8">
      <c r="B1220" s="10">
        <v>1010</v>
      </c>
      <c r="C1220" s="43">
        <v>200031</v>
      </c>
      <c r="D1220" s="10" t="s">
        <v>736</v>
      </c>
    </row>
    <row r="1221" spans="1:8">
      <c r="B1221" s="10">
        <v>1010</v>
      </c>
      <c r="C1221" s="43">
        <v>200039</v>
      </c>
      <c r="D1221" s="10" t="s">
        <v>736</v>
      </c>
    </row>
    <row r="1222" spans="1:8">
      <c r="B1222" s="10">
        <v>1010</v>
      </c>
      <c r="C1222" s="43">
        <v>200045</v>
      </c>
      <c r="D1222" s="10" t="s">
        <v>736</v>
      </c>
    </row>
    <row r="1223" spans="1:8">
      <c r="B1223" s="10">
        <v>1010</v>
      </c>
      <c r="C1223" s="43">
        <v>200047</v>
      </c>
      <c r="D1223" s="10" t="s">
        <v>736</v>
      </c>
    </row>
    <row r="1224" spans="1:8">
      <c r="B1224" s="10">
        <v>1010</v>
      </c>
      <c r="C1224" s="43">
        <v>200049</v>
      </c>
      <c r="D1224" s="10" t="s">
        <v>736</v>
      </c>
    </row>
    <row r="1225" spans="1:8">
      <c r="B1225" s="10">
        <v>1010</v>
      </c>
      <c r="C1225" s="43">
        <v>200054</v>
      </c>
      <c r="D1225" s="10" t="s">
        <v>736</v>
      </c>
    </row>
    <row r="1226" spans="1:8">
      <c r="B1226" s="10">
        <v>1010</v>
      </c>
      <c r="C1226" s="43">
        <v>200060</v>
      </c>
      <c r="D1226" s="10" t="s">
        <v>736</v>
      </c>
      <c r="H1226" s="43"/>
    </row>
    <row r="1227" spans="1:8" ht="13.5" customHeight="1" thickBot="1">
      <c r="B1227" s="10">
        <v>1010</v>
      </c>
      <c r="C1227" s="43">
        <v>200075</v>
      </c>
      <c r="D1227" s="10" t="s">
        <v>736</v>
      </c>
    </row>
    <row r="1228" spans="1:8" ht="13.5" customHeight="1" thickBot="1">
      <c r="A1228" s="307" t="s">
        <v>2038</v>
      </c>
      <c r="B1228" s="10">
        <v>1010</v>
      </c>
      <c r="C1228" s="43">
        <v>200078</v>
      </c>
      <c r="D1228" s="270" t="s">
        <v>1842</v>
      </c>
    </row>
    <row r="1229" spans="1:8" ht="13.5" customHeight="1" thickBot="1">
      <c r="A1229" s="307" t="s">
        <v>2036</v>
      </c>
      <c r="B1229" s="10">
        <v>1010</v>
      </c>
      <c r="C1229" s="10">
        <v>200090</v>
      </c>
      <c r="D1229" s="270" t="s">
        <v>1842</v>
      </c>
    </row>
    <row r="1230" spans="1:8" ht="13.5" customHeight="1" thickBot="1">
      <c r="A1230" s="307" t="s">
        <v>2034</v>
      </c>
      <c r="B1230" s="10">
        <v>1010</v>
      </c>
      <c r="C1230" s="10">
        <v>200085</v>
      </c>
      <c r="D1230" s="270" t="s">
        <v>1842</v>
      </c>
    </row>
    <row r="1231" spans="1:8" ht="13.5" customHeight="1" thickBot="1">
      <c r="A1231" s="307" t="s">
        <v>2032</v>
      </c>
      <c r="B1231" s="10">
        <v>1010</v>
      </c>
      <c r="C1231" s="43">
        <v>200092</v>
      </c>
      <c r="D1231" s="270" t="s">
        <v>1842</v>
      </c>
    </row>
    <row r="1232" spans="1:8" ht="13.5" customHeight="1">
      <c r="A1232" s="270" t="s">
        <v>2042</v>
      </c>
      <c r="B1232" s="10">
        <v>1010</v>
      </c>
      <c r="C1232" s="43">
        <v>200096</v>
      </c>
      <c r="D1232" s="270" t="s">
        <v>1842</v>
      </c>
    </row>
    <row r="1233" spans="1:12" ht="13.5" customHeight="1">
      <c r="A1233" s="315" t="s">
        <v>2094</v>
      </c>
      <c r="B1233" s="10">
        <v>1010</v>
      </c>
      <c r="C1233" s="315">
        <v>200097</v>
      </c>
      <c r="D1233" s="315" t="s">
        <v>736</v>
      </c>
    </row>
    <row r="1234" spans="1:12">
      <c r="B1234" s="301">
        <v>1010</v>
      </c>
      <c r="C1234" s="127">
        <v>30530010</v>
      </c>
      <c r="D1234" s="303" t="s">
        <v>737</v>
      </c>
      <c r="E1234" s="10">
        <v>250831</v>
      </c>
    </row>
    <row r="1235" spans="1:12">
      <c r="B1235" s="301">
        <v>1010</v>
      </c>
      <c r="C1235" s="127">
        <v>30520010</v>
      </c>
      <c r="D1235" s="303" t="s">
        <v>737</v>
      </c>
      <c r="E1235" s="10">
        <v>250831</v>
      </c>
    </row>
    <row r="1236" spans="1:12">
      <c r="B1236" s="301">
        <v>1010</v>
      </c>
      <c r="C1236" s="127">
        <v>30580020</v>
      </c>
      <c r="D1236" s="303" t="s">
        <v>737</v>
      </c>
      <c r="E1236" s="10">
        <v>250831</v>
      </c>
    </row>
    <row r="1237" spans="1:12">
      <c r="B1237" s="301">
        <v>1010</v>
      </c>
      <c r="C1237" s="127">
        <v>30570012</v>
      </c>
      <c r="D1237" s="303" t="s">
        <v>737</v>
      </c>
      <c r="E1237" s="10">
        <v>250831</v>
      </c>
    </row>
    <row r="1238" spans="1:12">
      <c r="B1238" s="301">
        <v>1010</v>
      </c>
      <c r="C1238" s="127">
        <v>30560009</v>
      </c>
      <c r="D1238" s="303" t="s">
        <v>737</v>
      </c>
      <c r="E1238" s="10">
        <v>250831</v>
      </c>
    </row>
    <row r="1239" spans="1:12">
      <c r="B1239" s="283">
        <v>1010</v>
      </c>
      <c r="C1239" s="286">
        <v>305007</v>
      </c>
      <c r="D1239" s="10" t="s">
        <v>737</v>
      </c>
      <c r="I1239" s="286">
        <v>305007</v>
      </c>
      <c r="J1239" s="286" t="s">
        <v>1213</v>
      </c>
      <c r="K1239" s="286">
        <v>1</v>
      </c>
      <c r="L1239" s="287" t="s">
        <v>1828</v>
      </c>
    </row>
    <row r="1240" spans="1:12">
      <c r="B1240" s="283">
        <v>1010</v>
      </c>
      <c r="C1240" s="286">
        <v>305008</v>
      </c>
      <c r="D1240" s="10" t="s">
        <v>737</v>
      </c>
      <c r="I1240" s="286">
        <v>305008</v>
      </c>
      <c r="J1240" s="286" t="s">
        <v>1217</v>
      </c>
      <c r="K1240" s="286">
        <v>1</v>
      </c>
      <c r="L1240" s="287" t="s">
        <v>1828</v>
      </c>
    </row>
    <row r="1241" spans="1:12">
      <c r="B1241" s="283">
        <v>1010</v>
      </c>
      <c r="C1241" s="286">
        <v>305009</v>
      </c>
      <c r="D1241" s="10" t="s">
        <v>737</v>
      </c>
      <c r="I1241" s="286">
        <v>305009</v>
      </c>
      <c r="J1241" s="286" t="s">
        <v>1220</v>
      </c>
      <c r="K1241" s="286">
        <v>1</v>
      </c>
      <c r="L1241" s="287" t="s">
        <v>1828</v>
      </c>
    </row>
    <row r="1242" spans="1:12">
      <c r="B1242" s="283">
        <v>1010</v>
      </c>
      <c r="C1242" s="286">
        <v>305023</v>
      </c>
      <c r="D1242" s="10" t="s">
        <v>737</v>
      </c>
      <c r="I1242" s="286">
        <v>305023</v>
      </c>
      <c r="J1242" s="286" t="s">
        <v>1277</v>
      </c>
      <c r="K1242" s="286">
        <v>1</v>
      </c>
      <c r="L1242" s="287" t="s">
        <v>1828</v>
      </c>
    </row>
    <row r="1243" spans="1:12">
      <c r="B1243" s="283">
        <v>1010</v>
      </c>
      <c r="C1243" s="286">
        <v>305034</v>
      </c>
      <c r="D1243" s="10" t="s">
        <v>737</v>
      </c>
      <c r="I1243" s="286">
        <v>305034</v>
      </c>
      <c r="J1243" s="286" t="s">
        <v>222</v>
      </c>
      <c r="K1243" s="286">
        <v>1</v>
      </c>
      <c r="L1243" s="287" t="s">
        <v>1828</v>
      </c>
    </row>
    <row r="1244" spans="1:12">
      <c r="B1244" s="283">
        <v>1010</v>
      </c>
      <c r="C1244" s="286">
        <v>305035</v>
      </c>
      <c r="D1244" s="10" t="s">
        <v>737</v>
      </c>
      <c r="I1244" s="286">
        <v>305035</v>
      </c>
      <c r="J1244" s="286" t="s">
        <v>227</v>
      </c>
      <c r="K1244" s="286">
        <v>1</v>
      </c>
      <c r="L1244" s="287" t="s">
        <v>1828</v>
      </c>
    </row>
    <row r="1245" spans="1:12">
      <c r="B1245" s="283">
        <v>1010</v>
      </c>
      <c r="C1245" s="286">
        <v>305036</v>
      </c>
      <c r="D1245" s="10" t="s">
        <v>737</v>
      </c>
      <c r="I1245" s="286">
        <v>305036</v>
      </c>
      <c r="J1245" s="286" t="s">
        <v>232</v>
      </c>
      <c r="K1245" s="286">
        <v>1</v>
      </c>
      <c r="L1245" s="287" t="s">
        <v>1828</v>
      </c>
    </row>
    <row r="1246" spans="1:12">
      <c r="B1246" s="283">
        <v>1010</v>
      </c>
      <c r="C1246" s="286">
        <v>305039</v>
      </c>
      <c r="D1246" s="10" t="s">
        <v>737</v>
      </c>
      <c r="I1246" s="286">
        <v>305039</v>
      </c>
      <c r="J1246" s="286" t="s">
        <v>1829</v>
      </c>
      <c r="K1246" s="286">
        <v>1</v>
      </c>
      <c r="L1246" s="287" t="s">
        <v>1828</v>
      </c>
    </row>
    <row r="1247" spans="1:12">
      <c r="B1247" s="283">
        <v>1010</v>
      </c>
      <c r="C1247" s="286">
        <v>305040</v>
      </c>
      <c r="D1247" s="10" t="s">
        <v>737</v>
      </c>
      <c r="I1247" s="286">
        <v>305040</v>
      </c>
      <c r="J1247" s="286" t="s">
        <v>277</v>
      </c>
      <c r="K1247" s="286">
        <v>1</v>
      </c>
      <c r="L1247" s="287" t="s">
        <v>1828</v>
      </c>
    </row>
    <row r="1248" spans="1:12">
      <c r="B1248" s="283">
        <v>1010</v>
      </c>
      <c r="C1248" s="286">
        <v>305200</v>
      </c>
      <c r="D1248" s="10" t="s">
        <v>737</v>
      </c>
      <c r="I1248" s="286">
        <v>305200</v>
      </c>
      <c r="J1248" s="286" t="s">
        <v>313</v>
      </c>
      <c r="K1248" s="286">
        <v>1</v>
      </c>
      <c r="L1248" s="287" t="s">
        <v>1828</v>
      </c>
    </row>
    <row r="1249" spans="2:12">
      <c r="B1249" s="283">
        <v>1010</v>
      </c>
      <c r="C1249" s="288">
        <v>305224</v>
      </c>
      <c r="D1249" s="10" t="s">
        <v>737</v>
      </c>
      <c r="I1249" s="288">
        <v>305224</v>
      </c>
      <c r="J1249" s="10" t="s">
        <v>1890</v>
      </c>
      <c r="K1249" s="286">
        <v>1</v>
      </c>
      <c r="L1249" s="287" t="s">
        <v>1828</v>
      </c>
    </row>
    <row r="1250" spans="2:12">
      <c r="B1250" s="283">
        <v>1010</v>
      </c>
      <c r="C1250" s="288">
        <v>305225</v>
      </c>
      <c r="D1250" s="10" t="s">
        <v>737</v>
      </c>
      <c r="I1250" s="288">
        <v>305225</v>
      </c>
      <c r="J1250" s="10" t="s">
        <v>1888</v>
      </c>
      <c r="K1250" s="286">
        <v>1</v>
      </c>
      <c r="L1250" s="287" t="s">
        <v>1828</v>
      </c>
    </row>
    <row r="1251" spans="2:12">
      <c r="B1251" s="283">
        <v>1010</v>
      </c>
      <c r="C1251" s="288">
        <v>305226</v>
      </c>
      <c r="D1251" s="10" t="s">
        <v>737</v>
      </c>
      <c r="I1251" s="288">
        <v>305226</v>
      </c>
      <c r="J1251" s="10" t="s">
        <v>1891</v>
      </c>
      <c r="K1251" s="286">
        <v>1</v>
      </c>
      <c r="L1251" s="287" t="s">
        <v>1828</v>
      </c>
    </row>
    <row r="1252" spans="2:12">
      <c r="B1252" s="283">
        <v>1010</v>
      </c>
      <c r="C1252" s="289">
        <v>305010</v>
      </c>
      <c r="D1252" s="10" t="s">
        <v>737</v>
      </c>
      <c r="I1252" s="289">
        <v>305010</v>
      </c>
      <c r="J1252" s="289" t="s">
        <v>1223</v>
      </c>
      <c r="K1252" s="289">
        <v>2</v>
      </c>
      <c r="L1252" s="290" t="s">
        <v>1830</v>
      </c>
    </row>
    <row r="1253" spans="2:12">
      <c r="B1253" s="283">
        <v>1010</v>
      </c>
      <c r="C1253" s="289">
        <v>305021</v>
      </c>
      <c r="D1253" s="10" t="s">
        <v>737</v>
      </c>
      <c r="I1253" s="289">
        <v>305021</v>
      </c>
      <c r="J1253" s="289" t="s">
        <v>1270</v>
      </c>
      <c r="K1253" s="289">
        <v>2</v>
      </c>
      <c r="L1253" s="290" t="s">
        <v>1830</v>
      </c>
    </row>
    <row r="1254" spans="2:12">
      <c r="B1254" s="283">
        <v>1010</v>
      </c>
      <c r="C1254" s="289">
        <v>305022</v>
      </c>
      <c r="D1254" s="10" t="s">
        <v>737</v>
      </c>
      <c r="I1254" s="289">
        <v>305022</v>
      </c>
      <c r="J1254" s="289" t="s">
        <v>1273</v>
      </c>
      <c r="K1254" s="289">
        <v>2</v>
      </c>
      <c r="L1254" s="290" t="s">
        <v>1830</v>
      </c>
    </row>
    <row r="1255" spans="2:12">
      <c r="B1255" s="283">
        <v>1010</v>
      </c>
      <c r="C1255" s="289">
        <v>305032</v>
      </c>
      <c r="D1255" s="10" t="s">
        <v>737</v>
      </c>
      <c r="I1255" s="289">
        <v>305032</v>
      </c>
      <c r="J1255" s="289" t="s">
        <v>213</v>
      </c>
      <c r="K1255" s="289">
        <v>2</v>
      </c>
      <c r="L1255" s="290" t="s">
        <v>1830</v>
      </c>
    </row>
    <row r="1256" spans="2:12">
      <c r="B1256" s="283">
        <v>1010</v>
      </c>
      <c r="C1256" s="289">
        <v>305033</v>
      </c>
      <c r="D1256" s="10" t="s">
        <v>737</v>
      </c>
      <c r="I1256" s="289">
        <v>305033</v>
      </c>
      <c r="J1256" s="289" t="s">
        <v>217</v>
      </c>
      <c r="K1256" s="289">
        <v>2</v>
      </c>
      <c r="L1256" s="290" t="s">
        <v>1830</v>
      </c>
    </row>
    <row r="1257" spans="2:12">
      <c r="B1257" s="283">
        <v>1010</v>
      </c>
      <c r="C1257" s="289">
        <v>305037</v>
      </c>
      <c r="D1257" s="10" t="s">
        <v>737</v>
      </c>
      <c r="I1257" s="289">
        <v>305037</v>
      </c>
      <c r="J1257" s="289" t="s">
        <v>264</v>
      </c>
      <c r="K1257" s="289">
        <v>2</v>
      </c>
      <c r="L1257" s="290" t="s">
        <v>1830</v>
      </c>
    </row>
    <row r="1258" spans="2:12">
      <c r="B1258" s="283">
        <v>1010</v>
      </c>
      <c r="C1258" s="289">
        <v>305038</v>
      </c>
      <c r="D1258" s="10" t="s">
        <v>737</v>
      </c>
      <c r="I1258" s="289">
        <v>305038</v>
      </c>
      <c r="J1258" s="289" t="s">
        <v>268</v>
      </c>
      <c r="K1258" s="289">
        <v>2</v>
      </c>
      <c r="L1258" s="290" t="s">
        <v>1830</v>
      </c>
    </row>
    <row r="1259" spans="2:12">
      <c r="B1259" s="283">
        <v>1010</v>
      </c>
      <c r="C1259" s="289">
        <v>305300</v>
      </c>
      <c r="D1259" s="10" t="s">
        <v>737</v>
      </c>
      <c r="I1259" s="289">
        <v>305300</v>
      </c>
      <c r="J1259" s="289" t="s">
        <v>318</v>
      </c>
      <c r="K1259" s="289">
        <v>2</v>
      </c>
      <c r="L1259" s="290" t="s">
        <v>1830</v>
      </c>
    </row>
    <row r="1260" spans="2:12">
      <c r="B1260" s="283">
        <v>1010</v>
      </c>
      <c r="C1260" s="288">
        <v>305324</v>
      </c>
      <c r="D1260" s="10" t="s">
        <v>737</v>
      </c>
      <c r="I1260" s="288">
        <v>305324</v>
      </c>
      <c r="J1260" s="10" t="s">
        <v>1887</v>
      </c>
      <c r="K1260" s="289">
        <v>2</v>
      </c>
      <c r="L1260" s="290" t="s">
        <v>1830</v>
      </c>
    </row>
    <row r="1261" spans="2:12">
      <c r="B1261" s="283">
        <v>1010</v>
      </c>
      <c r="C1261" s="288">
        <v>305325</v>
      </c>
      <c r="D1261" s="10" t="s">
        <v>737</v>
      </c>
      <c r="I1261" s="288">
        <v>305325</v>
      </c>
      <c r="J1261" s="10" t="s">
        <v>1888</v>
      </c>
      <c r="K1261" s="289">
        <v>2</v>
      </c>
      <c r="L1261" s="290" t="s">
        <v>1830</v>
      </c>
    </row>
    <row r="1262" spans="2:12">
      <c r="B1262" s="283">
        <v>1010</v>
      </c>
      <c r="C1262" s="288">
        <v>305326</v>
      </c>
      <c r="D1262" s="10" t="s">
        <v>737</v>
      </c>
      <c r="I1262" s="288">
        <v>305326</v>
      </c>
      <c r="J1262" s="10" t="s">
        <v>1889</v>
      </c>
      <c r="K1262" s="289">
        <v>2</v>
      </c>
      <c r="L1262" s="290" t="s">
        <v>1830</v>
      </c>
    </row>
    <row r="1263" spans="2:12">
      <c r="B1263" s="283">
        <v>1010</v>
      </c>
      <c r="C1263" s="291">
        <v>305001</v>
      </c>
      <c r="D1263" s="10" t="s">
        <v>737</v>
      </c>
      <c r="I1263" s="291">
        <v>305001</v>
      </c>
      <c r="J1263" s="291" t="s">
        <v>176</v>
      </c>
      <c r="K1263" s="291">
        <v>0</v>
      </c>
      <c r="L1263" s="292" t="s">
        <v>1827</v>
      </c>
    </row>
    <row r="1264" spans="2:12">
      <c r="B1264" s="283">
        <v>1010</v>
      </c>
      <c r="C1264" s="291">
        <v>305002</v>
      </c>
      <c r="D1264" s="10" t="s">
        <v>737</v>
      </c>
      <c r="I1264" s="291">
        <v>305002</v>
      </c>
      <c r="J1264" s="291" t="s">
        <v>181</v>
      </c>
      <c r="K1264" s="291">
        <v>0</v>
      </c>
      <c r="L1264" s="292" t="s">
        <v>1827</v>
      </c>
    </row>
    <row r="1265" spans="2:22">
      <c r="B1265" s="283">
        <v>1010</v>
      </c>
      <c r="C1265" s="291">
        <v>305003</v>
      </c>
      <c r="D1265" s="10" t="s">
        <v>737</v>
      </c>
      <c r="I1265" s="291">
        <v>305003</v>
      </c>
      <c r="J1265" s="291" t="s">
        <v>186</v>
      </c>
      <c r="K1265" s="291">
        <v>0</v>
      </c>
      <c r="L1265" s="292" t="s">
        <v>1827</v>
      </c>
    </row>
    <row r="1266" spans="2:22">
      <c r="B1266" s="283">
        <v>1010</v>
      </c>
      <c r="C1266" s="291">
        <v>305018</v>
      </c>
      <c r="D1266" s="10" t="s">
        <v>737</v>
      </c>
      <c r="I1266" s="291">
        <v>305018</v>
      </c>
      <c r="J1266" s="291" t="s">
        <v>191</v>
      </c>
      <c r="K1266" s="291">
        <v>0</v>
      </c>
      <c r="L1266" s="292" t="s">
        <v>1827</v>
      </c>
    </row>
    <row r="1267" spans="2:22">
      <c r="B1267" s="283">
        <v>1010</v>
      </c>
      <c r="C1267" s="291">
        <v>305019</v>
      </c>
      <c r="D1267" s="10" t="s">
        <v>737</v>
      </c>
      <c r="I1267" s="291">
        <v>305019</v>
      </c>
      <c r="J1267" s="291" t="s">
        <v>196</v>
      </c>
      <c r="K1267" s="291">
        <v>0</v>
      </c>
      <c r="L1267" s="292" t="s">
        <v>1827</v>
      </c>
    </row>
    <row r="1268" spans="2:22">
      <c r="B1268" s="283">
        <v>1010</v>
      </c>
      <c r="C1268" s="291">
        <v>305041</v>
      </c>
      <c r="D1268" s="10" t="s">
        <v>737</v>
      </c>
      <c r="I1268" s="291">
        <v>305041</v>
      </c>
      <c r="J1268" s="291" t="s">
        <v>282</v>
      </c>
      <c r="K1268" s="291">
        <v>0</v>
      </c>
      <c r="L1268" s="292" t="s">
        <v>1827</v>
      </c>
    </row>
    <row r="1269" spans="2:22">
      <c r="B1269" s="283">
        <v>1010</v>
      </c>
      <c r="C1269" s="291">
        <v>305042</v>
      </c>
      <c r="D1269" s="10" t="s">
        <v>737</v>
      </c>
      <c r="I1269" s="291">
        <v>305042</v>
      </c>
      <c r="J1269" s="291" t="s">
        <v>287</v>
      </c>
      <c r="K1269" s="291">
        <v>0</v>
      </c>
      <c r="L1269" s="292" t="s">
        <v>1827</v>
      </c>
    </row>
    <row r="1270" spans="2:22">
      <c r="B1270" s="283">
        <v>1010</v>
      </c>
      <c r="C1270" s="291">
        <v>305600</v>
      </c>
      <c r="D1270" s="10" t="s">
        <v>737</v>
      </c>
      <c r="I1270" s="291">
        <v>305600</v>
      </c>
      <c r="J1270" s="291" t="s">
        <v>323</v>
      </c>
      <c r="K1270" s="291">
        <v>0</v>
      </c>
      <c r="L1270" s="292" t="s">
        <v>1827</v>
      </c>
    </row>
    <row r="1271" spans="2:22">
      <c r="B1271" s="283">
        <v>1010</v>
      </c>
      <c r="C1271" s="288">
        <v>305623</v>
      </c>
      <c r="D1271" s="10" t="s">
        <v>737</v>
      </c>
      <c r="I1271" s="288">
        <v>305623</v>
      </c>
      <c r="J1271" s="10" t="s">
        <v>1864</v>
      </c>
      <c r="K1271" s="291">
        <v>0</v>
      </c>
      <c r="L1271" s="292" t="s">
        <v>1827</v>
      </c>
    </row>
    <row r="1272" spans="2:22">
      <c r="B1272" s="283">
        <v>1010</v>
      </c>
      <c r="C1272" s="288">
        <v>305624</v>
      </c>
      <c r="D1272" s="10" t="s">
        <v>737</v>
      </c>
      <c r="I1272" s="288">
        <v>305624</v>
      </c>
      <c r="J1272" s="10" t="s">
        <v>1865</v>
      </c>
      <c r="K1272" s="291">
        <v>0</v>
      </c>
      <c r="L1272" s="292" t="s">
        <v>1827</v>
      </c>
    </row>
    <row r="1273" spans="2:22">
      <c r="B1273" s="283">
        <v>1010</v>
      </c>
      <c r="C1273" s="288">
        <v>305625</v>
      </c>
      <c r="D1273" s="10" t="s">
        <v>737</v>
      </c>
      <c r="I1273" s="288">
        <v>305625</v>
      </c>
      <c r="J1273" s="10" t="s">
        <v>1866</v>
      </c>
      <c r="K1273" s="291">
        <v>0</v>
      </c>
      <c r="L1273" s="292" t="s">
        <v>1827</v>
      </c>
    </row>
    <row r="1274" spans="2:22">
      <c r="B1274" s="283">
        <v>1010</v>
      </c>
      <c r="C1274" s="288">
        <v>305626</v>
      </c>
      <c r="D1274" s="10" t="s">
        <v>737</v>
      </c>
      <c r="I1274" s="288">
        <v>305626</v>
      </c>
      <c r="J1274" s="10" t="s">
        <v>1867</v>
      </c>
      <c r="K1274" s="291">
        <v>0</v>
      </c>
      <c r="L1274" s="292" t="s">
        <v>1827</v>
      </c>
    </row>
    <row r="1275" spans="2:22">
      <c r="B1275" s="283">
        <v>1010</v>
      </c>
      <c r="C1275" s="293">
        <v>305012</v>
      </c>
      <c r="D1275" s="10" t="s">
        <v>737</v>
      </c>
      <c r="I1275" s="293">
        <v>305012</v>
      </c>
      <c r="J1275" s="293" t="s">
        <v>1230</v>
      </c>
      <c r="K1275" s="293">
        <v>6</v>
      </c>
      <c r="L1275" s="294" t="s">
        <v>1833</v>
      </c>
    </row>
    <row r="1276" spans="2:22">
      <c r="B1276" s="283">
        <v>1010</v>
      </c>
      <c r="C1276" s="293">
        <v>305013</v>
      </c>
      <c r="D1276" s="10" t="s">
        <v>737</v>
      </c>
      <c r="I1276" s="293">
        <v>305013</v>
      </c>
      <c r="J1276" s="293" t="s">
        <v>1237</v>
      </c>
      <c r="K1276" s="293">
        <v>6</v>
      </c>
      <c r="L1276" s="294" t="s">
        <v>1833</v>
      </c>
    </row>
    <row r="1277" spans="2:22">
      <c r="B1277" s="283">
        <v>1010</v>
      </c>
      <c r="C1277" s="293">
        <v>305014</v>
      </c>
      <c r="D1277" s="10" t="s">
        <v>737</v>
      </c>
      <c r="I1277" s="293">
        <v>305014</v>
      </c>
      <c r="J1277" s="293" t="s">
        <v>1241</v>
      </c>
      <c r="K1277" s="293">
        <v>6</v>
      </c>
      <c r="L1277" s="294" t="s">
        <v>1833</v>
      </c>
    </row>
    <row r="1278" spans="2:22" s="285" customFormat="1">
      <c r="B1278" s="283">
        <v>1010</v>
      </c>
      <c r="C1278" s="293">
        <v>305046</v>
      </c>
      <c r="D1278" s="285" t="s">
        <v>737</v>
      </c>
      <c r="G1278" s="10"/>
      <c r="H1278" s="10"/>
      <c r="I1278" s="293">
        <v>305046</v>
      </c>
      <c r="J1278" s="293" t="s">
        <v>309</v>
      </c>
      <c r="K1278" s="293">
        <v>6</v>
      </c>
      <c r="L1278" s="294" t="s">
        <v>1833</v>
      </c>
      <c r="M1278" s="10"/>
      <c r="R1278" s="10"/>
      <c r="S1278" s="10"/>
      <c r="T1278" s="10"/>
      <c r="U1278" s="10"/>
      <c r="V1278" s="10"/>
    </row>
    <row r="1279" spans="2:22">
      <c r="B1279" s="283">
        <v>1010</v>
      </c>
      <c r="C1279" s="288">
        <v>305815</v>
      </c>
      <c r="D1279" s="10" t="s">
        <v>737</v>
      </c>
      <c r="I1279" s="288">
        <v>305815</v>
      </c>
      <c r="J1279" s="10" t="s">
        <v>1868</v>
      </c>
      <c r="K1279" s="293">
        <v>6</v>
      </c>
      <c r="L1279" s="294" t="s">
        <v>1833</v>
      </c>
    </row>
    <row r="1280" spans="2:22">
      <c r="B1280" s="283">
        <v>1010</v>
      </c>
      <c r="C1280" s="288">
        <v>305816</v>
      </c>
      <c r="D1280" s="10" t="s">
        <v>737</v>
      </c>
      <c r="I1280" s="288">
        <v>305816</v>
      </c>
      <c r="J1280" s="10" t="s">
        <v>1869</v>
      </c>
      <c r="K1280" s="293">
        <v>6</v>
      </c>
      <c r="L1280" s="294" t="s">
        <v>1833</v>
      </c>
    </row>
    <row r="1281" spans="2:22">
      <c r="B1281" s="283">
        <v>1010</v>
      </c>
      <c r="C1281" s="288">
        <v>305817</v>
      </c>
      <c r="D1281" s="10" t="s">
        <v>737</v>
      </c>
      <c r="I1281" s="288">
        <v>305817</v>
      </c>
      <c r="J1281" s="10" t="s">
        <v>1870</v>
      </c>
      <c r="K1281" s="293">
        <v>6</v>
      </c>
      <c r="L1281" s="294" t="s">
        <v>1833</v>
      </c>
    </row>
    <row r="1282" spans="2:22" s="285" customFormat="1">
      <c r="B1282" s="283">
        <v>1010</v>
      </c>
      <c r="C1282" s="288">
        <v>305818</v>
      </c>
      <c r="D1282" s="285" t="s">
        <v>737</v>
      </c>
      <c r="G1282" s="10"/>
      <c r="H1282" s="10"/>
      <c r="I1282" s="288">
        <v>305818</v>
      </c>
      <c r="J1282" s="10" t="s">
        <v>1871</v>
      </c>
      <c r="K1282" s="293">
        <v>6</v>
      </c>
      <c r="L1282" s="294" t="s">
        <v>1833</v>
      </c>
      <c r="M1282" s="10"/>
      <c r="R1282" s="10"/>
      <c r="S1282" s="10"/>
      <c r="T1282" s="10"/>
      <c r="U1282" s="10"/>
      <c r="V1282" s="10"/>
    </row>
    <row r="1283" spans="2:22">
      <c r="B1283" s="283">
        <v>1010</v>
      </c>
      <c r="C1283" s="288">
        <v>305819</v>
      </c>
      <c r="D1283" s="10" t="s">
        <v>737</v>
      </c>
      <c r="I1283" s="288">
        <v>305819</v>
      </c>
      <c r="J1283" s="10" t="s">
        <v>1872</v>
      </c>
      <c r="K1283" s="293">
        <v>6</v>
      </c>
      <c r="L1283" s="294" t="s">
        <v>1833</v>
      </c>
    </row>
    <row r="1284" spans="2:22" s="285" customFormat="1">
      <c r="B1284" s="283">
        <v>1010</v>
      </c>
      <c r="C1284" s="288">
        <v>305820</v>
      </c>
      <c r="D1284" s="285" t="s">
        <v>737</v>
      </c>
      <c r="G1284" s="10"/>
      <c r="H1284" s="10"/>
      <c r="I1284" s="288">
        <v>305820</v>
      </c>
      <c r="J1284" s="10" t="s">
        <v>1873</v>
      </c>
      <c r="K1284" s="293">
        <v>6</v>
      </c>
      <c r="L1284" s="294" t="s">
        <v>1833</v>
      </c>
      <c r="M1284" s="10"/>
      <c r="R1284" s="10"/>
      <c r="S1284" s="10"/>
      <c r="T1284" s="10"/>
      <c r="U1284" s="10"/>
      <c r="V1284" s="10"/>
    </row>
    <row r="1285" spans="2:22">
      <c r="B1285" s="283">
        <v>1010</v>
      </c>
      <c r="C1285" s="295">
        <v>305015</v>
      </c>
      <c r="D1285" s="10" t="s">
        <v>737</v>
      </c>
      <c r="I1285" s="295">
        <v>305015</v>
      </c>
      <c r="J1285" s="295" t="s">
        <v>1245</v>
      </c>
      <c r="K1285" s="295">
        <v>7</v>
      </c>
      <c r="L1285" s="296" t="s">
        <v>538</v>
      </c>
    </row>
    <row r="1286" spans="2:22">
      <c r="B1286" s="283">
        <v>1010</v>
      </c>
      <c r="C1286" s="295">
        <v>305016</v>
      </c>
      <c r="D1286" s="10" t="s">
        <v>737</v>
      </c>
      <c r="I1286" s="295">
        <v>305016</v>
      </c>
      <c r="J1286" s="295" t="s">
        <v>1251</v>
      </c>
      <c r="K1286" s="295">
        <v>7</v>
      </c>
      <c r="L1286" s="296" t="s">
        <v>538</v>
      </c>
    </row>
    <row r="1287" spans="2:22">
      <c r="B1287" s="283">
        <v>1010</v>
      </c>
      <c r="C1287" s="295">
        <v>305017</v>
      </c>
      <c r="D1287" s="10" t="s">
        <v>737</v>
      </c>
      <c r="I1287" s="295">
        <v>305017</v>
      </c>
      <c r="J1287" s="295" t="s">
        <v>1255</v>
      </c>
      <c r="K1287" s="295">
        <v>7</v>
      </c>
      <c r="L1287" s="296" t="s">
        <v>538</v>
      </c>
    </row>
    <row r="1288" spans="2:22">
      <c r="B1288" s="283">
        <v>1010</v>
      </c>
      <c r="C1288" s="295">
        <v>305700</v>
      </c>
      <c r="D1288" s="10" t="s">
        <v>737</v>
      </c>
      <c r="I1288" s="295">
        <v>305700</v>
      </c>
      <c r="J1288" s="295" t="s">
        <v>328</v>
      </c>
      <c r="K1288" s="295">
        <v>7</v>
      </c>
      <c r="L1288" s="296" t="s">
        <v>538</v>
      </c>
    </row>
    <row r="1289" spans="2:22">
      <c r="B1289" s="283">
        <v>1010</v>
      </c>
      <c r="C1289" s="288">
        <v>305719</v>
      </c>
      <c r="D1289" s="10" t="s">
        <v>737</v>
      </c>
      <c r="I1289" s="288">
        <v>305719</v>
      </c>
      <c r="J1289" s="10" t="s">
        <v>1874</v>
      </c>
      <c r="K1289" s="295">
        <v>7</v>
      </c>
      <c r="L1289" s="296" t="s">
        <v>538</v>
      </c>
    </row>
    <row r="1290" spans="2:22">
      <c r="B1290" s="283">
        <v>1010</v>
      </c>
      <c r="C1290" s="288">
        <v>305720</v>
      </c>
      <c r="D1290" s="10" t="s">
        <v>737</v>
      </c>
      <c r="I1290" s="288">
        <v>305720</v>
      </c>
      <c r="J1290" s="10" t="s">
        <v>1875</v>
      </c>
      <c r="K1290" s="295">
        <v>7</v>
      </c>
      <c r="L1290" s="296" t="s">
        <v>538</v>
      </c>
    </row>
    <row r="1291" spans="2:22">
      <c r="B1291" s="283">
        <v>1010</v>
      </c>
      <c r="C1291" s="288">
        <v>305721</v>
      </c>
      <c r="D1291" s="10" t="s">
        <v>737</v>
      </c>
      <c r="I1291" s="288">
        <v>305721</v>
      </c>
      <c r="J1291" s="10" t="s">
        <v>1876</v>
      </c>
      <c r="K1291" s="295">
        <v>7</v>
      </c>
      <c r="L1291" s="296" t="s">
        <v>538</v>
      </c>
    </row>
    <row r="1292" spans="2:22">
      <c r="B1292" s="283">
        <v>1010</v>
      </c>
      <c r="C1292" s="288">
        <v>305722</v>
      </c>
      <c r="D1292" s="10" t="s">
        <v>737</v>
      </c>
      <c r="I1292" s="288">
        <v>305722</v>
      </c>
      <c r="J1292" s="10" t="s">
        <v>1877</v>
      </c>
      <c r="K1292" s="295">
        <v>7</v>
      </c>
      <c r="L1292" s="296" t="s">
        <v>538</v>
      </c>
    </row>
    <row r="1293" spans="2:22">
      <c r="B1293" s="283">
        <v>1010</v>
      </c>
      <c r="C1293" s="288">
        <v>305723</v>
      </c>
      <c r="D1293" s="10" t="s">
        <v>737</v>
      </c>
      <c r="I1293" s="288">
        <v>305723</v>
      </c>
      <c r="J1293" s="10" t="s">
        <v>1878</v>
      </c>
      <c r="K1293" s="295">
        <v>7</v>
      </c>
      <c r="L1293" s="296" t="s">
        <v>538</v>
      </c>
    </row>
    <row r="1294" spans="2:22">
      <c r="B1294" s="283">
        <v>1010</v>
      </c>
      <c r="C1294" s="288">
        <v>305724</v>
      </c>
      <c r="D1294" s="10" t="s">
        <v>737</v>
      </c>
      <c r="I1294" s="288">
        <v>305724</v>
      </c>
      <c r="J1294" s="10" t="s">
        <v>1879</v>
      </c>
      <c r="K1294" s="295">
        <v>7</v>
      </c>
      <c r="L1294" s="296" t="s">
        <v>538</v>
      </c>
    </row>
    <row r="1295" spans="2:22">
      <c r="B1295" s="283">
        <v>1010</v>
      </c>
      <c r="C1295" s="297">
        <v>305011</v>
      </c>
      <c r="D1295" s="10" t="s">
        <v>737</v>
      </c>
      <c r="I1295" s="297">
        <v>305011</v>
      </c>
      <c r="J1295" s="297" t="s">
        <v>161</v>
      </c>
      <c r="K1295" s="297">
        <v>3</v>
      </c>
      <c r="L1295" s="298" t="s">
        <v>1831</v>
      </c>
    </row>
    <row r="1296" spans="2:22">
      <c r="B1296" s="283">
        <v>1010</v>
      </c>
      <c r="C1296" s="299">
        <v>305025</v>
      </c>
      <c r="D1296" s="10" t="s">
        <v>737</v>
      </c>
      <c r="I1296" s="299">
        <v>305025</v>
      </c>
      <c r="J1296" s="299" t="s">
        <v>200</v>
      </c>
      <c r="K1296" s="299">
        <v>4</v>
      </c>
      <c r="L1296" s="300" t="s">
        <v>1832</v>
      </c>
    </row>
    <row r="1297" spans="1:22" s="285" customFormat="1">
      <c r="A1297" s="10"/>
      <c r="B1297" s="283">
        <v>1010</v>
      </c>
      <c r="C1297" s="299">
        <v>305026</v>
      </c>
      <c r="D1297" s="10" t="s">
        <v>737</v>
      </c>
      <c r="E1297" s="10"/>
      <c r="F1297" s="10"/>
      <c r="G1297" s="10"/>
      <c r="H1297" s="10"/>
      <c r="I1297" s="299">
        <v>305026</v>
      </c>
      <c r="J1297" s="299" t="s">
        <v>204</v>
      </c>
      <c r="K1297" s="299">
        <v>4</v>
      </c>
      <c r="L1297" s="300" t="s">
        <v>1832</v>
      </c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</row>
    <row r="1298" spans="1:22" s="285" customFormat="1">
      <c r="A1298" s="10"/>
      <c r="B1298" s="283">
        <v>1010</v>
      </c>
      <c r="C1298" s="299">
        <v>305050</v>
      </c>
      <c r="D1298" s="10" t="s">
        <v>737</v>
      </c>
      <c r="E1298" s="10"/>
      <c r="F1298" s="10"/>
      <c r="G1298" s="10"/>
      <c r="H1298" s="10"/>
      <c r="I1298" s="299">
        <v>305050</v>
      </c>
      <c r="J1298" s="299" t="s">
        <v>300</v>
      </c>
      <c r="K1298" s="299">
        <v>4</v>
      </c>
      <c r="L1298" s="300" t="s">
        <v>1832</v>
      </c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</row>
    <row r="1299" spans="1:22" s="285" customFormat="1">
      <c r="A1299" s="10"/>
      <c r="B1299" s="283">
        <v>1010</v>
      </c>
      <c r="C1299" s="299">
        <v>305051</v>
      </c>
      <c r="D1299" s="10" t="s">
        <v>737</v>
      </c>
      <c r="E1299" s="10"/>
      <c r="F1299" s="10"/>
      <c r="G1299" s="10"/>
      <c r="H1299" s="10"/>
      <c r="I1299" s="299">
        <v>305051</v>
      </c>
      <c r="J1299" s="299" t="s">
        <v>340</v>
      </c>
      <c r="K1299" s="299">
        <v>4</v>
      </c>
      <c r="L1299" s="300" t="s">
        <v>1832</v>
      </c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</row>
    <row r="1300" spans="1:22">
      <c r="B1300" s="283">
        <v>1010</v>
      </c>
      <c r="C1300" s="288">
        <v>305055</v>
      </c>
      <c r="D1300" s="10" t="s">
        <v>737</v>
      </c>
      <c r="I1300" s="288">
        <v>305055</v>
      </c>
      <c r="J1300" s="10" t="s">
        <v>1880</v>
      </c>
      <c r="K1300" s="299">
        <v>4</v>
      </c>
      <c r="L1300" s="300" t="s">
        <v>1832</v>
      </c>
    </row>
    <row r="1301" spans="1:22" s="285" customFormat="1">
      <c r="A1301" s="10"/>
      <c r="B1301" s="283">
        <v>1010</v>
      </c>
      <c r="C1301" s="288">
        <v>305056</v>
      </c>
      <c r="D1301" s="10" t="s">
        <v>737</v>
      </c>
      <c r="E1301" s="10"/>
      <c r="F1301" s="10"/>
      <c r="G1301" s="10"/>
      <c r="H1301" s="10"/>
      <c r="I1301" s="288">
        <v>305056</v>
      </c>
      <c r="J1301" s="10" t="s">
        <v>1881</v>
      </c>
      <c r="K1301" s="299">
        <v>4</v>
      </c>
      <c r="L1301" s="300" t="s">
        <v>1832</v>
      </c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</row>
    <row r="1302" spans="1:22" s="285" customFormat="1">
      <c r="A1302" s="10"/>
      <c r="B1302" s="283">
        <v>1010</v>
      </c>
      <c r="C1302" s="288">
        <v>306104</v>
      </c>
      <c r="D1302" s="10" t="s">
        <v>737</v>
      </c>
      <c r="E1302" s="10"/>
      <c r="F1302" s="10"/>
      <c r="G1302" s="10"/>
      <c r="H1302" s="10"/>
      <c r="I1302" s="288">
        <v>306104</v>
      </c>
      <c r="J1302" s="10" t="s">
        <v>1882</v>
      </c>
      <c r="K1302" s="299">
        <v>4</v>
      </c>
      <c r="L1302" s="300" t="s">
        <v>1886</v>
      </c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</row>
    <row r="1303" spans="1:22" s="285" customFormat="1">
      <c r="A1303" s="10"/>
      <c r="B1303" s="283">
        <v>1010</v>
      </c>
      <c r="C1303" s="288">
        <v>306105</v>
      </c>
      <c r="D1303" s="10" t="s">
        <v>737</v>
      </c>
      <c r="E1303" s="10"/>
      <c r="F1303" s="10"/>
      <c r="G1303" s="10"/>
      <c r="H1303" s="10"/>
      <c r="I1303" s="288">
        <v>306105</v>
      </c>
      <c r="J1303" s="10" t="s">
        <v>1883</v>
      </c>
      <c r="K1303" s="299">
        <v>4</v>
      </c>
      <c r="L1303" s="300" t="s">
        <v>1886</v>
      </c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</row>
    <row r="1304" spans="1:22" s="285" customFormat="1">
      <c r="A1304" s="10"/>
      <c r="B1304" s="283">
        <v>1010</v>
      </c>
      <c r="C1304" s="288">
        <v>306106</v>
      </c>
      <c r="D1304" s="10" t="s">
        <v>737</v>
      </c>
      <c r="E1304" s="10"/>
      <c r="F1304" s="10"/>
      <c r="G1304" s="10"/>
      <c r="H1304" s="10"/>
      <c r="I1304" s="288">
        <v>306106</v>
      </c>
      <c r="J1304" s="10" t="s">
        <v>1884</v>
      </c>
      <c r="K1304" s="299">
        <v>4</v>
      </c>
      <c r="L1304" s="300" t="s">
        <v>1886</v>
      </c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</row>
    <row r="1305" spans="1:22" s="285" customFormat="1">
      <c r="A1305" s="10"/>
      <c r="B1305" s="283">
        <v>1010</v>
      </c>
      <c r="C1305" s="288">
        <v>306107</v>
      </c>
      <c r="D1305" s="10" t="s">
        <v>737</v>
      </c>
      <c r="E1305" s="10"/>
      <c r="F1305" s="10"/>
      <c r="G1305" s="10"/>
      <c r="H1305" s="10"/>
      <c r="I1305" s="288">
        <v>306107</v>
      </c>
      <c r="J1305" s="10" t="s">
        <v>1885</v>
      </c>
      <c r="K1305" s="299">
        <v>4</v>
      </c>
      <c r="L1305" s="300" t="s">
        <v>1886</v>
      </c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</row>
    <row r="1306" spans="1:22" ht="13.5" customHeight="1">
      <c r="B1306" s="306">
        <v>1010</v>
      </c>
      <c r="C1306" s="282">
        <v>303012</v>
      </c>
      <c r="D1306" s="301" t="s">
        <v>38</v>
      </c>
    </row>
    <row r="1307" spans="1:22" ht="13.5" customHeight="1">
      <c r="B1307" s="306">
        <v>1010</v>
      </c>
      <c r="C1307" s="282">
        <v>303013</v>
      </c>
      <c r="D1307" s="301" t="s">
        <v>38</v>
      </c>
    </row>
    <row r="1308" spans="1:22" s="303" customFormat="1">
      <c r="A1308" s="10"/>
      <c r="B1308" s="306">
        <v>1010</v>
      </c>
      <c r="C1308" s="282">
        <v>303022</v>
      </c>
      <c r="D1308" s="301" t="s">
        <v>38</v>
      </c>
      <c r="E1308" s="10"/>
      <c r="G1308" s="10"/>
    </row>
    <row r="1309" spans="1:22" s="303" customFormat="1">
      <c r="A1309" s="10"/>
      <c r="B1309" s="306">
        <v>1010</v>
      </c>
      <c r="C1309" s="282">
        <v>303023</v>
      </c>
      <c r="D1309" s="301" t="s">
        <v>38</v>
      </c>
      <c r="E1309" s="10"/>
      <c r="G1309" s="10"/>
    </row>
    <row r="1310" spans="1:22" s="303" customFormat="1">
      <c r="A1310" s="10"/>
      <c r="B1310" s="306">
        <v>1010</v>
      </c>
      <c r="C1310" s="282">
        <v>303032</v>
      </c>
      <c r="D1310" s="301" t="s">
        <v>38</v>
      </c>
      <c r="E1310" s="10"/>
      <c r="G1310" s="10"/>
    </row>
    <row r="1311" spans="1:22">
      <c r="B1311" s="306">
        <v>1010</v>
      </c>
      <c r="C1311" s="282">
        <v>303033</v>
      </c>
      <c r="D1311" s="301" t="s">
        <v>38</v>
      </c>
    </row>
    <row r="1312" spans="1:22">
      <c r="B1312" s="306">
        <v>1010</v>
      </c>
      <c r="C1312" s="282">
        <v>303042</v>
      </c>
      <c r="D1312" s="301" t="s">
        <v>38</v>
      </c>
    </row>
    <row r="1313" spans="2:4">
      <c r="B1313" s="306">
        <v>1010</v>
      </c>
      <c r="C1313" s="282">
        <v>303043</v>
      </c>
      <c r="D1313" s="301" t="s">
        <v>38</v>
      </c>
    </row>
    <row r="1314" spans="2:4">
      <c r="B1314" s="306">
        <v>1010</v>
      </c>
      <c r="C1314" s="282">
        <v>303052</v>
      </c>
      <c r="D1314" s="301" t="s">
        <v>38</v>
      </c>
    </row>
    <row r="1315" spans="2:4">
      <c r="B1315" s="306">
        <v>1010</v>
      </c>
      <c r="C1315" s="282">
        <v>303053</v>
      </c>
      <c r="D1315" s="301" t="s">
        <v>38</v>
      </c>
    </row>
    <row r="1316" spans="2:4">
      <c r="B1316" s="306">
        <v>1010</v>
      </c>
      <c r="C1316" s="282">
        <v>303062</v>
      </c>
      <c r="D1316" s="301" t="s">
        <v>38</v>
      </c>
    </row>
    <row r="1317" spans="2:4">
      <c r="B1317" s="306">
        <v>1010</v>
      </c>
      <c r="C1317" s="282">
        <v>303063</v>
      </c>
      <c r="D1317" s="301" t="s">
        <v>38</v>
      </c>
    </row>
    <row r="1318" spans="2:4">
      <c r="B1318" s="306">
        <v>1010</v>
      </c>
      <c r="C1318" s="282">
        <v>303072</v>
      </c>
      <c r="D1318" s="301" t="s">
        <v>38</v>
      </c>
    </row>
    <row r="1319" spans="2:4">
      <c r="B1319" s="306">
        <v>1010</v>
      </c>
      <c r="C1319" s="282">
        <v>303073</v>
      </c>
      <c r="D1319" s="301" t="s">
        <v>38</v>
      </c>
    </row>
    <row r="1320" spans="2:4">
      <c r="B1320" s="306">
        <v>1010</v>
      </c>
      <c r="C1320" s="282">
        <v>303082</v>
      </c>
      <c r="D1320" s="301" t="s">
        <v>38</v>
      </c>
    </row>
    <row r="1321" spans="2:4">
      <c r="B1321" s="306">
        <v>1010</v>
      </c>
      <c r="C1321" s="282">
        <v>303083</v>
      </c>
      <c r="D1321" s="301" t="s">
        <v>38</v>
      </c>
    </row>
    <row r="1322" spans="2:4">
      <c r="B1322" s="10">
        <v>1011</v>
      </c>
      <c r="C1322" s="43">
        <v>200011</v>
      </c>
      <c r="D1322" s="10" t="s">
        <v>736</v>
      </c>
    </row>
    <row r="1323" spans="2:4">
      <c r="B1323" s="10">
        <v>1011</v>
      </c>
      <c r="C1323" s="43">
        <v>200012</v>
      </c>
      <c r="D1323" s="10" t="s">
        <v>736</v>
      </c>
    </row>
    <row r="1324" spans="2:4">
      <c r="B1324" s="10">
        <v>1011</v>
      </c>
      <c r="C1324" s="43">
        <v>200013</v>
      </c>
      <c r="D1324" s="10" t="s">
        <v>736</v>
      </c>
    </row>
    <row r="1325" spans="2:4">
      <c r="B1325" s="10">
        <v>1011</v>
      </c>
      <c r="C1325" s="43">
        <v>200014</v>
      </c>
      <c r="D1325" s="10" t="s">
        <v>736</v>
      </c>
    </row>
    <row r="1326" spans="2:4">
      <c r="B1326" s="10">
        <v>1011</v>
      </c>
      <c r="C1326" s="43">
        <v>200022</v>
      </c>
      <c r="D1326" s="10" t="s">
        <v>736</v>
      </c>
    </row>
    <row r="1327" spans="2:4">
      <c r="B1327" s="10">
        <v>1011</v>
      </c>
      <c r="C1327" s="43">
        <v>200023</v>
      </c>
      <c r="D1327" s="10" t="s">
        <v>736</v>
      </c>
    </row>
    <row r="1328" spans="2:4">
      <c r="B1328" s="10">
        <v>1011</v>
      </c>
      <c r="C1328" s="43">
        <v>200025</v>
      </c>
      <c r="D1328" s="10" t="s">
        <v>736</v>
      </c>
    </row>
    <row r="1329" spans="1:8">
      <c r="B1329" s="10">
        <v>1011</v>
      </c>
      <c r="C1329" s="43">
        <v>200027</v>
      </c>
      <c r="D1329" s="10" t="s">
        <v>736</v>
      </c>
    </row>
    <row r="1330" spans="1:8">
      <c r="B1330" s="10">
        <v>1011</v>
      </c>
      <c r="C1330" s="43">
        <v>200030</v>
      </c>
      <c r="D1330" s="10" t="s">
        <v>736</v>
      </c>
    </row>
    <row r="1331" spans="1:8">
      <c r="B1331" s="10">
        <v>1011</v>
      </c>
      <c r="C1331" s="43">
        <v>200031</v>
      </c>
      <c r="D1331" s="10" t="s">
        <v>736</v>
      </c>
    </row>
    <row r="1332" spans="1:8">
      <c r="B1332" s="10">
        <v>1011</v>
      </c>
      <c r="C1332" s="43">
        <v>200039</v>
      </c>
      <c r="D1332" s="10" t="s">
        <v>736</v>
      </c>
    </row>
    <row r="1333" spans="1:8">
      <c r="B1333" s="10">
        <v>1011</v>
      </c>
      <c r="C1333" s="43">
        <v>200045</v>
      </c>
      <c r="D1333" s="10" t="s">
        <v>736</v>
      </c>
      <c r="H1333" s="43"/>
    </row>
    <row r="1334" spans="1:8">
      <c r="B1334" s="10">
        <v>1011</v>
      </c>
      <c r="C1334" s="43">
        <v>200047</v>
      </c>
      <c r="D1334" s="10" t="s">
        <v>736</v>
      </c>
      <c r="H1334" s="43"/>
    </row>
    <row r="1335" spans="1:8">
      <c r="B1335" s="10">
        <v>1011</v>
      </c>
      <c r="C1335" s="43">
        <v>200049</v>
      </c>
      <c r="D1335" s="10" t="s">
        <v>736</v>
      </c>
      <c r="H1335" s="43"/>
    </row>
    <row r="1336" spans="1:8">
      <c r="B1336" s="10">
        <v>1011</v>
      </c>
      <c r="C1336" s="43">
        <v>200054</v>
      </c>
      <c r="D1336" s="10" t="s">
        <v>736</v>
      </c>
      <c r="H1336" s="43"/>
    </row>
    <row r="1337" spans="1:8">
      <c r="B1337" s="10">
        <v>1011</v>
      </c>
      <c r="C1337" s="43">
        <v>200060</v>
      </c>
      <c r="D1337" s="10" t="s">
        <v>736</v>
      </c>
      <c r="H1337" s="43"/>
    </row>
    <row r="1338" spans="1:8" ht="13.5" customHeight="1" thickBot="1">
      <c r="B1338" s="10">
        <v>1011</v>
      </c>
      <c r="C1338" s="43">
        <v>200075</v>
      </c>
      <c r="D1338" s="10" t="s">
        <v>736</v>
      </c>
    </row>
    <row r="1339" spans="1:8" ht="13.5" customHeight="1" thickBot="1">
      <c r="A1339" s="307" t="s">
        <v>2038</v>
      </c>
      <c r="B1339" s="10">
        <v>1011</v>
      </c>
      <c r="C1339" s="43">
        <v>200078</v>
      </c>
      <c r="D1339" s="270" t="s">
        <v>1842</v>
      </c>
    </row>
    <row r="1340" spans="1:8" ht="13.5" customHeight="1" thickBot="1">
      <c r="A1340" s="307" t="s">
        <v>2036</v>
      </c>
      <c r="B1340" s="10">
        <v>1011</v>
      </c>
      <c r="C1340" s="10">
        <v>200090</v>
      </c>
      <c r="D1340" s="270" t="s">
        <v>1842</v>
      </c>
    </row>
    <row r="1341" spans="1:8" ht="13.5" customHeight="1" thickBot="1">
      <c r="A1341" s="307" t="s">
        <v>2034</v>
      </c>
      <c r="B1341" s="10">
        <v>1011</v>
      </c>
      <c r="C1341" s="10">
        <v>200085</v>
      </c>
      <c r="D1341" s="270" t="s">
        <v>1842</v>
      </c>
    </row>
    <row r="1342" spans="1:8" ht="13.5" customHeight="1" thickBot="1">
      <c r="A1342" s="307" t="s">
        <v>2032</v>
      </c>
      <c r="B1342" s="10">
        <v>1011</v>
      </c>
      <c r="C1342" s="43">
        <v>200092</v>
      </c>
      <c r="D1342" s="270" t="s">
        <v>1842</v>
      </c>
    </row>
    <row r="1343" spans="1:8" ht="13.5" customHeight="1">
      <c r="A1343" s="270" t="s">
        <v>2042</v>
      </c>
      <c r="B1343" s="10">
        <v>1011</v>
      </c>
      <c r="C1343" s="43">
        <v>200096</v>
      </c>
      <c r="D1343" s="270" t="s">
        <v>1842</v>
      </c>
    </row>
    <row r="1344" spans="1:8" ht="13.5" customHeight="1">
      <c r="A1344" s="315" t="s">
        <v>2094</v>
      </c>
      <c r="B1344" s="10">
        <v>1011</v>
      </c>
      <c r="C1344" s="315">
        <v>200097</v>
      </c>
      <c r="D1344" s="315" t="s">
        <v>736</v>
      </c>
    </row>
    <row r="1345" spans="2:12">
      <c r="B1345" s="301">
        <v>1011</v>
      </c>
      <c r="C1345" s="127">
        <v>30530010</v>
      </c>
      <c r="D1345" s="303" t="s">
        <v>737</v>
      </c>
      <c r="E1345" s="10">
        <v>250831</v>
      </c>
    </row>
    <row r="1346" spans="2:12">
      <c r="B1346" s="301">
        <v>1011</v>
      </c>
      <c r="C1346" s="127">
        <v>30520010</v>
      </c>
      <c r="D1346" s="303" t="s">
        <v>737</v>
      </c>
      <c r="E1346" s="10">
        <v>250831</v>
      </c>
    </row>
    <row r="1347" spans="2:12">
      <c r="B1347" s="301">
        <v>1011</v>
      </c>
      <c r="C1347" s="127">
        <v>30580020</v>
      </c>
      <c r="D1347" s="303" t="s">
        <v>737</v>
      </c>
      <c r="E1347" s="10">
        <v>250831</v>
      </c>
    </row>
    <row r="1348" spans="2:12">
      <c r="B1348" s="301">
        <v>1011</v>
      </c>
      <c r="C1348" s="127">
        <v>30570012</v>
      </c>
      <c r="D1348" s="303" t="s">
        <v>737</v>
      </c>
      <c r="E1348" s="10">
        <v>250831</v>
      </c>
    </row>
    <row r="1349" spans="2:12">
      <c r="B1349" s="301">
        <v>1011</v>
      </c>
      <c r="C1349" s="127">
        <v>30560009</v>
      </c>
      <c r="D1349" s="303" t="s">
        <v>737</v>
      </c>
      <c r="E1349" s="10">
        <v>250831</v>
      </c>
    </row>
    <row r="1350" spans="2:12">
      <c r="B1350" s="283">
        <v>1011</v>
      </c>
      <c r="C1350" s="286">
        <v>305007</v>
      </c>
      <c r="D1350" s="10" t="s">
        <v>737</v>
      </c>
      <c r="I1350" s="286">
        <v>305007</v>
      </c>
      <c r="J1350" s="286" t="s">
        <v>1213</v>
      </c>
      <c r="K1350" s="286">
        <v>1</v>
      </c>
      <c r="L1350" s="287" t="s">
        <v>1828</v>
      </c>
    </row>
    <row r="1351" spans="2:12">
      <c r="B1351" s="283">
        <v>1011</v>
      </c>
      <c r="C1351" s="286">
        <v>305008</v>
      </c>
      <c r="D1351" s="10" t="s">
        <v>737</v>
      </c>
      <c r="I1351" s="286">
        <v>305008</v>
      </c>
      <c r="J1351" s="286" t="s">
        <v>1217</v>
      </c>
      <c r="K1351" s="286">
        <v>1</v>
      </c>
      <c r="L1351" s="287" t="s">
        <v>1828</v>
      </c>
    </row>
    <row r="1352" spans="2:12">
      <c r="B1352" s="283">
        <v>1011</v>
      </c>
      <c r="C1352" s="286">
        <v>305009</v>
      </c>
      <c r="D1352" s="10" t="s">
        <v>737</v>
      </c>
      <c r="I1352" s="286">
        <v>305009</v>
      </c>
      <c r="J1352" s="286" t="s">
        <v>1220</v>
      </c>
      <c r="K1352" s="286">
        <v>1</v>
      </c>
      <c r="L1352" s="287" t="s">
        <v>1828</v>
      </c>
    </row>
    <row r="1353" spans="2:12">
      <c r="B1353" s="283">
        <v>1011</v>
      </c>
      <c r="C1353" s="286">
        <v>305023</v>
      </c>
      <c r="D1353" s="10" t="s">
        <v>737</v>
      </c>
      <c r="I1353" s="286">
        <v>305023</v>
      </c>
      <c r="J1353" s="286" t="s">
        <v>1277</v>
      </c>
      <c r="K1353" s="286">
        <v>1</v>
      </c>
      <c r="L1353" s="287" t="s">
        <v>1828</v>
      </c>
    </row>
    <row r="1354" spans="2:12">
      <c r="B1354" s="283">
        <v>1011</v>
      </c>
      <c r="C1354" s="286">
        <v>305034</v>
      </c>
      <c r="D1354" s="10" t="s">
        <v>737</v>
      </c>
      <c r="I1354" s="286">
        <v>305034</v>
      </c>
      <c r="J1354" s="286" t="s">
        <v>222</v>
      </c>
      <c r="K1354" s="286">
        <v>1</v>
      </c>
      <c r="L1354" s="287" t="s">
        <v>1828</v>
      </c>
    </row>
    <row r="1355" spans="2:12">
      <c r="B1355" s="283">
        <v>1011</v>
      </c>
      <c r="C1355" s="286">
        <v>305035</v>
      </c>
      <c r="D1355" s="10" t="s">
        <v>737</v>
      </c>
      <c r="I1355" s="286">
        <v>305035</v>
      </c>
      <c r="J1355" s="286" t="s">
        <v>227</v>
      </c>
      <c r="K1355" s="286">
        <v>1</v>
      </c>
      <c r="L1355" s="287" t="s">
        <v>1828</v>
      </c>
    </row>
    <row r="1356" spans="2:12">
      <c r="B1356" s="283">
        <v>1011</v>
      </c>
      <c r="C1356" s="286">
        <v>305036</v>
      </c>
      <c r="D1356" s="10" t="s">
        <v>737</v>
      </c>
      <c r="I1356" s="286">
        <v>305036</v>
      </c>
      <c r="J1356" s="286" t="s">
        <v>232</v>
      </c>
      <c r="K1356" s="286">
        <v>1</v>
      </c>
      <c r="L1356" s="287" t="s">
        <v>1828</v>
      </c>
    </row>
    <row r="1357" spans="2:12">
      <c r="B1357" s="283">
        <v>1011</v>
      </c>
      <c r="C1357" s="286">
        <v>305039</v>
      </c>
      <c r="D1357" s="10" t="s">
        <v>737</v>
      </c>
      <c r="I1357" s="286">
        <v>305039</v>
      </c>
      <c r="J1357" s="286" t="s">
        <v>1829</v>
      </c>
      <c r="K1357" s="286">
        <v>1</v>
      </c>
      <c r="L1357" s="287" t="s">
        <v>1828</v>
      </c>
    </row>
    <row r="1358" spans="2:12">
      <c r="B1358" s="283">
        <v>1011</v>
      </c>
      <c r="C1358" s="286">
        <v>305040</v>
      </c>
      <c r="D1358" s="10" t="s">
        <v>737</v>
      </c>
      <c r="I1358" s="286">
        <v>305040</v>
      </c>
      <c r="J1358" s="286" t="s">
        <v>277</v>
      </c>
      <c r="K1358" s="286">
        <v>1</v>
      </c>
      <c r="L1358" s="287" t="s">
        <v>1828</v>
      </c>
    </row>
    <row r="1359" spans="2:12">
      <c r="B1359" s="283">
        <v>1011</v>
      </c>
      <c r="C1359" s="286">
        <v>305200</v>
      </c>
      <c r="D1359" s="10" t="s">
        <v>737</v>
      </c>
      <c r="I1359" s="286">
        <v>305200</v>
      </c>
      <c r="J1359" s="286" t="s">
        <v>313</v>
      </c>
      <c r="K1359" s="286">
        <v>1</v>
      </c>
      <c r="L1359" s="287" t="s">
        <v>1828</v>
      </c>
    </row>
    <row r="1360" spans="2:12">
      <c r="B1360" s="283">
        <v>1011</v>
      </c>
      <c r="C1360" s="288">
        <v>305224</v>
      </c>
      <c r="D1360" s="10" t="s">
        <v>737</v>
      </c>
      <c r="I1360" s="288">
        <v>305224</v>
      </c>
      <c r="J1360" s="10" t="s">
        <v>1890</v>
      </c>
      <c r="K1360" s="286">
        <v>1</v>
      </c>
      <c r="L1360" s="287" t="s">
        <v>1828</v>
      </c>
    </row>
    <row r="1361" spans="2:12">
      <c r="B1361" s="283">
        <v>1011</v>
      </c>
      <c r="C1361" s="288">
        <v>305225</v>
      </c>
      <c r="D1361" s="10" t="s">
        <v>737</v>
      </c>
      <c r="I1361" s="288">
        <v>305225</v>
      </c>
      <c r="J1361" s="10" t="s">
        <v>1888</v>
      </c>
      <c r="K1361" s="286">
        <v>1</v>
      </c>
      <c r="L1361" s="287" t="s">
        <v>1828</v>
      </c>
    </row>
    <row r="1362" spans="2:12">
      <c r="B1362" s="283">
        <v>1011</v>
      </c>
      <c r="C1362" s="288">
        <v>305226</v>
      </c>
      <c r="D1362" s="10" t="s">
        <v>737</v>
      </c>
      <c r="I1362" s="288">
        <v>305226</v>
      </c>
      <c r="J1362" s="10" t="s">
        <v>1891</v>
      </c>
      <c r="K1362" s="286">
        <v>1</v>
      </c>
      <c r="L1362" s="287" t="s">
        <v>1828</v>
      </c>
    </row>
    <row r="1363" spans="2:12">
      <c r="B1363" s="283">
        <v>1011</v>
      </c>
      <c r="C1363" s="289">
        <v>305010</v>
      </c>
      <c r="D1363" s="10" t="s">
        <v>737</v>
      </c>
      <c r="I1363" s="289">
        <v>305010</v>
      </c>
      <c r="J1363" s="289" t="s">
        <v>1223</v>
      </c>
      <c r="K1363" s="289">
        <v>2</v>
      </c>
      <c r="L1363" s="290" t="s">
        <v>1830</v>
      </c>
    </row>
    <row r="1364" spans="2:12">
      <c r="B1364" s="283">
        <v>1011</v>
      </c>
      <c r="C1364" s="289">
        <v>305021</v>
      </c>
      <c r="D1364" s="10" t="s">
        <v>737</v>
      </c>
      <c r="I1364" s="289">
        <v>305021</v>
      </c>
      <c r="J1364" s="289" t="s">
        <v>1270</v>
      </c>
      <c r="K1364" s="289">
        <v>2</v>
      </c>
      <c r="L1364" s="290" t="s">
        <v>1830</v>
      </c>
    </row>
    <row r="1365" spans="2:12">
      <c r="B1365" s="283">
        <v>1011</v>
      </c>
      <c r="C1365" s="289">
        <v>305022</v>
      </c>
      <c r="D1365" s="10" t="s">
        <v>737</v>
      </c>
      <c r="I1365" s="289">
        <v>305022</v>
      </c>
      <c r="J1365" s="289" t="s">
        <v>1273</v>
      </c>
      <c r="K1365" s="289">
        <v>2</v>
      </c>
      <c r="L1365" s="290" t="s">
        <v>1830</v>
      </c>
    </row>
    <row r="1366" spans="2:12">
      <c r="B1366" s="283">
        <v>1011</v>
      </c>
      <c r="C1366" s="289">
        <v>305032</v>
      </c>
      <c r="D1366" s="10" t="s">
        <v>737</v>
      </c>
      <c r="I1366" s="289">
        <v>305032</v>
      </c>
      <c r="J1366" s="289" t="s">
        <v>213</v>
      </c>
      <c r="K1366" s="289">
        <v>2</v>
      </c>
      <c r="L1366" s="290" t="s">
        <v>1830</v>
      </c>
    </row>
    <row r="1367" spans="2:12">
      <c r="B1367" s="283">
        <v>1011</v>
      </c>
      <c r="C1367" s="289">
        <v>305033</v>
      </c>
      <c r="D1367" s="10" t="s">
        <v>737</v>
      </c>
      <c r="I1367" s="289">
        <v>305033</v>
      </c>
      <c r="J1367" s="289" t="s">
        <v>217</v>
      </c>
      <c r="K1367" s="289">
        <v>2</v>
      </c>
      <c r="L1367" s="290" t="s">
        <v>1830</v>
      </c>
    </row>
    <row r="1368" spans="2:12">
      <c r="B1368" s="283">
        <v>1011</v>
      </c>
      <c r="C1368" s="289">
        <v>305037</v>
      </c>
      <c r="D1368" s="10" t="s">
        <v>737</v>
      </c>
      <c r="I1368" s="289">
        <v>305037</v>
      </c>
      <c r="J1368" s="289" t="s">
        <v>264</v>
      </c>
      <c r="K1368" s="289">
        <v>2</v>
      </c>
      <c r="L1368" s="290" t="s">
        <v>1830</v>
      </c>
    </row>
    <row r="1369" spans="2:12">
      <c r="B1369" s="283">
        <v>1011</v>
      </c>
      <c r="C1369" s="289">
        <v>305038</v>
      </c>
      <c r="D1369" s="10" t="s">
        <v>737</v>
      </c>
      <c r="I1369" s="289">
        <v>305038</v>
      </c>
      <c r="J1369" s="289" t="s">
        <v>268</v>
      </c>
      <c r="K1369" s="289">
        <v>2</v>
      </c>
      <c r="L1369" s="290" t="s">
        <v>1830</v>
      </c>
    </row>
    <row r="1370" spans="2:12">
      <c r="B1370" s="283">
        <v>1011</v>
      </c>
      <c r="C1370" s="289">
        <v>305300</v>
      </c>
      <c r="D1370" s="10" t="s">
        <v>737</v>
      </c>
      <c r="I1370" s="289">
        <v>305300</v>
      </c>
      <c r="J1370" s="289" t="s">
        <v>318</v>
      </c>
      <c r="K1370" s="289">
        <v>2</v>
      </c>
      <c r="L1370" s="290" t="s">
        <v>1830</v>
      </c>
    </row>
    <row r="1371" spans="2:12">
      <c r="B1371" s="283">
        <v>1011</v>
      </c>
      <c r="C1371" s="288">
        <v>305324</v>
      </c>
      <c r="D1371" s="10" t="s">
        <v>737</v>
      </c>
      <c r="I1371" s="288">
        <v>305324</v>
      </c>
      <c r="J1371" s="10" t="s">
        <v>1887</v>
      </c>
      <c r="K1371" s="289">
        <v>2</v>
      </c>
      <c r="L1371" s="290" t="s">
        <v>1830</v>
      </c>
    </row>
    <row r="1372" spans="2:12">
      <c r="B1372" s="283">
        <v>1011</v>
      </c>
      <c r="C1372" s="288">
        <v>305325</v>
      </c>
      <c r="D1372" s="10" t="s">
        <v>737</v>
      </c>
      <c r="I1372" s="288">
        <v>305325</v>
      </c>
      <c r="J1372" s="10" t="s">
        <v>1888</v>
      </c>
      <c r="K1372" s="289">
        <v>2</v>
      </c>
      <c r="L1372" s="290" t="s">
        <v>1830</v>
      </c>
    </row>
    <row r="1373" spans="2:12">
      <c r="B1373" s="283">
        <v>1011</v>
      </c>
      <c r="C1373" s="288">
        <v>305326</v>
      </c>
      <c r="D1373" s="10" t="s">
        <v>737</v>
      </c>
      <c r="I1373" s="288">
        <v>305326</v>
      </c>
      <c r="J1373" s="10" t="s">
        <v>1889</v>
      </c>
      <c r="K1373" s="289">
        <v>2</v>
      </c>
      <c r="L1373" s="290" t="s">
        <v>1830</v>
      </c>
    </row>
    <row r="1374" spans="2:12">
      <c r="B1374" s="283">
        <v>1011</v>
      </c>
      <c r="C1374" s="291">
        <v>305001</v>
      </c>
      <c r="D1374" s="10" t="s">
        <v>737</v>
      </c>
      <c r="I1374" s="291">
        <v>305001</v>
      </c>
      <c r="J1374" s="291" t="s">
        <v>176</v>
      </c>
      <c r="K1374" s="291">
        <v>0</v>
      </c>
      <c r="L1374" s="292" t="s">
        <v>1827</v>
      </c>
    </row>
    <row r="1375" spans="2:12">
      <c r="B1375" s="283">
        <v>1011</v>
      </c>
      <c r="C1375" s="291">
        <v>305002</v>
      </c>
      <c r="D1375" s="10" t="s">
        <v>737</v>
      </c>
      <c r="I1375" s="291">
        <v>305002</v>
      </c>
      <c r="J1375" s="291" t="s">
        <v>181</v>
      </c>
      <c r="K1375" s="291">
        <v>0</v>
      </c>
      <c r="L1375" s="292" t="s">
        <v>1827</v>
      </c>
    </row>
    <row r="1376" spans="2:12">
      <c r="B1376" s="283">
        <v>1011</v>
      </c>
      <c r="C1376" s="291">
        <v>305003</v>
      </c>
      <c r="D1376" s="10" t="s">
        <v>737</v>
      </c>
      <c r="I1376" s="291">
        <v>305003</v>
      </c>
      <c r="J1376" s="291" t="s">
        <v>186</v>
      </c>
      <c r="K1376" s="291">
        <v>0</v>
      </c>
      <c r="L1376" s="292" t="s">
        <v>1827</v>
      </c>
    </row>
    <row r="1377" spans="2:22">
      <c r="B1377" s="283">
        <v>1011</v>
      </c>
      <c r="C1377" s="291">
        <v>305018</v>
      </c>
      <c r="D1377" s="10" t="s">
        <v>737</v>
      </c>
      <c r="I1377" s="291">
        <v>305018</v>
      </c>
      <c r="J1377" s="291" t="s">
        <v>191</v>
      </c>
      <c r="K1377" s="291">
        <v>0</v>
      </c>
      <c r="L1377" s="292" t="s">
        <v>1827</v>
      </c>
    </row>
    <row r="1378" spans="2:22">
      <c r="B1378" s="283">
        <v>1011</v>
      </c>
      <c r="C1378" s="291">
        <v>305019</v>
      </c>
      <c r="D1378" s="10" t="s">
        <v>737</v>
      </c>
      <c r="I1378" s="291">
        <v>305019</v>
      </c>
      <c r="J1378" s="291" t="s">
        <v>196</v>
      </c>
      <c r="K1378" s="291">
        <v>0</v>
      </c>
      <c r="L1378" s="292" t="s">
        <v>1827</v>
      </c>
    </row>
    <row r="1379" spans="2:22">
      <c r="B1379" s="283">
        <v>1011</v>
      </c>
      <c r="C1379" s="291">
        <v>305041</v>
      </c>
      <c r="D1379" s="10" t="s">
        <v>737</v>
      </c>
      <c r="I1379" s="291">
        <v>305041</v>
      </c>
      <c r="J1379" s="291" t="s">
        <v>282</v>
      </c>
      <c r="K1379" s="291">
        <v>0</v>
      </c>
      <c r="L1379" s="292" t="s">
        <v>1827</v>
      </c>
    </row>
    <row r="1380" spans="2:22">
      <c r="B1380" s="283">
        <v>1011</v>
      </c>
      <c r="C1380" s="291">
        <v>305042</v>
      </c>
      <c r="D1380" s="10" t="s">
        <v>737</v>
      </c>
      <c r="I1380" s="291">
        <v>305042</v>
      </c>
      <c r="J1380" s="291" t="s">
        <v>287</v>
      </c>
      <c r="K1380" s="291">
        <v>0</v>
      </c>
      <c r="L1380" s="292" t="s">
        <v>1827</v>
      </c>
    </row>
    <row r="1381" spans="2:22">
      <c r="B1381" s="283">
        <v>1011</v>
      </c>
      <c r="C1381" s="291">
        <v>305600</v>
      </c>
      <c r="D1381" s="10" t="s">
        <v>737</v>
      </c>
      <c r="I1381" s="291">
        <v>305600</v>
      </c>
      <c r="J1381" s="291" t="s">
        <v>323</v>
      </c>
      <c r="K1381" s="291">
        <v>0</v>
      </c>
      <c r="L1381" s="292" t="s">
        <v>1827</v>
      </c>
    </row>
    <row r="1382" spans="2:22">
      <c r="B1382" s="283">
        <v>1011</v>
      </c>
      <c r="C1382" s="288">
        <v>305623</v>
      </c>
      <c r="D1382" s="10" t="s">
        <v>737</v>
      </c>
      <c r="I1382" s="288">
        <v>305623</v>
      </c>
      <c r="J1382" s="10" t="s">
        <v>1864</v>
      </c>
      <c r="K1382" s="291">
        <v>0</v>
      </c>
      <c r="L1382" s="292" t="s">
        <v>1827</v>
      </c>
    </row>
    <row r="1383" spans="2:22">
      <c r="B1383" s="283">
        <v>1011</v>
      </c>
      <c r="C1383" s="288">
        <v>305624</v>
      </c>
      <c r="D1383" s="10" t="s">
        <v>737</v>
      </c>
      <c r="I1383" s="288">
        <v>305624</v>
      </c>
      <c r="J1383" s="10" t="s">
        <v>1865</v>
      </c>
      <c r="K1383" s="291">
        <v>0</v>
      </c>
      <c r="L1383" s="292" t="s">
        <v>1827</v>
      </c>
    </row>
    <row r="1384" spans="2:22">
      <c r="B1384" s="283">
        <v>1011</v>
      </c>
      <c r="C1384" s="288">
        <v>305625</v>
      </c>
      <c r="D1384" s="10" t="s">
        <v>737</v>
      </c>
      <c r="I1384" s="288">
        <v>305625</v>
      </c>
      <c r="J1384" s="10" t="s">
        <v>1866</v>
      </c>
      <c r="K1384" s="291">
        <v>0</v>
      </c>
      <c r="L1384" s="292" t="s">
        <v>1827</v>
      </c>
    </row>
    <row r="1385" spans="2:22">
      <c r="B1385" s="283">
        <v>1011</v>
      </c>
      <c r="C1385" s="288">
        <v>305626</v>
      </c>
      <c r="D1385" s="10" t="s">
        <v>737</v>
      </c>
      <c r="I1385" s="288">
        <v>305626</v>
      </c>
      <c r="J1385" s="10" t="s">
        <v>1867</v>
      </c>
      <c r="K1385" s="291">
        <v>0</v>
      </c>
      <c r="L1385" s="292" t="s">
        <v>1827</v>
      </c>
    </row>
    <row r="1386" spans="2:22">
      <c r="B1386" s="283">
        <v>1011</v>
      </c>
      <c r="C1386" s="293">
        <v>305012</v>
      </c>
      <c r="D1386" s="10" t="s">
        <v>737</v>
      </c>
      <c r="I1386" s="293">
        <v>305012</v>
      </c>
      <c r="J1386" s="293" t="s">
        <v>1230</v>
      </c>
      <c r="K1386" s="293">
        <v>6</v>
      </c>
      <c r="L1386" s="294" t="s">
        <v>1833</v>
      </c>
    </row>
    <row r="1387" spans="2:22">
      <c r="B1387" s="283">
        <v>1011</v>
      </c>
      <c r="C1387" s="293">
        <v>305013</v>
      </c>
      <c r="D1387" s="10" t="s">
        <v>737</v>
      </c>
      <c r="I1387" s="293">
        <v>305013</v>
      </c>
      <c r="J1387" s="293" t="s">
        <v>1237</v>
      </c>
      <c r="K1387" s="293">
        <v>6</v>
      </c>
      <c r="L1387" s="294" t="s">
        <v>1833</v>
      </c>
    </row>
    <row r="1388" spans="2:22">
      <c r="B1388" s="283">
        <v>1011</v>
      </c>
      <c r="C1388" s="293">
        <v>305014</v>
      </c>
      <c r="D1388" s="10" t="s">
        <v>737</v>
      </c>
      <c r="I1388" s="293">
        <v>305014</v>
      </c>
      <c r="J1388" s="293" t="s">
        <v>1241</v>
      </c>
      <c r="K1388" s="293">
        <v>6</v>
      </c>
      <c r="L1388" s="294" t="s">
        <v>1833</v>
      </c>
    </row>
    <row r="1389" spans="2:22" s="285" customFormat="1">
      <c r="B1389" s="283">
        <v>1011</v>
      </c>
      <c r="C1389" s="293">
        <v>305046</v>
      </c>
      <c r="D1389" s="285" t="s">
        <v>737</v>
      </c>
      <c r="G1389" s="10"/>
      <c r="H1389" s="10"/>
      <c r="I1389" s="293">
        <v>305046</v>
      </c>
      <c r="J1389" s="293" t="s">
        <v>309</v>
      </c>
      <c r="K1389" s="293">
        <v>6</v>
      </c>
      <c r="L1389" s="294" t="s">
        <v>1833</v>
      </c>
      <c r="M1389" s="10"/>
      <c r="R1389" s="10"/>
      <c r="S1389" s="10"/>
      <c r="T1389" s="10"/>
      <c r="U1389" s="10"/>
      <c r="V1389" s="10"/>
    </row>
    <row r="1390" spans="2:22">
      <c r="B1390" s="283">
        <v>1011</v>
      </c>
      <c r="C1390" s="288">
        <v>305815</v>
      </c>
      <c r="D1390" s="10" t="s">
        <v>737</v>
      </c>
      <c r="I1390" s="288">
        <v>305815</v>
      </c>
      <c r="J1390" s="10" t="s">
        <v>1868</v>
      </c>
      <c r="K1390" s="293">
        <v>6</v>
      </c>
      <c r="L1390" s="294" t="s">
        <v>1833</v>
      </c>
    </row>
    <row r="1391" spans="2:22">
      <c r="B1391" s="283">
        <v>1011</v>
      </c>
      <c r="C1391" s="288">
        <v>305816</v>
      </c>
      <c r="D1391" s="10" t="s">
        <v>737</v>
      </c>
      <c r="I1391" s="288">
        <v>305816</v>
      </c>
      <c r="J1391" s="10" t="s">
        <v>1869</v>
      </c>
      <c r="K1391" s="293">
        <v>6</v>
      </c>
      <c r="L1391" s="294" t="s">
        <v>1833</v>
      </c>
    </row>
    <row r="1392" spans="2:22">
      <c r="B1392" s="283">
        <v>1011</v>
      </c>
      <c r="C1392" s="288">
        <v>305817</v>
      </c>
      <c r="D1392" s="10" t="s">
        <v>737</v>
      </c>
      <c r="I1392" s="288">
        <v>305817</v>
      </c>
      <c r="J1392" s="10" t="s">
        <v>1870</v>
      </c>
      <c r="K1392" s="293">
        <v>6</v>
      </c>
      <c r="L1392" s="294" t="s">
        <v>1833</v>
      </c>
    </row>
    <row r="1393" spans="1:22" s="285" customFormat="1">
      <c r="B1393" s="283">
        <v>1011</v>
      </c>
      <c r="C1393" s="288">
        <v>305818</v>
      </c>
      <c r="D1393" s="285" t="s">
        <v>737</v>
      </c>
      <c r="G1393" s="10"/>
      <c r="H1393" s="10"/>
      <c r="I1393" s="288">
        <v>305818</v>
      </c>
      <c r="J1393" s="10" t="s">
        <v>1871</v>
      </c>
      <c r="K1393" s="293">
        <v>6</v>
      </c>
      <c r="L1393" s="294" t="s">
        <v>1833</v>
      </c>
      <c r="M1393" s="10"/>
      <c r="R1393" s="10"/>
      <c r="S1393" s="10"/>
      <c r="T1393" s="10"/>
      <c r="U1393" s="10"/>
      <c r="V1393" s="10"/>
    </row>
    <row r="1394" spans="1:22">
      <c r="B1394" s="283">
        <v>1011</v>
      </c>
      <c r="C1394" s="288">
        <v>305819</v>
      </c>
      <c r="D1394" s="10" t="s">
        <v>737</v>
      </c>
      <c r="I1394" s="288">
        <v>305819</v>
      </c>
      <c r="J1394" s="10" t="s">
        <v>1872</v>
      </c>
      <c r="K1394" s="293">
        <v>6</v>
      </c>
      <c r="L1394" s="294" t="s">
        <v>1833</v>
      </c>
    </row>
    <row r="1395" spans="1:22" s="285" customFormat="1">
      <c r="B1395" s="283">
        <v>1011</v>
      </c>
      <c r="C1395" s="288">
        <v>305820</v>
      </c>
      <c r="D1395" s="285" t="s">
        <v>737</v>
      </c>
      <c r="G1395" s="10"/>
      <c r="H1395" s="10"/>
      <c r="I1395" s="288">
        <v>305820</v>
      </c>
      <c r="J1395" s="10" t="s">
        <v>1873</v>
      </c>
      <c r="K1395" s="293">
        <v>6</v>
      </c>
      <c r="L1395" s="294" t="s">
        <v>1833</v>
      </c>
      <c r="M1395" s="10"/>
      <c r="R1395" s="10"/>
      <c r="S1395" s="10"/>
      <c r="T1395" s="10"/>
      <c r="U1395" s="10"/>
      <c r="V1395" s="10"/>
    </row>
    <row r="1396" spans="1:22">
      <c r="B1396" s="283">
        <v>1011</v>
      </c>
      <c r="C1396" s="295">
        <v>305015</v>
      </c>
      <c r="D1396" s="10" t="s">
        <v>737</v>
      </c>
      <c r="I1396" s="295">
        <v>305015</v>
      </c>
      <c r="J1396" s="295" t="s">
        <v>1245</v>
      </c>
      <c r="K1396" s="295">
        <v>7</v>
      </c>
      <c r="L1396" s="296" t="s">
        <v>538</v>
      </c>
    </row>
    <row r="1397" spans="1:22">
      <c r="B1397" s="283">
        <v>1011</v>
      </c>
      <c r="C1397" s="295">
        <v>305016</v>
      </c>
      <c r="D1397" s="10" t="s">
        <v>737</v>
      </c>
      <c r="I1397" s="295">
        <v>305016</v>
      </c>
      <c r="J1397" s="295" t="s">
        <v>1251</v>
      </c>
      <c r="K1397" s="295">
        <v>7</v>
      </c>
      <c r="L1397" s="296" t="s">
        <v>538</v>
      </c>
    </row>
    <row r="1398" spans="1:22">
      <c r="B1398" s="283">
        <v>1011</v>
      </c>
      <c r="C1398" s="295">
        <v>305017</v>
      </c>
      <c r="D1398" s="10" t="s">
        <v>737</v>
      </c>
      <c r="I1398" s="295">
        <v>305017</v>
      </c>
      <c r="J1398" s="295" t="s">
        <v>1255</v>
      </c>
      <c r="K1398" s="295">
        <v>7</v>
      </c>
      <c r="L1398" s="296" t="s">
        <v>538</v>
      </c>
    </row>
    <row r="1399" spans="1:22">
      <c r="B1399" s="283">
        <v>1011</v>
      </c>
      <c r="C1399" s="295">
        <v>305700</v>
      </c>
      <c r="D1399" s="10" t="s">
        <v>737</v>
      </c>
      <c r="I1399" s="295">
        <v>305700</v>
      </c>
      <c r="J1399" s="295" t="s">
        <v>328</v>
      </c>
      <c r="K1399" s="295">
        <v>7</v>
      </c>
      <c r="L1399" s="296" t="s">
        <v>538</v>
      </c>
    </row>
    <row r="1400" spans="1:22">
      <c r="B1400" s="283">
        <v>1011</v>
      </c>
      <c r="C1400" s="288">
        <v>305719</v>
      </c>
      <c r="D1400" s="10" t="s">
        <v>737</v>
      </c>
      <c r="I1400" s="288">
        <v>305719</v>
      </c>
      <c r="J1400" s="10" t="s">
        <v>1874</v>
      </c>
      <c r="K1400" s="295">
        <v>7</v>
      </c>
      <c r="L1400" s="296" t="s">
        <v>538</v>
      </c>
    </row>
    <row r="1401" spans="1:22">
      <c r="B1401" s="283">
        <v>1011</v>
      </c>
      <c r="C1401" s="288">
        <v>305720</v>
      </c>
      <c r="D1401" s="10" t="s">
        <v>737</v>
      </c>
      <c r="I1401" s="288">
        <v>305720</v>
      </c>
      <c r="J1401" s="10" t="s">
        <v>1875</v>
      </c>
      <c r="K1401" s="295">
        <v>7</v>
      </c>
      <c r="L1401" s="296" t="s">
        <v>538</v>
      </c>
    </row>
    <row r="1402" spans="1:22">
      <c r="B1402" s="283">
        <v>1011</v>
      </c>
      <c r="C1402" s="288">
        <v>305721</v>
      </c>
      <c r="D1402" s="10" t="s">
        <v>737</v>
      </c>
      <c r="I1402" s="288">
        <v>305721</v>
      </c>
      <c r="J1402" s="10" t="s">
        <v>1876</v>
      </c>
      <c r="K1402" s="295">
        <v>7</v>
      </c>
      <c r="L1402" s="296" t="s">
        <v>538</v>
      </c>
    </row>
    <row r="1403" spans="1:22">
      <c r="B1403" s="283">
        <v>1011</v>
      </c>
      <c r="C1403" s="288">
        <v>305722</v>
      </c>
      <c r="D1403" s="10" t="s">
        <v>737</v>
      </c>
      <c r="I1403" s="288">
        <v>305722</v>
      </c>
      <c r="J1403" s="10" t="s">
        <v>1877</v>
      </c>
      <c r="K1403" s="295">
        <v>7</v>
      </c>
      <c r="L1403" s="296" t="s">
        <v>538</v>
      </c>
    </row>
    <row r="1404" spans="1:22">
      <c r="B1404" s="283">
        <v>1011</v>
      </c>
      <c r="C1404" s="288">
        <v>305723</v>
      </c>
      <c r="D1404" s="10" t="s">
        <v>737</v>
      </c>
      <c r="I1404" s="288">
        <v>305723</v>
      </c>
      <c r="J1404" s="10" t="s">
        <v>1878</v>
      </c>
      <c r="K1404" s="295">
        <v>7</v>
      </c>
      <c r="L1404" s="296" t="s">
        <v>538</v>
      </c>
    </row>
    <row r="1405" spans="1:22">
      <c r="B1405" s="283">
        <v>1011</v>
      </c>
      <c r="C1405" s="288">
        <v>305724</v>
      </c>
      <c r="D1405" s="10" t="s">
        <v>737</v>
      </c>
      <c r="I1405" s="288">
        <v>305724</v>
      </c>
      <c r="J1405" s="10" t="s">
        <v>1879</v>
      </c>
      <c r="K1405" s="295">
        <v>7</v>
      </c>
      <c r="L1405" s="296" t="s">
        <v>538</v>
      </c>
    </row>
    <row r="1406" spans="1:22">
      <c r="B1406" s="283">
        <v>1011</v>
      </c>
      <c r="C1406" s="297">
        <v>305011</v>
      </c>
      <c r="D1406" s="10" t="s">
        <v>737</v>
      </c>
      <c r="I1406" s="297">
        <v>305011</v>
      </c>
      <c r="J1406" s="297" t="s">
        <v>161</v>
      </c>
      <c r="K1406" s="297">
        <v>3</v>
      </c>
      <c r="L1406" s="298" t="s">
        <v>1831</v>
      </c>
    </row>
    <row r="1407" spans="1:22">
      <c r="B1407" s="283">
        <v>1011</v>
      </c>
      <c r="C1407" s="299">
        <v>305025</v>
      </c>
      <c r="D1407" s="10" t="s">
        <v>737</v>
      </c>
      <c r="I1407" s="299">
        <v>305025</v>
      </c>
      <c r="J1407" s="299" t="s">
        <v>200</v>
      </c>
      <c r="K1407" s="299">
        <v>4</v>
      </c>
      <c r="L1407" s="300" t="s">
        <v>1832</v>
      </c>
    </row>
    <row r="1408" spans="1:22" s="285" customFormat="1">
      <c r="A1408" s="10"/>
      <c r="B1408" s="283">
        <v>1011</v>
      </c>
      <c r="C1408" s="299">
        <v>305026</v>
      </c>
      <c r="D1408" s="10" t="s">
        <v>737</v>
      </c>
      <c r="E1408" s="10"/>
      <c r="F1408" s="10"/>
      <c r="G1408" s="10"/>
      <c r="H1408" s="10"/>
      <c r="I1408" s="299">
        <v>305026</v>
      </c>
      <c r="J1408" s="299" t="s">
        <v>204</v>
      </c>
      <c r="K1408" s="299">
        <v>4</v>
      </c>
      <c r="L1408" s="300" t="s">
        <v>1832</v>
      </c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</row>
    <row r="1409" spans="1:22" s="285" customFormat="1">
      <c r="A1409" s="10"/>
      <c r="B1409" s="283">
        <v>1011</v>
      </c>
      <c r="C1409" s="299">
        <v>305050</v>
      </c>
      <c r="D1409" s="10" t="s">
        <v>737</v>
      </c>
      <c r="E1409" s="10"/>
      <c r="F1409" s="10"/>
      <c r="G1409" s="10"/>
      <c r="H1409" s="10"/>
      <c r="I1409" s="299">
        <v>305050</v>
      </c>
      <c r="J1409" s="299" t="s">
        <v>300</v>
      </c>
      <c r="K1409" s="299">
        <v>4</v>
      </c>
      <c r="L1409" s="300" t="s">
        <v>1832</v>
      </c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</row>
    <row r="1410" spans="1:22" s="285" customFormat="1">
      <c r="A1410" s="10"/>
      <c r="B1410" s="283">
        <v>1011</v>
      </c>
      <c r="C1410" s="299">
        <v>305051</v>
      </c>
      <c r="D1410" s="10" t="s">
        <v>737</v>
      </c>
      <c r="E1410" s="10"/>
      <c r="F1410" s="10"/>
      <c r="G1410" s="10"/>
      <c r="H1410" s="10"/>
      <c r="I1410" s="299">
        <v>305051</v>
      </c>
      <c r="J1410" s="299" t="s">
        <v>340</v>
      </c>
      <c r="K1410" s="299">
        <v>4</v>
      </c>
      <c r="L1410" s="300" t="s">
        <v>1832</v>
      </c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</row>
    <row r="1411" spans="1:22">
      <c r="B1411" s="283">
        <v>1011</v>
      </c>
      <c r="C1411" s="288">
        <v>305055</v>
      </c>
      <c r="D1411" s="10" t="s">
        <v>737</v>
      </c>
      <c r="I1411" s="288">
        <v>305055</v>
      </c>
      <c r="J1411" s="10" t="s">
        <v>1880</v>
      </c>
      <c r="K1411" s="299">
        <v>4</v>
      </c>
      <c r="L1411" s="300" t="s">
        <v>1832</v>
      </c>
    </row>
    <row r="1412" spans="1:22" s="285" customFormat="1">
      <c r="A1412" s="10"/>
      <c r="B1412" s="283">
        <v>1011</v>
      </c>
      <c r="C1412" s="288">
        <v>305056</v>
      </c>
      <c r="D1412" s="10" t="s">
        <v>737</v>
      </c>
      <c r="E1412" s="10"/>
      <c r="F1412" s="10"/>
      <c r="G1412" s="10"/>
      <c r="H1412" s="10"/>
      <c r="I1412" s="288">
        <v>305056</v>
      </c>
      <c r="J1412" s="10" t="s">
        <v>1881</v>
      </c>
      <c r="K1412" s="299">
        <v>4</v>
      </c>
      <c r="L1412" s="300" t="s">
        <v>1832</v>
      </c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</row>
    <row r="1413" spans="1:22" s="285" customFormat="1">
      <c r="A1413" s="10"/>
      <c r="B1413" s="283">
        <v>1011</v>
      </c>
      <c r="C1413" s="288">
        <v>306104</v>
      </c>
      <c r="D1413" s="10" t="s">
        <v>737</v>
      </c>
      <c r="E1413" s="10"/>
      <c r="F1413" s="10"/>
      <c r="G1413" s="10"/>
      <c r="H1413" s="10"/>
      <c r="I1413" s="288">
        <v>306104</v>
      </c>
      <c r="J1413" s="10" t="s">
        <v>1882</v>
      </c>
      <c r="K1413" s="299">
        <v>4</v>
      </c>
      <c r="L1413" s="300" t="s">
        <v>1886</v>
      </c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</row>
    <row r="1414" spans="1:22" s="285" customFormat="1">
      <c r="A1414" s="10"/>
      <c r="B1414" s="283">
        <v>1011</v>
      </c>
      <c r="C1414" s="288">
        <v>306105</v>
      </c>
      <c r="D1414" s="10" t="s">
        <v>737</v>
      </c>
      <c r="E1414" s="10"/>
      <c r="F1414" s="10"/>
      <c r="G1414" s="10"/>
      <c r="H1414" s="10"/>
      <c r="I1414" s="288">
        <v>306105</v>
      </c>
      <c r="J1414" s="10" t="s">
        <v>1883</v>
      </c>
      <c r="K1414" s="299">
        <v>4</v>
      </c>
      <c r="L1414" s="300" t="s">
        <v>1886</v>
      </c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</row>
    <row r="1415" spans="1:22" s="285" customFormat="1">
      <c r="A1415" s="10"/>
      <c r="B1415" s="283">
        <v>1011</v>
      </c>
      <c r="C1415" s="288">
        <v>306106</v>
      </c>
      <c r="D1415" s="10" t="s">
        <v>737</v>
      </c>
      <c r="E1415" s="10"/>
      <c r="F1415" s="10"/>
      <c r="G1415" s="10"/>
      <c r="H1415" s="10"/>
      <c r="I1415" s="288">
        <v>306106</v>
      </c>
      <c r="J1415" s="10" t="s">
        <v>1884</v>
      </c>
      <c r="K1415" s="299">
        <v>4</v>
      </c>
      <c r="L1415" s="300" t="s">
        <v>1886</v>
      </c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</row>
    <row r="1416" spans="1:22" s="285" customFormat="1">
      <c r="A1416" s="10"/>
      <c r="B1416" s="283">
        <v>1011</v>
      </c>
      <c r="C1416" s="288">
        <v>306107</v>
      </c>
      <c r="D1416" s="10" t="s">
        <v>737</v>
      </c>
      <c r="E1416" s="10"/>
      <c r="F1416" s="10"/>
      <c r="G1416" s="10"/>
      <c r="H1416" s="10"/>
      <c r="I1416" s="288">
        <v>306107</v>
      </c>
      <c r="J1416" s="10" t="s">
        <v>1885</v>
      </c>
      <c r="K1416" s="299">
        <v>4</v>
      </c>
      <c r="L1416" s="300" t="s">
        <v>1886</v>
      </c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</row>
    <row r="1417" spans="1:22">
      <c r="B1417" s="306">
        <v>1011</v>
      </c>
      <c r="C1417" s="282">
        <v>303012</v>
      </c>
      <c r="D1417" s="301" t="s">
        <v>38</v>
      </c>
    </row>
    <row r="1418" spans="1:22">
      <c r="B1418" s="306">
        <v>1011</v>
      </c>
      <c r="C1418" s="282">
        <v>303013</v>
      </c>
      <c r="D1418" s="301" t="s">
        <v>38</v>
      </c>
    </row>
    <row r="1419" spans="1:22">
      <c r="B1419" s="306">
        <v>1011</v>
      </c>
      <c r="C1419" s="282">
        <v>303022</v>
      </c>
      <c r="D1419" s="301" t="s">
        <v>38</v>
      </c>
    </row>
    <row r="1420" spans="1:22">
      <c r="B1420" s="306">
        <v>1011</v>
      </c>
      <c r="C1420" s="282">
        <v>303023</v>
      </c>
      <c r="D1420" s="301" t="s">
        <v>38</v>
      </c>
    </row>
    <row r="1421" spans="1:22">
      <c r="B1421" s="306">
        <v>1011</v>
      </c>
      <c r="C1421" s="282">
        <v>303032</v>
      </c>
      <c r="D1421" s="301" t="s">
        <v>38</v>
      </c>
    </row>
    <row r="1422" spans="1:22">
      <c r="B1422" s="306">
        <v>1011</v>
      </c>
      <c r="C1422" s="282">
        <v>303033</v>
      </c>
      <c r="D1422" s="301" t="s">
        <v>38</v>
      </c>
    </row>
    <row r="1423" spans="1:22">
      <c r="B1423" s="306">
        <v>1011</v>
      </c>
      <c r="C1423" s="282">
        <v>303042</v>
      </c>
      <c r="D1423" s="301" t="s">
        <v>38</v>
      </c>
    </row>
    <row r="1424" spans="1:22">
      <c r="B1424" s="306">
        <v>1011</v>
      </c>
      <c r="C1424" s="282">
        <v>303043</v>
      </c>
      <c r="D1424" s="301" t="s">
        <v>38</v>
      </c>
    </row>
    <row r="1425" spans="1:7">
      <c r="B1425" s="306">
        <v>1011</v>
      </c>
      <c r="C1425" s="282">
        <v>303052</v>
      </c>
      <c r="D1425" s="301" t="s">
        <v>38</v>
      </c>
    </row>
    <row r="1426" spans="1:7">
      <c r="B1426" s="306">
        <v>1011</v>
      </c>
      <c r="C1426" s="282">
        <v>303053</v>
      </c>
      <c r="D1426" s="301" t="s">
        <v>38</v>
      </c>
    </row>
    <row r="1427" spans="1:7">
      <c r="B1427" s="306">
        <v>1011</v>
      </c>
      <c r="C1427" s="282">
        <v>303062</v>
      </c>
      <c r="D1427" s="301" t="s">
        <v>38</v>
      </c>
    </row>
    <row r="1428" spans="1:7">
      <c r="B1428" s="306">
        <v>1011</v>
      </c>
      <c r="C1428" s="282">
        <v>303063</v>
      </c>
      <c r="D1428" s="301" t="s">
        <v>38</v>
      </c>
    </row>
    <row r="1429" spans="1:7">
      <c r="B1429" s="306">
        <v>1011</v>
      </c>
      <c r="C1429" s="282">
        <v>303072</v>
      </c>
      <c r="D1429" s="301" t="s">
        <v>38</v>
      </c>
    </row>
    <row r="1430" spans="1:7">
      <c r="B1430" s="306">
        <v>1011</v>
      </c>
      <c r="C1430" s="282">
        <v>303073</v>
      </c>
      <c r="D1430" s="301" t="s">
        <v>38</v>
      </c>
    </row>
    <row r="1431" spans="1:7">
      <c r="B1431" s="306">
        <v>1011</v>
      </c>
      <c r="C1431" s="282">
        <v>303082</v>
      </c>
      <c r="D1431" s="301" t="s">
        <v>38</v>
      </c>
    </row>
    <row r="1432" spans="1:7">
      <c r="B1432" s="306">
        <v>1011</v>
      </c>
      <c r="C1432" s="282">
        <v>303083</v>
      </c>
      <c r="D1432" s="301" t="s">
        <v>38</v>
      </c>
    </row>
    <row r="1433" spans="1:7" s="303" customFormat="1">
      <c r="A1433" s="10"/>
      <c r="B1433" s="305">
        <v>1012</v>
      </c>
      <c r="C1433" s="43">
        <v>200004</v>
      </c>
      <c r="D1433" s="10" t="s">
        <v>736</v>
      </c>
      <c r="E1433" s="10"/>
      <c r="G1433" s="10"/>
    </row>
    <row r="1434" spans="1:7" s="303" customFormat="1">
      <c r="A1434" s="10"/>
      <c r="B1434" s="305">
        <v>1012</v>
      </c>
      <c r="C1434" s="43">
        <v>200003</v>
      </c>
      <c r="D1434" s="10" t="s">
        <v>736</v>
      </c>
      <c r="E1434" s="10"/>
      <c r="G1434" s="10"/>
    </row>
    <row r="1435" spans="1:7" s="303" customFormat="1">
      <c r="A1435" s="10"/>
      <c r="B1435" s="305">
        <v>1012</v>
      </c>
      <c r="C1435" s="43">
        <v>200005</v>
      </c>
      <c r="D1435" s="10" t="s">
        <v>736</v>
      </c>
      <c r="E1435" s="10"/>
      <c r="G1435" s="10"/>
    </row>
    <row r="1436" spans="1:7">
      <c r="B1436" s="305">
        <v>1012</v>
      </c>
      <c r="C1436" s="43">
        <v>200006</v>
      </c>
      <c r="D1436" s="10" t="s">
        <v>736</v>
      </c>
    </row>
    <row r="1437" spans="1:7">
      <c r="B1437" s="305">
        <v>1012</v>
      </c>
      <c r="C1437" s="43">
        <v>200007</v>
      </c>
      <c r="D1437" s="10" t="s">
        <v>736</v>
      </c>
    </row>
    <row r="1438" spans="1:7">
      <c r="B1438" s="305">
        <v>1012</v>
      </c>
      <c r="C1438" s="43">
        <v>200008</v>
      </c>
      <c r="D1438" s="10" t="s">
        <v>736</v>
      </c>
    </row>
    <row r="1439" spans="1:7">
      <c r="B1439" s="305">
        <v>1012</v>
      </c>
      <c r="C1439" s="43">
        <v>200009</v>
      </c>
      <c r="D1439" s="10" t="s">
        <v>736</v>
      </c>
    </row>
    <row r="1440" spans="1:7">
      <c r="B1440" s="305">
        <v>1012</v>
      </c>
      <c r="C1440" s="43">
        <v>200010</v>
      </c>
      <c r="D1440" s="10" t="s">
        <v>736</v>
      </c>
    </row>
    <row r="1441" spans="2:4">
      <c r="B1441" s="305">
        <v>1012</v>
      </c>
      <c r="C1441" s="43">
        <v>200016</v>
      </c>
      <c r="D1441" s="10" t="s">
        <v>736</v>
      </c>
    </row>
    <row r="1442" spans="2:4">
      <c r="B1442" s="305">
        <v>1012</v>
      </c>
      <c r="C1442" s="43">
        <v>200017</v>
      </c>
      <c r="D1442" s="10" t="s">
        <v>736</v>
      </c>
    </row>
    <row r="1443" spans="2:4">
      <c r="B1443" s="305">
        <v>1012</v>
      </c>
      <c r="C1443" s="43">
        <v>200018</v>
      </c>
      <c r="D1443" s="10" t="s">
        <v>736</v>
      </c>
    </row>
    <row r="1444" spans="2:4">
      <c r="B1444" s="305">
        <v>1012</v>
      </c>
      <c r="C1444" s="43">
        <v>200019</v>
      </c>
      <c r="D1444" s="10" t="s">
        <v>736</v>
      </c>
    </row>
    <row r="1445" spans="2:4">
      <c r="B1445" s="305">
        <v>1012</v>
      </c>
      <c r="C1445" s="43">
        <v>200020</v>
      </c>
      <c r="D1445" s="10" t="s">
        <v>736</v>
      </c>
    </row>
    <row r="1446" spans="2:4">
      <c r="B1446" s="305">
        <v>1012</v>
      </c>
      <c r="C1446" s="43">
        <v>200021</v>
      </c>
      <c r="D1446" s="10" t="s">
        <v>736</v>
      </c>
    </row>
    <row r="1447" spans="2:4">
      <c r="B1447" s="305">
        <v>1012</v>
      </c>
      <c r="C1447" s="43">
        <v>200024</v>
      </c>
      <c r="D1447" s="10" t="s">
        <v>736</v>
      </c>
    </row>
    <row r="1448" spans="2:4">
      <c r="B1448" s="305">
        <v>1012</v>
      </c>
      <c r="C1448" s="43">
        <v>200026</v>
      </c>
      <c r="D1448" s="10" t="s">
        <v>736</v>
      </c>
    </row>
    <row r="1449" spans="2:4">
      <c r="B1449" s="305">
        <v>1012</v>
      </c>
      <c r="C1449" s="43">
        <v>200029</v>
      </c>
      <c r="D1449" s="10" t="s">
        <v>736</v>
      </c>
    </row>
    <row r="1450" spans="2:4">
      <c r="B1450" s="305">
        <v>1012</v>
      </c>
      <c r="C1450" s="43">
        <v>200028</v>
      </c>
      <c r="D1450" s="10" t="s">
        <v>736</v>
      </c>
    </row>
    <row r="1451" spans="2:4">
      <c r="B1451" s="305">
        <v>1012</v>
      </c>
      <c r="C1451" s="43">
        <v>200032</v>
      </c>
      <c r="D1451" s="10" t="s">
        <v>736</v>
      </c>
    </row>
    <row r="1452" spans="2:4">
      <c r="B1452" s="305">
        <v>1012</v>
      </c>
      <c r="C1452" s="43">
        <v>200033</v>
      </c>
      <c r="D1452" s="10" t="s">
        <v>736</v>
      </c>
    </row>
    <row r="1453" spans="2:4">
      <c r="B1453" s="305">
        <v>1012</v>
      </c>
      <c r="C1453" s="43">
        <v>200038</v>
      </c>
      <c r="D1453" s="10" t="s">
        <v>736</v>
      </c>
    </row>
    <row r="1454" spans="2:4">
      <c r="B1454" s="305">
        <v>1012</v>
      </c>
      <c r="C1454" s="43">
        <v>200044</v>
      </c>
      <c r="D1454" s="10" t="s">
        <v>736</v>
      </c>
    </row>
    <row r="1455" spans="2:4">
      <c r="B1455" s="305">
        <v>1012</v>
      </c>
      <c r="C1455" s="43">
        <v>200046</v>
      </c>
      <c r="D1455" s="10" t="s">
        <v>736</v>
      </c>
    </row>
    <row r="1456" spans="2:4">
      <c r="B1456" s="10">
        <v>1012</v>
      </c>
      <c r="C1456" s="43">
        <v>200048</v>
      </c>
      <c r="D1456" s="10" t="s">
        <v>736</v>
      </c>
    </row>
    <row r="1457" spans="1:4">
      <c r="B1457" s="10">
        <v>1012</v>
      </c>
      <c r="C1457" s="43">
        <v>200053</v>
      </c>
      <c r="D1457" s="10" t="s">
        <v>736</v>
      </c>
    </row>
    <row r="1458" spans="1:4">
      <c r="B1458" s="10">
        <v>1012</v>
      </c>
      <c r="C1458" s="43">
        <v>200059</v>
      </c>
      <c r="D1458" s="10" t="s">
        <v>736</v>
      </c>
    </row>
    <row r="1459" spans="1:4" ht="13.5" customHeight="1">
      <c r="B1459" s="10">
        <v>1012</v>
      </c>
      <c r="C1459" s="43">
        <v>200066</v>
      </c>
      <c r="D1459" s="10" t="s">
        <v>736</v>
      </c>
    </row>
    <row r="1460" spans="1:4" ht="13.5" customHeight="1">
      <c r="B1460" s="10">
        <v>1012</v>
      </c>
      <c r="C1460" s="43">
        <v>200067</v>
      </c>
      <c r="D1460" s="10" t="s">
        <v>736</v>
      </c>
    </row>
    <row r="1461" spans="1:4" ht="13.5" customHeight="1">
      <c r="B1461" s="10">
        <v>1012</v>
      </c>
      <c r="C1461" s="43">
        <v>200068</v>
      </c>
      <c r="D1461" s="10" t="s">
        <v>736</v>
      </c>
    </row>
    <row r="1462" spans="1:4" ht="13.5" customHeight="1">
      <c r="B1462" s="10">
        <v>1012</v>
      </c>
      <c r="C1462" s="43">
        <v>200069</v>
      </c>
      <c r="D1462" s="10" t="s">
        <v>736</v>
      </c>
    </row>
    <row r="1463" spans="1:4" ht="13.5" customHeight="1">
      <c r="B1463" s="10">
        <v>1012</v>
      </c>
      <c r="C1463" s="43">
        <v>200074</v>
      </c>
      <c r="D1463" s="10" t="s">
        <v>736</v>
      </c>
    </row>
    <row r="1464" spans="1:4" ht="13.5" customHeight="1">
      <c r="B1464" s="10">
        <v>1012</v>
      </c>
      <c r="C1464" s="43">
        <v>200077</v>
      </c>
      <c r="D1464" s="270" t="s">
        <v>1842</v>
      </c>
    </row>
    <row r="1465" spans="1:4" ht="13.5" customHeight="1">
      <c r="A1465" s="270" t="s">
        <v>2031</v>
      </c>
      <c r="B1465" s="10">
        <v>1012</v>
      </c>
      <c r="C1465" s="10">
        <v>200083</v>
      </c>
      <c r="D1465" s="270" t="s">
        <v>1842</v>
      </c>
    </row>
    <row r="1466" spans="1:4" ht="13.5" customHeight="1">
      <c r="A1466" s="270" t="s">
        <v>2029</v>
      </c>
      <c r="B1466" s="10">
        <v>1012</v>
      </c>
      <c r="C1466" s="10">
        <v>200084</v>
      </c>
      <c r="D1466" s="270" t="s">
        <v>1842</v>
      </c>
    </row>
    <row r="1467" spans="1:4" ht="13.5" customHeight="1">
      <c r="A1467" s="270" t="s">
        <v>2027</v>
      </c>
      <c r="B1467" s="10">
        <v>1012</v>
      </c>
      <c r="C1467" s="10">
        <v>200093</v>
      </c>
      <c r="D1467" s="270" t="s">
        <v>1842</v>
      </c>
    </row>
    <row r="1468" spans="1:4" ht="13.5" customHeight="1">
      <c r="A1468" s="270" t="s">
        <v>2025</v>
      </c>
      <c r="B1468" s="10">
        <v>1012</v>
      </c>
      <c r="C1468" s="10">
        <v>200094</v>
      </c>
      <c r="D1468" s="270" t="s">
        <v>1842</v>
      </c>
    </row>
    <row r="1469" spans="1:4" ht="13.5" customHeight="1">
      <c r="A1469" s="270" t="s">
        <v>2023</v>
      </c>
      <c r="B1469" s="10">
        <v>1012</v>
      </c>
      <c r="C1469" s="10">
        <v>200091</v>
      </c>
      <c r="D1469" s="270" t="s">
        <v>1842</v>
      </c>
    </row>
    <row r="1470" spans="1:4" ht="13.5" customHeight="1">
      <c r="A1470" s="270" t="s">
        <v>2043</v>
      </c>
      <c r="B1470" s="10">
        <v>1012</v>
      </c>
      <c r="C1470" s="10">
        <v>20000107</v>
      </c>
      <c r="D1470" s="270" t="s">
        <v>1842</v>
      </c>
    </row>
    <row r="1471" spans="1:4" ht="13.5" customHeight="1">
      <c r="A1471" s="270" t="s">
        <v>2061</v>
      </c>
      <c r="B1471" s="43">
        <v>1012</v>
      </c>
      <c r="C1471" s="43">
        <v>200099</v>
      </c>
      <c r="D1471" s="43" t="s">
        <v>1842</v>
      </c>
    </row>
    <row r="1472" spans="1:4" ht="13.5" customHeight="1">
      <c r="A1472" s="270" t="s">
        <v>2062</v>
      </c>
      <c r="B1472" s="43">
        <v>1012</v>
      </c>
      <c r="C1472" s="43">
        <v>200098</v>
      </c>
      <c r="D1472" s="43" t="s">
        <v>1842</v>
      </c>
    </row>
    <row r="1473" spans="1:12" ht="13.5" customHeight="1">
      <c r="A1473" s="315" t="s">
        <v>2092</v>
      </c>
      <c r="B1473" s="269">
        <v>1012</v>
      </c>
      <c r="C1473" s="315">
        <v>20000106</v>
      </c>
      <c r="D1473" s="315" t="s">
        <v>736</v>
      </c>
    </row>
    <row r="1474" spans="1:12">
      <c r="B1474" s="301">
        <v>1012</v>
      </c>
      <c r="C1474" s="302">
        <v>30580015</v>
      </c>
      <c r="D1474" s="303" t="s">
        <v>737</v>
      </c>
      <c r="E1474" s="303">
        <v>250121</v>
      </c>
    </row>
    <row r="1475" spans="1:12">
      <c r="B1475" s="301">
        <v>1012</v>
      </c>
      <c r="C1475" s="302">
        <v>30570009</v>
      </c>
      <c r="D1475" s="303" t="s">
        <v>737</v>
      </c>
      <c r="E1475" s="303">
        <v>250121</v>
      </c>
    </row>
    <row r="1476" spans="1:12">
      <c r="B1476" s="301">
        <v>1012</v>
      </c>
      <c r="C1476" s="302">
        <v>30560007</v>
      </c>
      <c r="D1476" s="303" t="s">
        <v>737</v>
      </c>
      <c r="E1476" s="303">
        <v>250121</v>
      </c>
    </row>
    <row r="1477" spans="1:12">
      <c r="B1477" s="301">
        <v>1012</v>
      </c>
      <c r="C1477" s="302">
        <v>30505005</v>
      </c>
      <c r="D1477" s="303" t="s">
        <v>737</v>
      </c>
      <c r="E1477" s="303">
        <v>250121</v>
      </c>
    </row>
    <row r="1478" spans="1:12">
      <c r="B1478" s="301">
        <v>1012</v>
      </c>
      <c r="C1478" s="302">
        <v>30550022</v>
      </c>
      <c r="D1478" s="303" t="s">
        <v>737</v>
      </c>
      <c r="E1478" s="303">
        <v>250121</v>
      </c>
    </row>
    <row r="1479" spans="1:12">
      <c r="B1479" s="283">
        <v>1012</v>
      </c>
      <c r="C1479" s="286">
        <v>305007</v>
      </c>
      <c r="D1479" s="10" t="s">
        <v>737</v>
      </c>
      <c r="I1479" s="286">
        <v>305007</v>
      </c>
      <c r="J1479" s="286" t="s">
        <v>1213</v>
      </c>
      <c r="K1479" s="286">
        <v>1</v>
      </c>
      <c r="L1479" s="287" t="s">
        <v>1828</v>
      </c>
    </row>
    <row r="1480" spans="1:12">
      <c r="B1480" s="283">
        <v>1012</v>
      </c>
      <c r="C1480" s="286">
        <v>305008</v>
      </c>
      <c r="D1480" s="10" t="s">
        <v>737</v>
      </c>
      <c r="I1480" s="286">
        <v>305008</v>
      </c>
      <c r="J1480" s="286" t="s">
        <v>1217</v>
      </c>
      <c r="K1480" s="286">
        <v>1</v>
      </c>
      <c r="L1480" s="287" t="s">
        <v>1828</v>
      </c>
    </row>
    <row r="1481" spans="1:12">
      <c r="B1481" s="283">
        <v>1012</v>
      </c>
      <c r="C1481" s="286">
        <v>305009</v>
      </c>
      <c r="D1481" s="10" t="s">
        <v>737</v>
      </c>
      <c r="I1481" s="286">
        <v>305009</v>
      </c>
      <c r="J1481" s="286" t="s">
        <v>1220</v>
      </c>
      <c r="K1481" s="286">
        <v>1</v>
      </c>
      <c r="L1481" s="287" t="s">
        <v>1828</v>
      </c>
    </row>
    <row r="1482" spans="1:12">
      <c r="B1482" s="283">
        <v>1012</v>
      </c>
      <c r="C1482" s="286">
        <v>305023</v>
      </c>
      <c r="D1482" s="10" t="s">
        <v>737</v>
      </c>
      <c r="I1482" s="286">
        <v>305023</v>
      </c>
      <c r="J1482" s="286" t="s">
        <v>1277</v>
      </c>
      <c r="K1482" s="286">
        <v>1</v>
      </c>
      <c r="L1482" s="287" t="s">
        <v>1828</v>
      </c>
    </row>
    <row r="1483" spans="1:12">
      <c r="B1483" s="283">
        <v>1012</v>
      </c>
      <c r="C1483" s="286">
        <v>305034</v>
      </c>
      <c r="D1483" s="10" t="s">
        <v>737</v>
      </c>
      <c r="I1483" s="286">
        <v>305034</v>
      </c>
      <c r="J1483" s="286" t="s">
        <v>222</v>
      </c>
      <c r="K1483" s="286">
        <v>1</v>
      </c>
      <c r="L1483" s="287" t="s">
        <v>1828</v>
      </c>
    </row>
    <row r="1484" spans="1:12">
      <c r="B1484" s="283">
        <v>1012</v>
      </c>
      <c r="C1484" s="286">
        <v>305035</v>
      </c>
      <c r="D1484" s="10" t="s">
        <v>737</v>
      </c>
      <c r="I1484" s="286">
        <v>305035</v>
      </c>
      <c r="J1484" s="286" t="s">
        <v>227</v>
      </c>
      <c r="K1484" s="286">
        <v>1</v>
      </c>
      <c r="L1484" s="287" t="s">
        <v>1828</v>
      </c>
    </row>
    <row r="1485" spans="1:12">
      <c r="B1485" s="283">
        <v>1012</v>
      </c>
      <c r="C1485" s="286">
        <v>305036</v>
      </c>
      <c r="D1485" s="10" t="s">
        <v>737</v>
      </c>
      <c r="I1485" s="286">
        <v>305036</v>
      </c>
      <c r="J1485" s="286" t="s">
        <v>232</v>
      </c>
      <c r="K1485" s="286">
        <v>1</v>
      </c>
      <c r="L1485" s="287" t="s">
        <v>1828</v>
      </c>
    </row>
    <row r="1486" spans="1:12">
      <c r="B1486" s="283">
        <v>1012</v>
      </c>
      <c r="C1486" s="286">
        <v>305039</v>
      </c>
      <c r="D1486" s="10" t="s">
        <v>737</v>
      </c>
      <c r="I1486" s="286">
        <v>305039</v>
      </c>
      <c r="J1486" s="286" t="s">
        <v>1829</v>
      </c>
      <c r="K1486" s="286">
        <v>1</v>
      </c>
      <c r="L1486" s="287" t="s">
        <v>1828</v>
      </c>
    </row>
    <row r="1487" spans="1:12">
      <c r="B1487" s="283">
        <v>1012</v>
      </c>
      <c r="C1487" s="286">
        <v>305040</v>
      </c>
      <c r="D1487" s="10" t="s">
        <v>737</v>
      </c>
      <c r="I1487" s="286">
        <v>305040</v>
      </c>
      <c r="J1487" s="286" t="s">
        <v>277</v>
      </c>
      <c r="K1487" s="286">
        <v>1</v>
      </c>
      <c r="L1487" s="287" t="s">
        <v>1828</v>
      </c>
    </row>
    <row r="1488" spans="1:12">
      <c r="B1488" s="283">
        <v>1012</v>
      </c>
      <c r="C1488" s="286">
        <v>305200</v>
      </c>
      <c r="D1488" s="10" t="s">
        <v>737</v>
      </c>
      <c r="I1488" s="286">
        <v>305200</v>
      </c>
      <c r="J1488" s="286" t="s">
        <v>313</v>
      </c>
      <c r="K1488" s="286">
        <v>1</v>
      </c>
      <c r="L1488" s="287" t="s">
        <v>1828</v>
      </c>
    </row>
    <row r="1489" spans="2:12">
      <c r="B1489" s="283">
        <v>1012</v>
      </c>
      <c r="C1489" s="288">
        <v>305224</v>
      </c>
      <c r="D1489" s="10" t="s">
        <v>737</v>
      </c>
      <c r="I1489" s="288">
        <v>305224</v>
      </c>
      <c r="J1489" s="10" t="s">
        <v>1890</v>
      </c>
      <c r="K1489" s="286">
        <v>1</v>
      </c>
      <c r="L1489" s="287" t="s">
        <v>1828</v>
      </c>
    </row>
    <row r="1490" spans="2:12">
      <c r="B1490" s="283">
        <v>1012</v>
      </c>
      <c r="C1490" s="288">
        <v>305225</v>
      </c>
      <c r="D1490" s="10" t="s">
        <v>737</v>
      </c>
      <c r="I1490" s="288">
        <v>305225</v>
      </c>
      <c r="J1490" s="10" t="s">
        <v>1888</v>
      </c>
      <c r="K1490" s="286">
        <v>1</v>
      </c>
      <c r="L1490" s="287" t="s">
        <v>1828</v>
      </c>
    </row>
    <row r="1491" spans="2:12">
      <c r="B1491" s="283">
        <v>1012</v>
      </c>
      <c r="C1491" s="288">
        <v>305226</v>
      </c>
      <c r="D1491" s="10" t="s">
        <v>737</v>
      </c>
      <c r="I1491" s="288">
        <v>305226</v>
      </c>
      <c r="J1491" s="10" t="s">
        <v>1891</v>
      </c>
      <c r="K1491" s="286">
        <v>1</v>
      </c>
      <c r="L1491" s="287" t="s">
        <v>1828</v>
      </c>
    </row>
    <row r="1492" spans="2:12">
      <c r="B1492" s="283">
        <v>1012</v>
      </c>
      <c r="C1492" s="289">
        <v>305010</v>
      </c>
      <c r="D1492" s="10" t="s">
        <v>737</v>
      </c>
      <c r="I1492" s="289">
        <v>305010</v>
      </c>
      <c r="J1492" s="289" t="s">
        <v>1223</v>
      </c>
      <c r="K1492" s="289">
        <v>2</v>
      </c>
      <c r="L1492" s="290" t="s">
        <v>1830</v>
      </c>
    </row>
    <row r="1493" spans="2:12">
      <c r="B1493" s="283">
        <v>1012</v>
      </c>
      <c r="C1493" s="289">
        <v>305021</v>
      </c>
      <c r="D1493" s="10" t="s">
        <v>737</v>
      </c>
      <c r="I1493" s="289">
        <v>305021</v>
      </c>
      <c r="J1493" s="289" t="s">
        <v>1270</v>
      </c>
      <c r="K1493" s="289">
        <v>2</v>
      </c>
      <c r="L1493" s="290" t="s">
        <v>1830</v>
      </c>
    </row>
    <row r="1494" spans="2:12">
      <c r="B1494" s="283">
        <v>1012</v>
      </c>
      <c r="C1494" s="289">
        <v>305022</v>
      </c>
      <c r="D1494" s="10" t="s">
        <v>737</v>
      </c>
      <c r="I1494" s="289">
        <v>305022</v>
      </c>
      <c r="J1494" s="289" t="s">
        <v>1273</v>
      </c>
      <c r="K1494" s="289">
        <v>2</v>
      </c>
      <c r="L1494" s="290" t="s">
        <v>1830</v>
      </c>
    </row>
    <row r="1495" spans="2:12">
      <c r="B1495" s="283">
        <v>1012</v>
      </c>
      <c r="C1495" s="289">
        <v>305032</v>
      </c>
      <c r="D1495" s="10" t="s">
        <v>737</v>
      </c>
      <c r="I1495" s="289">
        <v>305032</v>
      </c>
      <c r="J1495" s="289" t="s">
        <v>213</v>
      </c>
      <c r="K1495" s="289">
        <v>2</v>
      </c>
      <c r="L1495" s="290" t="s">
        <v>1830</v>
      </c>
    </row>
    <row r="1496" spans="2:12">
      <c r="B1496" s="283">
        <v>1012</v>
      </c>
      <c r="C1496" s="289">
        <v>305033</v>
      </c>
      <c r="D1496" s="10" t="s">
        <v>737</v>
      </c>
      <c r="I1496" s="289">
        <v>305033</v>
      </c>
      <c r="J1496" s="289" t="s">
        <v>217</v>
      </c>
      <c r="K1496" s="289">
        <v>2</v>
      </c>
      <c r="L1496" s="290" t="s">
        <v>1830</v>
      </c>
    </row>
    <row r="1497" spans="2:12">
      <c r="B1497" s="283">
        <v>1012</v>
      </c>
      <c r="C1497" s="289">
        <v>305037</v>
      </c>
      <c r="D1497" s="10" t="s">
        <v>737</v>
      </c>
      <c r="I1497" s="289">
        <v>305037</v>
      </c>
      <c r="J1497" s="289" t="s">
        <v>264</v>
      </c>
      <c r="K1497" s="289">
        <v>2</v>
      </c>
      <c r="L1497" s="290" t="s">
        <v>1830</v>
      </c>
    </row>
    <row r="1498" spans="2:12">
      <c r="B1498" s="283">
        <v>1012</v>
      </c>
      <c r="C1498" s="289">
        <v>305038</v>
      </c>
      <c r="D1498" s="10" t="s">
        <v>737</v>
      </c>
      <c r="I1498" s="289">
        <v>305038</v>
      </c>
      <c r="J1498" s="289" t="s">
        <v>268</v>
      </c>
      <c r="K1498" s="289">
        <v>2</v>
      </c>
      <c r="L1498" s="290" t="s">
        <v>1830</v>
      </c>
    </row>
    <row r="1499" spans="2:12">
      <c r="B1499" s="283">
        <v>1012</v>
      </c>
      <c r="C1499" s="289">
        <v>305300</v>
      </c>
      <c r="D1499" s="10" t="s">
        <v>737</v>
      </c>
      <c r="I1499" s="289">
        <v>305300</v>
      </c>
      <c r="J1499" s="289" t="s">
        <v>318</v>
      </c>
      <c r="K1499" s="289">
        <v>2</v>
      </c>
      <c r="L1499" s="290" t="s">
        <v>1830</v>
      </c>
    </row>
    <row r="1500" spans="2:12">
      <c r="B1500" s="283">
        <v>1012</v>
      </c>
      <c r="C1500" s="288">
        <v>305324</v>
      </c>
      <c r="D1500" s="10" t="s">
        <v>737</v>
      </c>
      <c r="I1500" s="288">
        <v>305324</v>
      </c>
      <c r="J1500" s="10" t="s">
        <v>1887</v>
      </c>
      <c r="K1500" s="289">
        <v>2</v>
      </c>
      <c r="L1500" s="290" t="s">
        <v>1830</v>
      </c>
    </row>
    <row r="1501" spans="2:12">
      <c r="B1501" s="283">
        <v>1012</v>
      </c>
      <c r="C1501" s="288">
        <v>305325</v>
      </c>
      <c r="D1501" s="10" t="s">
        <v>737</v>
      </c>
      <c r="I1501" s="288">
        <v>305325</v>
      </c>
      <c r="J1501" s="10" t="s">
        <v>1888</v>
      </c>
      <c r="K1501" s="289">
        <v>2</v>
      </c>
      <c r="L1501" s="290" t="s">
        <v>1830</v>
      </c>
    </row>
    <row r="1502" spans="2:12">
      <c r="B1502" s="283">
        <v>1012</v>
      </c>
      <c r="C1502" s="288">
        <v>305326</v>
      </c>
      <c r="D1502" s="10" t="s">
        <v>737</v>
      </c>
      <c r="I1502" s="288">
        <v>305326</v>
      </c>
      <c r="J1502" s="10" t="s">
        <v>1889</v>
      </c>
      <c r="K1502" s="289">
        <v>2</v>
      </c>
      <c r="L1502" s="290" t="s">
        <v>1830</v>
      </c>
    </row>
    <row r="1503" spans="2:12">
      <c r="B1503" s="283">
        <v>1012</v>
      </c>
      <c r="C1503" s="291">
        <v>305001</v>
      </c>
      <c r="D1503" s="10" t="s">
        <v>737</v>
      </c>
      <c r="I1503" s="291">
        <v>305001</v>
      </c>
      <c r="J1503" s="291" t="s">
        <v>176</v>
      </c>
      <c r="K1503" s="291">
        <v>0</v>
      </c>
      <c r="L1503" s="292" t="s">
        <v>1827</v>
      </c>
    </row>
    <row r="1504" spans="2:12">
      <c r="B1504" s="283">
        <v>1012</v>
      </c>
      <c r="C1504" s="291">
        <v>305002</v>
      </c>
      <c r="D1504" s="10" t="s">
        <v>737</v>
      </c>
      <c r="I1504" s="291">
        <v>305002</v>
      </c>
      <c r="J1504" s="291" t="s">
        <v>181</v>
      </c>
      <c r="K1504" s="291">
        <v>0</v>
      </c>
      <c r="L1504" s="292" t="s">
        <v>1827</v>
      </c>
    </row>
    <row r="1505" spans="2:22">
      <c r="B1505" s="283">
        <v>1012</v>
      </c>
      <c r="C1505" s="291">
        <v>305003</v>
      </c>
      <c r="D1505" s="10" t="s">
        <v>737</v>
      </c>
      <c r="I1505" s="291">
        <v>305003</v>
      </c>
      <c r="J1505" s="291" t="s">
        <v>186</v>
      </c>
      <c r="K1505" s="291">
        <v>0</v>
      </c>
      <c r="L1505" s="292" t="s">
        <v>1827</v>
      </c>
    </row>
    <row r="1506" spans="2:22">
      <c r="B1506" s="283">
        <v>1012</v>
      </c>
      <c r="C1506" s="291">
        <v>305018</v>
      </c>
      <c r="D1506" s="10" t="s">
        <v>737</v>
      </c>
      <c r="I1506" s="291">
        <v>305018</v>
      </c>
      <c r="J1506" s="291" t="s">
        <v>191</v>
      </c>
      <c r="K1506" s="291">
        <v>0</v>
      </c>
      <c r="L1506" s="292" t="s">
        <v>1827</v>
      </c>
    </row>
    <row r="1507" spans="2:22">
      <c r="B1507" s="283">
        <v>1012</v>
      </c>
      <c r="C1507" s="291">
        <v>305019</v>
      </c>
      <c r="D1507" s="10" t="s">
        <v>737</v>
      </c>
      <c r="I1507" s="291">
        <v>305019</v>
      </c>
      <c r="J1507" s="291" t="s">
        <v>196</v>
      </c>
      <c r="K1507" s="291">
        <v>0</v>
      </c>
      <c r="L1507" s="292" t="s">
        <v>1827</v>
      </c>
    </row>
    <row r="1508" spans="2:22">
      <c r="B1508" s="283">
        <v>1012</v>
      </c>
      <c r="C1508" s="291">
        <v>305041</v>
      </c>
      <c r="D1508" s="10" t="s">
        <v>737</v>
      </c>
      <c r="I1508" s="291">
        <v>305041</v>
      </c>
      <c r="J1508" s="291" t="s">
        <v>282</v>
      </c>
      <c r="K1508" s="291">
        <v>0</v>
      </c>
      <c r="L1508" s="292" t="s">
        <v>1827</v>
      </c>
    </row>
    <row r="1509" spans="2:22">
      <c r="B1509" s="283">
        <v>1012</v>
      </c>
      <c r="C1509" s="291">
        <v>305042</v>
      </c>
      <c r="D1509" s="10" t="s">
        <v>737</v>
      </c>
      <c r="I1509" s="291">
        <v>305042</v>
      </c>
      <c r="J1509" s="291" t="s">
        <v>287</v>
      </c>
      <c r="K1509" s="291">
        <v>0</v>
      </c>
      <c r="L1509" s="292" t="s">
        <v>1827</v>
      </c>
    </row>
    <row r="1510" spans="2:22">
      <c r="B1510" s="283">
        <v>1012</v>
      </c>
      <c r="C1510" s="291">
        <v>305600</v>
      </c>
      <c r="D1510" s="10" t="s">
        <v>737</v>
      </c>
      <c r="I1510" s="291">
        <v>305600</v>
      </c>
      <c r="J1510" s="291" t="s">
        <v>323</v>
      </c>
      <c r="K1510" s="291">
        <v>0</v>
      </c>
      <c r="L1510" s="292" t="s">
        <v>1827</v>
      </c>
    </row>
    <row r="1511" spans="2:22">
      <c r="B1511" s="283">
        <v>1012</v>
      </c>
      <c r="C1511" s="288">
        <v>305623</v>
      </c>
      <c r="D1511" s="10" t="s">
        <v>737</v>
      </c>
      <c r="I1511" s="288">
        <v>305623</v>
      </c>
      <c r="J1511" s="10" t="s">
        <v>1864</v>
      </c>
      <c r="K1511" s="291">
        <v>0</v>
      </c>
      <c r="L1511" s="292" t="s">
        <v>1827</v>
      </c>
    </row>
    <row r="1512" spans="2:22">
      <c r="B1512" s="283">
        <v>1012</v>
      </c>
      <c r="C1512" s="288">
        <v>305624</v>
      </c>
      <c r="D1512" s="10" t="s">
        <v>737</v>
      </c>
      <c r="I1512" s="288">
        <v>305624</v>
      </c>
      <c r="J1512" s="10" t="s">
        <v>1865</v>
      </c>
      <c r="K1512" s="291">
        <v>0</v>
      </c>
      <c r="L1512" s="292" t="s">
        <v>1827</v>
      </c>
    </row>
    <row r="1513" spans="2:22">
      <c r="B1513" s="283">
        <v>1012</v>
      </c>
      <c r="C1513" s="288">
        <v>305625</v>
      </c>
      <c r="D1513" s="10" t="s">
        <v>737</v>
      </c>
      <c r="I1513" s="288">
        <v>305625</v>
      </c>
      <c r="J1513" s="10" t="s">
        <v>1866</v>
      </c>
      <c r="K1513" s="291">
        <v>0</v>
      </c>
      <c r="L1513" s="292" t="s">
        <v>1827</v>
      </c>
    </row>
    <row r="1514" spans="2:22">
      <c r="B1514" s="283">
        <v>1012</v>
      </c>
      <c r="C1514" s="288">
        <v>305626</v>
      </c>
      <c r="D1514" s="10" t="s">
        <v>737</v>
      </c>
      <c r="I1514" s="288">
        <v>305626</v>
      </c>
      <c r="J1514" s="10" t="s">
        <v>1867</v>
      </c>
      <c r="K1514" s="291">
        <v>0</v>
      </c>
      <c r="L1514" s="292" t="s">
        <v>1827</v>
      </c>
    </row>
    <row r="1515" spans="2:22">
      <c r="B1515" s="283">
        <v>1012</v>
      </c>
      <c r="C1515" s="293">
        <v>305012</v>
      </c>
      <c r="D1515" s="10" t="s">
        <v>737</v>
      </c>
      <c r="I1515" s="293">
        <v>305012</v>
      </c>
      <c r="J1515" s="293" t="s">
        <v>1230</v>
      </c>
      <c r="K1515" s="293">
        <v>6</v>
      </c>
      <c r="L1515" s="294" t="s">
        <v>1833</v>
      </c>
    </row>
    <row r="1516" spans="2:22">
      <c r="B1516" s="283">
        <v>1012</v>
      </c>
      <c r="C1516" s="293">
        <v>305013</v>
      </c>
      <c r="D1516" s="10" t="s">
        <v>737</v>
      </c>
      <c r="I1516" s="293">
        <v>305013</v>
      </c>
      <c r="J1516" s="293" t="s">
        <v>1237</v>
      </c>
      <c r="K1516" s="293">
        <v>6</v>
      </c>
      <c r="L1516" s="294" t="s">
        <v>1833</v>
      </c>
    </row>
    <row r="1517" spans="2:22">
      <c r="B1517" s="283">
        <v>1012</v>
      </c>
      <c r="C1517" s="293">
        <v>305014</v>
      </c>
      <c r="D1517" s="10" t="s">
        <v>737</v>
      </c>
      <c r="I1517" s="293">
        <v>305014</v>
      </c>
      <c r="J1517" s="293" t="s">
        <v>1241</v>
      </c>
      <c r="K1517" s="293">
        <v>6</v>
      </c>
      <c r="L1517" s="294" t="s">
        <v>1833</v>
      </c>
    </row>
    <row r="1518" spans="2:22" s="285" customFormat="1">
      <c r="B1518" s="283">
        <v>1012</v>
      </c>
      <c r="C1518" s="293">
        <v>305046</v>
      </c>
      <c r="D1518" s="285" t="s">
        <v>737</v>
      </c>
      <c r="G1518" s="10"/>
      <c r="H1518" s="10"/>
      <c r="I1518" s="293">
        <v>305046</v>
      </c>
      <c r="J1518" s="293" t="s">
        <v>309</v>
      </c>
      <c r="K1518" s="293">
        <v>6</v>
      </c>
      <c r="L1518" s="294" t="s">
        <v>1833</v>
      </c>
      <c r="M1518" s="10"/>
      <c r="R1518" s="10"/>
      <c r="S1518" s="10"/>
      <c r="T1518" s="10"/>
      <c r="U1518" s="10"/>
      <c r="V1518" s="10"/>
    </row>
    <row r="1519" spans="2:22">
      <c r="B1519" s="283">
        <v>1012</v>
      </c>
      <c r="C1519" s="288">
        <v>305815</v>
      </c>
      <c r="D1519" s="10" t="s">
        <v>737</v>
      </c>
      <c r="I1519" s="288">
        <v>305815</v>
      </c>
      <c r="J1519" s="10" t="s">
        <v>1868</v>
      </c>
      <c r="K1519" s="293">
        <v>6</v>
      </c>
      <c r="L1519" s="294" t="s">
        <v>1833</v>
      </c>
    </row>
    <row r="1520" spans="2:22">
      <c r="B1520" s="283">
        <v>1012</v>
      </c>
      <c r="C1520" s="288">
        <v>305816</v>
      </c>
      <c r="D1520" s="10" t="s">
        <v>737</v>
      </c>
      <c r="I1520" s="288">
        <v>305816</v>
      </c>
      <c r="J1520" s="10" t="s">
        <v>1869</v>
      </c>
      <c r="K1520" s="293">
        <v>6</v>
      </c>
      <c r="L1520" s="294" t="s">
        <v>1833</v>
      </c>
    </row>
    <row r="1521" spans="2:22">
      <c r="B1521" s="283">
        <v>1012</v>
      </c>
      <c r="C1521" s="288">
        <v>305817</v>
      </c>
      <c r="D1521" s="10" t="s">
        <v>737</v>
      </c>
      <c r="I1521" s="288">
        <v>305817</v>
      </c>
      <c r="J1521" s="10" t="s">
        <v>1870</v>
      </c>
      <c r="K1521" s="293">
        <v>6</v>
      </c>
      <c r="L1521" s="294" t="s">
        <v>1833</v>
      </c>
    </row>
    <row r="1522" spans="2:22" s="285" customFormat="1">
      <c r="B1522" s="283">
        <v>1012</v>
      </c>
      <c r="C1522" s="288">
        <v>305818</v>
      </c>
      <c r="D1522" s="285" t="s">
        <v>737</v>
      </c>
      <c r="G1522" s="10"/>
      <c r="H1522" s="10"/>
      <c r="I1522" s="288">
        <v>305818</v>
      </c>
      <c r="J1522" s="10" t="s">
        <v>1871</v>
      </c>
      <c r="K1522" s="293">
        <v>6</v>
      </c>
      <c r="L1522" s="294" t="s">
        <v>1833</v>
      </c>
      <c r="M1522" s="10"/>
      <c r="R1522" s="10"/>
      <c r="S1522" s="10"/>
      <c r="T1522" s="10"/>
      <c r="U1522" s="10"/>
      <c r="V1522" s="10"/>
    </row>
    <row r="1523" spans="2:22">
      <c r="B1523" s="283">
        <v>1012</v>
      </c>
      <c r="C1523" s="288">
        <v>305819</v>
      </c>
      <c r="D1523" s="10" t="s">
        <v>737</v>
      </c>
      <c r="I1523" s="288">
        <v>305819</v>
      </c>
      <c r="J1523" s="10" t="s">
        <v>1872</v>
      </c>
      <c r="K1523" s="293">
        <v>6</v>
      </c>
      <c r="L1523" s="294" t="s">
        <v>1833</v>
      </c>
    </row>
    <row r="1524" spans="2:22" s="285" customFormat="1">
      <c r="B1524" s="283">
        <v>1012</v>
      </c>
      <c r="C1524" s="288">
        <v>305820</v>
      </c>
      <c r="D1524" s="285" t="s">
        <v>737</v>
      </c>
      <c r="G1524" s="10"/>
      <c r="H1524" s="10"/>
      <c r="I1524" s="288">
        <v>305820</v>
      </c>
      <c r="J1524" s="10" t="s">
        <v>1873</v>
      </c>
      <c r="K1524" s="293">
        <v>6</v>
      </c>
      <c r="L1524" s="294" t="s">
        <v>1833</v>
      </c>
      <c r="M1524" s="10"/>
      <c r="R1524" s="10"/>
      <c r="S1524" s="10"/>
      <c r="T1524" s="10"/>
      <c r="U1524" s="10"/>
      <c r="V1524" s="10"/>
    </row>
    <row r="1525" spans="2:22">
      <c r="B1525" s="283">
        <v>1012</v>
      </c>
      <c r="C1525" s="295">
        <v>305015</v>
      </c>
      <c r="D1525" s="10" t="s">
        <v>737</v>
      </c>
      <c r="I1525" s="295">
        <v>305015</v>
      </c>
      <c r="J1525" s="295" t="s">
        <v>1245</v>
      </c>
      <c r="K1525" s="295">
        <v>7</v>
      </c>
      <c r="L1525" s="296" t="s">
        <v>538</v>
      </c>
    </row>
    <row r="1526" spans="2:22">
      <c r="B1526" s="283">
        <v>1012</v>
      </c>
      <c r="C1526" s="295">
        <v>305016</v>
      </c>
      <c r="D1526" s="10" t="s">
        <v>737</v>
      </c>
      <c r="I1526" s="295">
        <v>305016</v>
      </c>
      <c r="J1526" s="295" t="s">
        <v>1251</v>
      </c>
      <c r="K1526" s="295">
        <v>7</v>
      </c>
      <c r="L1526" s="296" t="s">
        <v>538</v>
      </c>
    </row>
    <row r="1527" spans="2:22">
      <c r="B1527" s="283">
        <v>1012</v>
      </c>
      <c r="C1527" s="295">
        <v>305017</v>
      </c>
      <c r="D1527" s="10" t="s">
        <v>737</v>
      </c>
      <c r="I1527" s="295">
        <v>305017</v>
      </c>
      <c r="J1527" s="295" t="s">
        <v>1255</v>
      </c>
      <c r="K1527" s="295">
        <v>7</v>
      </c>
      <c r="L1527" s="296" t="s">
        <v>538</v>
      </c>
    </row>
    <row r="1528" spans="2:22">
      <c r="B1528" s="283">
        <v>1012</v>
      </c>
      <c r="C1528" s="295">
        <v>305700</v>
      </c>
      <c r="D1528" s="10" t="s">
        <v>737</v>
      </c>
      <c r="I1528" s="295">
        <v>305700</v>
      </c>
      <c r="J1528" s="295" t="s">
        <v>328</v>
      </c>
      <c r="K1528" s="295">
        <v>7</v>
      </c>
      <c r="L1528" s="296" t="s">
        <v>538</v>
      </c>
    </row>
    <row r="1529" spans="2:22">
      <c r="B1529" s="283">
        <v>1012</v>
      </c>
      <c r="C1529" s="288">
        <v>305719</v>
      </c>
      <c r="D1529" s="10" t="s">
        <v>737</v>
      </c>
      <c r="I1529" s="288">
        <v>305719</v>
      </c>
      <c r="J1529" s="10" t="s">
        <v>1874</v>
      </c>
      <c r="K1529" s="295">
        <v>7</v>
      </c>
      <c r="L1529" s="296" t="s">
        <v>538</v>
      </c>
    </row>
    <row r="1530" spans="2:22">
      <c r="B1530" s="283">
        <v>1012</v>
      </c>
      <c r="C1530" s="288">
        <v>305720</v>
      </c>
      <c r="D1530" s="10" t="s">
        <v>737</v>
      </c>
      <c r="I1530" s="288">
        <v>305720</v>
      </c>
      <c r="J1530" s="10" t="s">
        <v>1875</v>
      </c>
      <c r="K1530" s="295">
        <v>7</v>
      </c>
      <c r="L1530" s="296" t="s">
        <v>538</v>
      </c>
    </row>
    <row r="1531" spans="2:22">
      <c r="B1531" s="283">
        <v>1012</v>
      </c>
      <c r="C1531" s="288">
        <v>305721</v>
      </c>
      <c r="D1531" s="10" t="s">
        <v>737</v>
      </c>
      <c r="I1531" s="288">
        <v>305721</v>
      </c>
      <c r="J1531" s="10" t="s">
        <v>1876</v>
      </c>
      <c r="K1531" s="295">
        <v>7</v>
      </c>
      <c r="L1531" s="296" t="s">
        <v>538</v>
      </c>
    </row>
    <row r="1532" spans="2:22">
      <c r="B1532" s="283">
        <v>1012</v>
      </c>
      <c r="C1532" s="288">
        <v>305722</v>
      </c>
      <c r="D1532" s="10" t="s">
        <v>737</v>
      </c>
      <c r="I1532" s="288">
        <v>305722</v>
      </c>
      <c r="J1532" s="10" t="s">
        <v>1877</v>
      </c>
      <c r="K1532" s="295">
        <v>7</v>
      </c>
      <c r="L1532" s="296" t="s">
        <v>538</v>
      </c>
    </row>
    <row r="1533" spans="2:22">
      <c r="B1533" s="283">
        <v>1012</v>
      </c>
      <c r="C1533" s="288">
        <v>305723</v>
      </c>
      <c r="D1533" s="10" t="s">
        <v>737</v>
      </c>
      <c r="I1533" s="288">
        <v>305723</v>
      </c>
      <c r="J1533" s="10" t="s">
        <v>1878</v>
      </c>
      <c r="K1533" s="295">
        <v>7</v>
      </c>
      <c r="L1533" s="296" t="s">
        <v>538</v>
      </c>
    </row>
    <row r="1534" spans="2:22">
      <c r="B1534" s="283">
        <v>1012</v>
      </c>
      <c r="C1534" s="288">
        <v>305724</v>
      </c>
      <c r="D1534" s="10" t="s">
        <v>737</v>
      </c>
      <c r="I1534" s="288">
        <v>305724</v>
      </c>
      <c r="J1534" s="10" t="s">
        <v>1879</v>
      </c>
      <c r="K1534" s="295">
        <v>7</v>
      </c>
      <c r="L1534" s="296" t="s">
        <v>538</v>
      </c>
    </row>
    <row r="1535" spans="2:22">
      <c r="B1535" s="283">
        <v>1012</v>
      </c>
      <c r="C1535" s="297">
        <v>305011</v>
      </c>
      <c r="D1535" s="10" t="s">
        <v>737</v>
      </c>
      <c r="I1535" s="297">
        <v>305011</v>
      </c>
      <c r="J1535" s="297" t="s">
        <v>161</v>
      </c>
      <c r="K1535" s="297">
        <v>3</v>
      </c>
      <c r="L1535" s="298" t="s">
        <v>1831</v>
      </c>
    </row>
    <row r="1536" spans="2:22">
      <c r="B1536" s="283">
        <v>1012</v>
      </c>
      <c r="C1536" s="299">
        <v>305025</v>
      </c>
      <c r="D1536" s="10" t="s">
        <v>737</v>
      </c>
      <c r="I1536" s="299">
        <v>305025</v>
      </c>
      <c r="J1536" s="299" t="s">
        <v>200</v>
      </c>
      <c r="K1536" s="299">
        <v>4</v>
      </c>
      <c r="L1536" s="300" t="s">
        <v>1832</v>
      </c>
    </row>
    <row r="1537" spans="1:22" s="285" customFormat="1">
      <c r="A1537" s="10"/>
      <c r="B1537" s="283">
        <v>1012</v>
      </c>
      <c r="C1537" s="299">
        <v>305026</v>
      </c>
      <c r="D1537" s="10" t="s">
        <v>737</v>
      </c>
      <c r="E1537" s="10"/>
      <c r="F1537" s="10"/>
      <c r="G1537" s="10"/>
      <c r="H1537" s="10"/>
      <c r="I1537" s="299">
        <v>305026</v>
      </c>
      <c r="J1537" s="299" t="s">
        <v>204</v>
      </c>
      <c r="K1537" s="299">
        <v>4</v>
      </c>
      <c r="L1537" s="300" t="s">
        <v>1832</v>
      </c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</row>
    <row r="1538" spans="1:22" s="285" customFormat="1">
      <c r="A1538" s="10"/>
      <c r="B1538" s="283">
        <v>1012</v>
      </c>
      <c r="C1538" s="299">
        <v>305050</v>
      </c>
      <c r="D1538" s="10" t="s">
        <v>737</v>
      </c>
      <c r="E1538" s="10"/>
      <c r="F1538" s="10"/>
      <c r="G1538" s="10"/>
      <c r="H1538" s="10"/>
      <c r="I1538" s="299">
        <v>305050</v>
      </c>
      <c r="J1538" s="299" t="s">
        <v>300</v>
      </c>
      <c r="K1538" s="299">
        <v>4</v>
      </c>
      <c r="L1538" s="300" t="s">
        <v>1832</v>
      </c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</row>
    <row r="1539" spans="1:22" s="285" customFormat="1">
      <c r="A1539" s="10"/>
      <c r="B1539" s="283">
        <v>1012</v>
      </c>
      <c r="C1539" s="299">
        <v>305051</v>
      </c>
      <c r="D1539" s="10" t="s">
        <v>737</v>
      </c>
      <c r="E1539" s="10"/>
      <c r="F1539" s="10"/>
      <c r="G1539" s="10"/>
      <c r="H1539" s="10"/>
      <c r="I1539" s="299">
        <v>305051</v>
      </c>
      <c r="J1539" s="299" t="s">
        <v>340</v>
      </c>
      <c r="K1539" s="299">
        <v>4</v>
      </c>
      <c r="L1539" s="300" t="s">
        <v>1832</v>
      </c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</row>
    <row r="1540" spans="1:22">
      <c r="B1540" s="283">
        <v>1012</v>
      </c>
      <c r="C1540" s="288">
        <v>305055</v>
      </c>
      <c r="D1540" s="10" t="s">
        <v>737</v>
      </c>
      <c r="I1540" s="288">
        <v>305055</v>
      </c>
      <c r="J1540" s="10" t="s">
        <v>1880</v>
      </c>
      <c r="K1540" s="299">
        <v>4</v>
      </c>
      <c r="L1540" s="300" t="s">
        <v>1832</v>
      </c>
    </row>
    <row r="1541" spans="1:22" s="285" customFormat="1">
      <c r="A1541" s="10"/>
      <c r="B1541" s="283">
        <v>1012</v>
      </c>
      <c r="C1541" s="288">
        <v>305056</v>
      </c>
      <c r="D1541" s="10" t="s">
        <v>737</v>
      </c>
      <c r="E1541" s="10"/>
      <c r="F1541" s="10"/>
      <c r="G1541" s="10"/>
      <c r="H1541" s="10"/>
      <c r="I1541" s="288">
        <v>305056</v>
      </c>
      <c r="J1541" s="10" t="s">
        <v>1881</v>
      </c>
      <c r="K1541" s="299">
        <v>4</v>
      </c>
      <c r="L1541" s="300" t="s">
        <v>1832</v>
      </c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</row>
    <row r="1542" spans="1:22" s="285" customFormat="1">
      <c r="A1542" s="10"/>
      <c r="B1542" s="283">
        <v>1012</v>
      </c>
      <c r="C1542" s="288">
        <v>306104</v>
      </c>
      <c r="D1542" s="10" t="s">
        <v>737</v>
      </c>
      <c r="E1542" s="10"/>
      <c r="F1542" s="10"/>
      <c r="G1542" s="10"/>
      <c r="H1542" s="10"/>
      <c r="I1542" s="288">
        <v>306104</v>
      </c>
      <c r="J1542" s="10" t="s">
        <v>1882</v>
      </c>
      <c r="K1542" s="299">
        <v>4</v>
      </c>
      <c r="L1542" s="300" t="s">
        <v>1886</v>
      </c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</row>
    <row r="1543" spans="1:22" s="285" customFormat="1">
      <c r="A1543" s="10"/>
      <c r="B1543" s="283">
        <v>1012</v>
      </c>
      <c r="C1543" s="288">
        <v>306105</v>
      </c>
      <c r="D1543" s="10" t="s">
        <v>737</v>
      </c>
      <c r="E1543" s="10"/>
      <c r="F1543" s="10"/>
      <c r="G1543" s="10"/>
      <c r="H1543" s="10"/>
      <c r="I1543" s="288">
        <v>306105</v>
      </c>
      <c r="J1543" s="10" t="s">
        <v>1883</v>
      </c>
      <c r="K1543" s="299">
        <v>4</v>
      </c>
      <c r="L1543" s="300" t="s">
        <v>1886</v>
      </c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</row>
    <row r="1544" spans="1:22" s="285" customFormat="1">
      <c r="A1544" s="10"/>
      <c r="B1544" s="283">
        <v>1012</v>
      </c>
      <c r="C1544" s="288">
        <v>306106</v>
      </c>
      <c r="D1544" s="10" t="s">
        <v>737</v>
      </c>
      <c r="E1544" s="10"/>
      <c r="F1544" s="10"/>
      <c r="G1544" s="10"/>
      <c r="H1544" s="10"/>
      <c r="I1544" s="288">
        <v>306106</v>
      </c>
      <c r="J1544" s="10" t="s">
        <v>1884</v>
      </c>
      <c r="K1544" s="299">
        <v>4</v>
      </c>
      <c r="L1544" s="300" t="s">
        <v>1886</v>
      </c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</row>
    <row r="1545" spans="1:22" s="285" customFormat="1">
      <c r="A1545" s="10"/>
      <c r="B1545" s="283">
        <v>1012</v>
      </c>
      <c r="C1545" s="288">
        <v>306107</v>
      </c>
      <c r="D1545" s="10" t="s">
        <v>737</v>
      </c>
      <c r="E1545" s="10"/>
      <c r="F1545" s="10"/>
      <c r="G1545" s="10"/>
      <c r="H1545" s="10"/>
      <c r="I1545" s="288">
        <v>306107</v>
      </c>
      <c r="J1545" s="10" t="s">
        <v>1885</v>
      </c>
      <c r="K1545" s="299">
        <v>4</v>
      </c>
      <c r="L1545" s="300" t="s">
        <v>1886</v>
      </c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</row>
    <row r="1546" spans="1:22">
      <c r="B1546" s="306">
        <v>1012</v>
      </c>
      <c r="C1546" s="282">
        <v>303012</v>
      </c>
      <c r="D1546" s="301" t="s">
        <v>38</v>
      </c>
    </row>
    <row r="1547" spans="1:22">
      <c r="B1547" s="306">
        <v>1012</v>
      </c>
      <c r="C1547" s="282">
        <v>303013</v>
      </c>
      <c r="D1547" s="301" t="s">
        <v>38</v>
      </c>
    </row>
    <row r="1548" spans="1:22">
      <c r="B1548" s="306">
        <v>1012</v>
      </c>
      <c r="C1548" s="282">
        <v>303022</v>
      </c>
      <c r="D1548" s="301" t="s">
        <v>38</v>
      </c>
    </row>
    <row r="1549" spans="1:22">
      <c r="B1549" s="306">
        <v>1012</v>
      </c>
      <c r="C1549" s="282">
        <v>303023</v>
      </c>
      <c r="D1549" s="301" t="s">
        <v>38</v>
      </c>
    </row>
    <row r="1550" spans="1:22">
      <c r="B1550" s="306">
        <v>1012</v>
      </c>
      <c r="C1550" s="282">
        <v>303032</v>
      </c>
      <c r="D1550" s="301" t="s">
        <v>38</v>
      </c>
    </row>
    <row r="1551" spans="1:22">
      <c r="B1551" s="306">
        <v>1012</v>
      </c>
      <c r="C1551" s="282">
        <v>303033</v>
      </c>
      <c r="D1551" s="301" t="s">
        <v>38</v>
      </c>
    </row>
    <row r="1552" spans="1:22">
      <c r="B1552" s="306">
        <v>1012</v>
      </c>
      <c r="C1552" s="282">
        <v>303042</v>
      </c>
      <c r="D1552" s="301" t="s">
        <v>38</v>
      </c>
    </row>
    <row r="1553" spans="2:4">
      <c r="B1553" s="306">
        <v>1012</v>
      </c>
      <c r="C1553" s="282">
        <v>303043</v>
      </c>
      <c r="D1553" s="301" t="s">
        <v>38</v>
      </c>
    </row>
    <row r="1554" spans="2:4">
      <c r="B1554" s="306">
        <v>1012</v>
      </c>
      <c r="C1554" s="282">
        <v>303052</v>
      </c>
      <c r="D1554" s="301" t="s">
        <v>38</v>
      </c>
    </row>
    <row r="1555" spans="2:4">
      <c r="B1555" s="306">
        <v>1012</v>
      </c>
      <c r="C1555" s="282">
        <v>303053</v>
      </c>
      <c r="D1555" s="301" t="s">
        <v>38</v>
      </c>
    </row>
    <row r="1556" spans="2:4">
      <c r="B1556" s="306">
        <v>1012</v>
      </c>
      <c r="C1556" s="282">
        <v>303062</v>
      </c>
      <c r="D1556" s="301" t="s">
        <v>38</v>
      </c>
    </row>
    <row r="1557" spans="2:4">
      <c r="B1557" s="306">
        <v>1012</v>
      </c>
      <c r="C1557" s="282">
        <v>303063</v>
      </c>
      <c r="D1557" s="301" t="s">
        <v>38</v>
      </c>
    </row>
    <row r="1558" spans="2:4">
      <c r="B1558" s="306">
        <v>1012</v>
      </c>
      <c r="C1558" s="282">
        <v>303072</v>
      </c>
      <c r="D1558" s="301" t="s">
        <v>38</v>
      </c>
    </row>
    <row r="1559" spans="2:4">
      <c r="B1559" s="306">
        <v>1012</v>
      </c>
      <c r="C1559" s="282">
        <v>303073</v>
      </c>
      <c r="D1559" s="301" t="s">
        <v>38</v>
      </c>
    </row>
    <row r="1560" spans="2:4">
      <c r="B1560" s="306">
        <v>1012</v>
      </c>
      <c r="C1560" s="282">
        <v>303082</v>
      </c>
      <c r="D1560" s="301" t="s">
        <v>38</v>
      </c>
    </row>
    <row r="1561" spans="2:4">
      <c r="B1561" s="306">
        <v>1012</v>
      </c>
      <c r="C1561" s="282">
        <v>303083</v>
      </c>
      <c r="D1561" s="301" t="s">
        <v>38</v>
      </c>
    </row>
    <row r="1562" spans="2:4">
      <c r="B1562" s="305">
        <v>1013</v>
      </c>
      <c r="C1562" s="43">
        <v>200004</v>
      </c>
      <c r="D1562" s="10" t="s">
        <v>736</v>
      </c>
    </row>
    <row r="1563" spans="2:4">
      <c r="B1563" s="305">
        <v>1013</v>
      </c>
      <c r="C1563" s="43">
        <v>200003</v>
      </c>
      <c r="D1563" s="10" t="s">
        <v>736</v>
      </c>
    </row>
    <row r="1564" spans="2:4">
      <c r="B1564" s="305">
        <v>1013</v>
      </c>
      <c r="C1564" s="43">
        <v>200005</v>
      </c>
      <c r="D1564" s="10" t="s">
        <v>736</v>
      </c>
    </row>
    <row r="1565" spans="2:4">
      <c r="B1565" s="305">
        <v>1013</v>
      </c>
      <c r="C1565" s="43">
        <v>200006</v>
      </c>
      <c r="D1565" s="10" t="s">
        <v>736</v>
      </c>
    </row>
    <row r="1566" spans="2:4">
      <c r="B1566" s="305">
        <v>1013</v>
      </c>
      <c r="C1566" s="43">
        <v>200007</v>
      </c>
      <c r="D1566" s="10" t="s">
        <v>736</v>
      </c>
    </row>
    <row r="1567" spans="2:4">
      <c r="B1567" s="305">
        <v>1013</v>
      </c>
      <c r="C1567" s="43">
        <v>200008</v>
      </c>
      <c r="D1567" s="10" t="s">
        <v>736</v>
      </c>
    </row>
    <row r="1568" spans="2:4">
      <c r="B1568" s="305">
        <v>1013</v>
      </c>
      <c r="C1568" s="43">
        <v>200009</v>
      </c>
      <c r="D1568" s="10" t="s">
        <v>736</v>
      </c>
    </row>
    <row r="1569" spans="2:4">
      <c r="B1569" s="305">
        <v>1013</v>
      </c>
      <c r="C1569" s="43">
        <v>200010</v>
      </c>
      <c r="D1569" s="10" t="s">
        <v>736</v>
      </c>
    </row>
    <row r="1570" spans="2:4">
      <c r="B1570" s="305">
        <v>1013</v>
      </c>
      <c r="C1570" s="43">
        <v>200016</v>
      </c>
      <c r="D1570" s="10" t="s">
        <v>736</v>
      </c>
    </row>
    <row r="1571" spans="2:4">
      <c r="B1571" s="305">
        <v>1013</v>
      </c>
      <c r="C1571" s="43">
        <v>200017</v>
      </c>
      <c r="D1571" s="10" t="s">
        <v>736</v>
      </c>
    </row>
    <row r="1572" spans="2:4">
      <c r="B1572" s="305">
        <v>1013</v>
      </c>
      <c r="C1572" s="43">
        <v>200018</v>
      </c>
      <c r="D1572" s="10" t="s">
        <v>736</v>
      </c>
    </row>
    <row r="1573" spans="2:4">
      <c r="B1573" s="305">
        <v>1013</v>
      </c>
      <c r="C1573" s="43">
        <v>200019</v>
      </c>
      <c r="D1573" s="10" t="s">
        <v>736</v>
      </c>
    </row>
    <row r="1574" spans="2:4">
      <c r="B1574" s="305">
        <v>1013</v>
      </c>
      <c r="C1574" s="43">
        <v>200020</v>
      </c>
      <c r="D1574" s="10" t="s">
        <v>736</v>
      </c>
    </row>
    <row r="1575" spans="2:4">
      <c r="B1575" s="305">
        <v>1013</v>
      </c>
      <c r="C1575" s="43">
        <v>200021</v>
      </c>
      <c r="D1575" s="10" t="s">
        <v>736</v>
      </c>
    </row>
    <row r="1576" spans="2:4">
      <c r="B1576" s="305">
        <v>1013</v>
      </c>
      <c r="C1576" s="43">
        <v>200024</v>
      </c>
      <c r="D1576" s="10" t="s">
        <v>736</v>
      </c>
    </row>
    <row r="1577" spans="2:4">
      <c r="B1577" s="305">
        <v>1013</v>
      </c>
      <c r="C1577" s="43">
        <v>200026</v>
      </c>
      <c r="D1577" s="10" t="s">
        <v>736</v>
      </c>
    </row>
    <row r="1578" spans="2:4">
      <c r="B1578" s="305">
        <v>1013</v>
      </c>
      <c r="C1578" s="43">
        <v>200029</v>
      </c>
      <c r="D1578" s="10" t="s">
        <v>736</v>
      </c>
    </row>
    <row r="1579" spans="2:4">
      <c r="B1579" s="305">
        <v>1013</v>
      </c>
      <c r="C1579" s="43">
        <v>200028</v>
      </c>
      <c r="D1579" s="10" t="s">
        <v>736</v>
      </c>
    </row>
    <row r="1580" spans="2:4">
      <c r="B1580" s="305">
        <v>1013</v>
      </c>
      <c r="C1580" s="43">
        <v>200032</v>
      </c>
      <c r="D1580" s="10" t="s">
        <v>736</v>
      </c>
    </row>
    <row r="1581" spans="2:4">
      <c r="B1581" s="305">
        <v>1013</v>
      </c>
      <c r="C1581" s="43">
        <v>200033</v>
      </c>
      <c r="D1581" s="10" t="s">
        <v>736</v>
      </c>
    </row>
    <row r="1582" spans="2:4">
      <c r="B1582" s="305">
        <v>1013</v>
      </c>
      <c r="C1582" s="43">
        <v>200038</v>
      </c>
      <c r="D1582" s="10" t="s">
        <v>736</v>
      </c>
    </row>
    <row r="1583" spans="2:4">
      <c r="B1583" s="305">
        <v>1013</v>
      </c>
      <c r="C1583" s="43">
        <v>200044</v>
      </c>
      <c r="D1583" s="10" t="s">
        <v>736</v>
      </c>
    </row>
    <row r="1584" spans="2:4">
      <c r="B1584" s="305">
        <v>1013</v>
      </c>
      <c r="C1584" s="43">
        <v>200046</v>
      </c>
      <c r="D1584" s="10" t="s">
        <v>736</v>
      </c>
    </row>
    <row r="1585" spans="1:4">
      <c r="B1585" s="10">
        <v>1013</v>
      </c>
      <c r="C1585" s="43">
        <v>200048</v>
      </c>
      <c r="D1585" s="10" t="s">
        <v>736</v>
      </c>
    </row>
    <row r="1586" spans="1:4">
      <c r="B1586" s="305">
        <v>1013</v>
      </c>
      <c r="C1586" s="43">
        <v>200053</v>
      </c>
      <c r="D1586" s="305" t="s">
        <v>736</v>
      </c>
    </row>
    <row r="1587" spans="1:4">
      <c r="B1587" s="10">
        <v>1013</v>
      </c>
      <c r="C1587" s="43">
        <v>200059</v>
      </c>
      <c r="D1587" s="10" t="s">
        <v>736</v>
      </c>
    </row>
    <row r="1588" spans="1:4" ht="13.5" customHeight="1">
      <c r="B1588" s="10">
        <v>1013</v>
      </c>
      <c r="C1588" s="43">
        <v>200066</v>
      </c>
      <c r="D1588" s="10" t="s">
        <v>736</v>
      </c>
    </row>
    <row r="1589" spans="1:4" ht="13.5" customHeight="1">
      <c r="B1589" s="10">
        <v>1013</v>
      </c>
      <c r="C1589" s="43">
        <v>200067</v>
      </c>
      <c r="D1589" s="10" t="s">
        <v>736</v>
      </c>
    </row>
    <row r="1590" spans="1:4" ht="13.5" customHeight="1">
      <c r="B1590" s="10">
        <v>1013</v>
      </c>
      <c r="C1590" s="43">
        <v>200068</v>
      </c>
      <c r="D1590" s="10" t="s">
        <v>736</v>
      </c>
    </row>
    <row r="1591" spans="1:4" ht="13.5" customHeight="1">
      <c r="B1591" s="10">
        <v>1013</v>
      </c>
      <c r="C1591" s="43">
        <v>200069</v>
      </c>
      <c r="D1591" s="10" t="s">
        <v>736</v>
      </c>
    </row>
    <row r="1592" spans="1:4" ht="13.5" customHeight="1">
      <c r="B1592" s="10">
        <v>1013</v>
      </c>
      <c r="C1592" s="43">
        <v>200074</v>
      </c>
      <c r="D1592" s="10" t="s">
        <v>736</v>
      </c>
    </row>
    <row r="1593" spans="1:4" ht="13.5" customHeight="1">
      <c r="B1593" s="10">
        <v>1013</v>
      </c>
      <c r="C1593" s="43">
        <v>200077</v>
      </c>
      <c r="D1593" s="270" t="s">
        <v>1842</v>
      </c>
    </row>
    <row r="1594" spans="1:4" ht="13.5" customHeight="1">
      <c r="A1594" s="270" t="s">
        <v>2031</v>
      </c>
      <c r="B1594" s="10">
        <v>1013</v>
      </c>
      <c r="C1594" s="10">
        <v>200083</v>
      </c>
      <c r="D1594" s="270" t="s">
        <v>1842</v>
      </c>
    </row>
    <row r="1595" spans="1:4" ht="13.5" customHeight="1">
      <c r="A1595" s="270" t="s">
        <v>2029</v>
      </c>
      <c r="B1595" s="10">
        <v>1013</v>
      </c>
      <c r="C1595" s="10">
        <v>200084</v>
      </c>
      <c r="D1595" s="270" t="s">
        <v>1842</v>
      </c>
    </row>
    <row r="1596" spans="1:4" ht="13.5" customHeight="1">
      <c r="A1596" s="270" t="s">
        <v>2027</v>
      </c>
      <c r="B1596" s="10">
        <v>1013</v>
      </c>
      <c r="C1596" s="10">
        <v>200093</v>
      </c>
      <c r="D1596" s="270" t="s">
        <v>1842</v>
      </c>
    </row>
    <row r="1597" spans="1:4" ht="13.5" customHeight="1">
      <c r="A1597" s="270" t="s">
        <v>2025</v>
      </c>
      <c r="B1597" s="10">
        <v>1013</v>
      </c>
      <c r="C1597" s="10">
        <v>200094</v>
      </c>
      <c r="D1597" s="270" t="s">
        <v>1842</v>
      </c>
    </row>
    <row r="1598" spans="1:4" ht="13.5" customHeight="1">
      <c r="A1598" s="270" t="s">
        <v>2023</v>
      </c>
      <c r="B1598" s="10">
        <v>1013</v>
      </c>
      <c r="C1598" s="10">
        <v>200091</v>
      </c>
      <c r="D1598" s="270" t="s">
        <v>1842</v>
      </c>
    </row>
    <row r="1599" spans="1:4" ht="13.5" customHeight="1">
      <c r="A1599" s="270" t="s">
        <v>2043</v>
      </c>
      <c r="B1599" s="10">
        <v>1013</v>
      </c>
      <c r="C1599" s="10">
        <v>20000107</v>
      </c>
      <c r="D1599" s="270" t="s">
        <v>1842</v>
      </c>
    </row>
    <row r="1600" spans="1:4" ht="13.5" customHeight="1">
      <c r="A1600" s="270" t="s">
        <v>2061</v>
      </c>
      <c r="B1600" s="43">
        <v>1013</v>
      </c>
      <c r="C1600" s="43">
        <v>200099</v>
      </c>
      <c r="D1600" s="43" t="s">
        <v>1842</v>
      </c>
    </row>
    <row r="1601" spans="1:12" ht="13.5" customHeight="1">
      <c r="A1601" s="270" t="s">
        <v>2062</v>
      </c>
      <c r="B1601" s="43">
        <v>1013</v>
      </c>
      <c r="C1601" s="43">
        <v>200098</v>
      </c>
      <c r="D1601" s="43" t="s">
        <v>1842</v>
      </c>
    </row>
    <row r="1602" spans="1:12" ht="13.5" customHeight="1">
      <c r="A1602" s="315" t="s">
        <v>2092</v>
      </c>
      <c r="B1602" s="43">
        <v>1013</v>
      </c>
      <c r="C1602" s="315">
        <v>20000106</v>
      </c>
      <c r="D1602" s="315" t="s">
        <v>736</v>
      </c>
    </row>
    <row r="1603" spans="1:12">
      <c r="B1603" s="301">
        <v>1013</v>
      </c>
      <c r="C1603" s="302">
        <v>30580015</v>
      </c>
      <c r="D1603" s="303" t="s">
        <v>737</v>
      </c>
      <c r="E1603" s="303">
        <v>250121</v>
      </c>
    </row>
    <row r="1604" spans="1:12">
      <c r="B1604" s="301">
        <v>1013</v>
      </c>
      <c r="C1604" s="302">
        <v>30570009</v>
      </c>
      <c r="D1604" s="303" t="s">
        <v>737</v>
      </c>
      <c r="E1604" s="303">
        <v>250121</v>
      </c>
    </row>
    <row r="1605" spans="1:12">
      <c r="B1605" s="301">
        <v>1013</v>
      </c>
      <c r="C1605" s="302">
        <v>30560007</v>
      </c>
      <c r="D1605" s="303" t="s">
        <v>737</v>
      </c>
      <c r="E1605" s="303">
        <v>250121</v>
      </c>
    </row>
    <row r="1606" spans="1:12">
      <c r="B1606" s="301">
        <v>1013</v>
      </c>
      <c r="C1606" s="302">
        <v>30505005</v>
      </c>
      <c r="D1606" s="303" t="s">
        <v>737</v>
      </c>
      <c r="E1606" s="303">
        <v>250121</v>
      </c>
    </row>
    <row r="1607" spans="1:12">
      <c r="B1607" s="301">
        <v>1013</v>
      </c>
      <c r="C1607" s="302">
        <v>30550022</v>
      </c>
      <c r="D1607" s="303" t="s">
        <v>737</v>
      </c>
      <c r="E1607" s="303">
        <v>250121</v>
      </c>
    </row>
    <row r="1608" spans="1:12">
      <c r="B1608" s="283">
        <v>1013</v>
      </c>
      <c r="C1608" s="286">
        <v>305007</v>
      </c>
      <c r="D1608" s="10" t="s">
        <v>737</v>
      </c>
      <c r="I1608" s="286">
        <v>305007</v>
      </c>
      <c r="J1608" s="286" t="s">
        <v>1213</v>
      </c>
      <c r="K1608" s="286">
        <v>1</v>
      </c>
      <c r="L1608" s="287" t="s">
        <v>1828</v>
      </c>
    </row>
    <row r="1609" spans="1:12">
      <c r="B1609" s="283">
        <v>1013</v>
      </c>
      <c r="C1609" s="286">
        <v>305008</v>
      </c>
      <c r="D1609" s="10" t="s">
        <v>737</v>
      </c>
      <c r="I1609" s="286">
        <v>305008</v>
      </c>
      <c r="J1609" s="286" t="s">
        <v>1217</v>
      </c>
      <c r="K1609" s="286">
        <v>1</v>
      </c>
      <c r="L1609" s="287" t="s">
        <v>1828</v>
      </c>
    </row>
    <row r="1610" spans="1:12">
      <c r="B1610" s="283">
        <v>1013</v>
      </c>
      <c r="C1610" s="286">
        <v>305009</v>
      </c>
      <c r="D1610" s="10" t="s">
        <v>737</v>
      </c>
      <c r="I1610" s="286">
        <v>305009</v>
      </c>
      <c r="J1610" s="286" t="s">
        <v>1220</v>
      </c>
      <c r="K1610" s="286">
        <v>1</v>
      </c>
      <c r="L1610" s="287" t="s">
        <v>1828</v>
      </c>
    </row>
    <row r="1611" spans="1:12">
      <c r="B1611" s="283">
        <v>1013</v>
      </c>
      <c r="C1611" s="286">
        <v>305023</v>
      </c>
      <c r="D1611" s="10" t="s">
        <v>737</v>
      </c>
      <c r="I1611" s="286">
        <v>305023</v>
      </c>
      <c r="J1611" s="286" t="s">
        <v>1277</v>
      </c>
      <c r="K1611" s="286">
        <v>1</v>
      </c>
      <c r="L1611" s="287" t="s">
        <v>1828</v>
      </c>
    </row>
    <row r="1612" spans="1:12">
      <c r="B1612" s="283">
        <v>1013</v>
      </c>
      <c r="C1612" s="286">
        <v>305034</v>
      </c>
      <c r="D1612" s="10" t="s">
        <v>737</v>
      </c>
      <c r="I1612" s="286">
        <v>305034</v>
      </c>
      <c r="J1612" s="286" t="s">
        <v>222</v>
      </c>
      <c r="K1612" s="286">
        <v>1</v>
      </c>
      <c r="L1612" s="287" t="s">
        <v>1828</v>
      </c>
    </row>
    <row r="1613" spans="1:12">
      <c r="B1613" s="283">
        <v>1013</v>
      </c>
      <c r="C1613" s="286">
        <v>305035</v>
      </c>
      <c r="D1613" s="10" t="s">
        <v>737</v>
      </c>
      <c r="I1613" s="286">
        <v>305035</v>
      </c>
      <c r="J1613" s="286" t="s">
        <v>227</v>
      </c>
      <c r="K1613" s="286">
        <v>1</v>
      </c>
      <c r="L1613" s="287" t="s">
        <v>1828</v>
      </c>
    </row>
    <row r="1614" spans="1:12">
      <c r="B1614" s="283">
        <v>1013</v>
      </c>
      <c r="C1614" s="286">
        <v>305036</v>
      </c>
      <c r="D1614" s="10" t="s">
        <v>737</v>
      </c>
      <c r="I1614" s="286">
        <v>305036</v>
      </c>
      <c r="J1614" s="286" t="s">
        <v>232</v>
      </c>
      <c r="K1614" s="286">
        <v>1</v>
      </c>
      <c r="L1614" s="287" t="s">
        <v>1828</v>
      </c>
    </row>
    <row r="1615" spans="1:12">
      <c r="B1615" s="283">
        <v>1013</v>
      </c>
      <c r="C1615" s="286">
        <v>305039</v>
      </c>
      <c r="D1615" s="10" t="s">
        <v>737</v>
      </c>
      <c r="I1615" s="286">
        <v>305039</v>
      </c>
      <c r="J1615" s="286" t="s">
        <v>1829</v>
      </c>
      <c r="K1615" s="286">
        <v>1</v>
      </c>
      <c r="L1615" s="287" t="s">
        <v>1828</v>
      </c>
    </row>
    <row r="1616" spans="1:12">
      <c r="B1616" s="283">
        <v>1013</v>
      </c>
      <c r="C1616" s="286">
        <v>305040</v>
      </c>
      <c r="D1616" s="10" t="s">
        <v>737</v>
      </c>
      <c r="I1616" s="286">
        <v>305040</v>
      </c>
      <c r="J1616" s="286" t="s">
        <v>277</v>
      </c>
      <c r="K1616" s="286">
        <v>1</v>
      </c>
      <c r="L1616" s="287" t="s">
        <v>1828</v>
      </c>
    </row>
    <row r="1617" spans="2:12">
      <c r="B1617" s="283">
        <v>1013</v>
      </c>
      <c r="C1617" s="286">
        <v>305200</v>
      </c>
      <c r="D1617" s="10" t="s">
        <v>737</v>
      </c>
      <c r="I1617" s="286">
        <v>305200</v>
      </c>
      <c r="J1617" s="286" t="s">
        <v>313</v>
      </c>
      <c r="K1617" s="286">
        <v>1</v>
      </c>
      <c r="L1617" s="287" t="s">
        <v>1828</v>
      </c>
    </row>
    <row r="1618" spans="2:12">
      <c r="B1618" s="283">
        <v>1013</v>
      </c>
      <c r="C1618" s="288">
        <v>305224</v>
      </c>
      <c r="D1618" s="10" t="s">
        <v>737</v>
      </c>
      <c r="I1618" s="288">
        <v>305224</v>
      </c>
      <c r="J1618" s="10" t="s">
        <v>1890</v>
      </c>
      <c r="K1618" s="286">
        <v>1</v>
      </c>
      <c r="L1618" s="287" t="s">
        <v>1828</v>
      </c>
    </row>
    <row r="1619" spans="2:12">
      <c r="B1619" s="283">
        <v>1013</v>
      </c>
      <c r="C1619" s="288">
        <v>305225</v>
      </c>
      <c r="D1619" s="10" t="s">
        <v>737</v>
      </c>
      <c r="I1619" s="288">
        <v>305225</v>
      </c>
      <c r="J1619" s="10" t="s">
        <v>1888</v>
      </c>
      <c r="K1619" s="286">
        <v>1</v>
      </c>
      <c r="L1619" s="287" t="s">
        <v>1828</v>
      </c>
    </row>
    <row r="1620" spans="2:12">
      <c r="B1620" s="283">
        <v>1013</v>
      </c>
      <c r="C1620" s="288">
        <v>305226</v>
      </c>
      <c r="D1620" s="10" t="s">
        <v>737</v>
      </c>
      <c r="I1620" s="288">
        <v>305226</v>
      </c>
      <c r="J1620" s="10" t="s">
        <v>1891</v>
      </c>
      <c r="K1620" s="286">
        <v>1</v>
      </c>
      <c r="L1620" s="287" t="s">
        <v>1828</v>
      </c>
    </row>
    <row r="1621" spans="2:12">
      <c r="B1621" s="283">
        <v>1013</v>
      </c>
      <c r="C1621" s="289">
        <v>305010</v>
      </c>
      <c r="D1621" s="10" t="s">
        <v>737</v>
      </c>
      <c r="I1621" s="289">
        <v>305010</v>
      </c>
      <c r="J1621" s="289" t="s">
        <v>1223</v>
      </c>
      <c r="K1621" s="289">
        <v>2</v>
      </c>
      <c r="L1621" s="290" t="s">
        <v>1830</v>
      </c>
    </row>
    <row r="1622" spans="2:12">
      <c r="B1622" s="283">
        <v>1013</v>
      </c>
      <c r="C1622" s="289">
        <v>305021</v>
      </c>
      <c r="D1622" s="10" t="s">
        <v>737</v>
      </c>
      <c r="I1622" s="289">
        <v>305021</v>
      </c>
      <c r="J1622" s="289" t="s">
        <v>1270</v>
      </c>
      <c r="K1622" s="289">
        <v>2</v>
      </c>
      <c r="L1622" s="290" t="s">
        <v>1830</v>
      </c>
    </row>
    <row r="1623" spans="2:12">
      <c r="B1623" s="283">
        <v>1013</v>
      </c>
      <c r="C1623" s="289">
        <v>305022</v>
      </c>
      <c r="D1623" s="10" t="s">
        <v>737</v>
      </c>
      <c r="I1623" s="289">
        <v>305022</v>
      </c>
      <c r="J1623" s="289" t="s">
        <v>1273</v>
      </c>
      <c r="K1623" s="289">
        <v>2</v>
      </c>
      <c r="L1623" s="290" t="s">
        <v>1830</v>
      </c>
    </row>
    <row r="1624" spans="2:12">
      <c r="B1624" s="283">
        <v>1013</v>
      </c>
      <c r="C1624" s="289">
        <v>305032</v>
      </c>
      <c r="D1624" s="10" t="s">
        <v>737</v>
      </c>
      <c r="I1624" s="289">
        <v>305032</v>
      </c>
      <c r="J1624" s="289" t="s">
        <v>213</v>
      </c>
      <c r="K1624" s="289">
        <v>2</v>
      </c>
      <c r="L1624" s="290" t="s">
        <v>1830</v>
      </c>
    </row>
    <row r="1625" spans="2:12">
      <c r="B1625" s="283">
        <v>1013</v>
      </c>
      <c r="C1625" s="289">
        <v>305033</v>
      </c>
      <c r="D1625" s="10" t="s">
        <v>737</v>
      </c>
      <c r="I1625" s="289">
        <v>305033</v>
      </c>
      <c r="J1625" s="289" t="s">
        <v>217</v>
      </c>
      <c r="K1625" s="289">
        <v>2</v>
      </c>
      <c r="L1625" s="290" t="s">
        <v>1830</v>
      </c>
    </row>
    <row r="1626" spans="2:12">
      <c r="B1626" s="283">
        <v>1013</v>
      </c>
      <c r="C1626" s="289">
        <v>305037</v>
      </c>
      <c r="D1626" s="10" t="s">
        <v>737</v>
      </c>
      <c r="I1626" s="289">
        <v>305037</v>
      </c>
      <c r="J1626" s="289" t="s">
        <v>264</v>
      </c>
      <c r="K1626" s="289">
        <v>2</v>
      </c>
      <c r="L1626" s="290" t="s">
        <v>1830</v>
      </c>
    </row>
    <row r="1627" spans="2:12">
      <c r="B1627" s="283">
        <v>1013</v>
      </c>
      <c r="C1627" s="289">
        <v>305038</v>
      </c>
      <c r="D1627" s="10" t="s">
        <v>737</v>
      </c>
      <c r="I1627" s="289">
        <v>305038</v>
      </c>
      <c r="J1627" s="289" t="s">
        <v>268</v>
      </c>
      <c r="K1627" s="289">
        <v>2</v>
      </c>
      <c r="L1627" s="290" t="s">
        <v>1830</v>
      </c>
    </row>
    <row r="1628" spans="2:12">
      <c r="B1628" s="283">
        <v>1013</v>
      </c>
      <c r="C1628" s="289">
        <v>305300</v>
      </c>
      <c r="D1628" s="10" t="s">
        <v>737</v>
      </c>
      <c r="I1628" s="289">
        <v>305300</v>
      </c>
      <c r="J1628" s="289" t="s">
        <v>318</v>
      </c>
      <c r="K1628" s="289">
        <v>2</v>
      </c>
      <c r="L1628" s="290" t="s">
        <v>1830</v>
      </c>
    </row>
    <row r="1629" spans="2:12">
      <c r="B1629" s="283">
        <v>1013</v>
      </c>
      <c r="C1629" s="288">
        <v>305324</v>
      </c>
      <c r="D1629" s="10" t="s">
        <v>737</v>
      </c>
      <c r="I1629" s="288">
        <v>305324</v>
      </c>
      <c r="J1629" s="10" t="s">
        <v>1887</v>
      </c>
      <c r="K1629" s="289">
        <v>2</v>
      </c>
      <c r="L1629" s="290" t="s">
        <v>1830</v>
      </c>
    </row>
    <row r="1630" spans="2:12">
      <c r="B1630" s="283">
        <v>1013</v>
      </c>
      <c r="C1630" s="288">
        <v>305325</v>
      </c>
      <c r="D1630" s="10" t="s">
        <v>737</v>
      </c>
      <c r="I1630" s="288">
        <v>305325</v>
      </c>
      <c r="J1630" s="10" t="s">
        <v>1888</v>
      </c>
      <c r="K1630" s="289">
        <v>2</v>
      </c>
      <c r="L1630" s="290" t="s">
        <v>1830</v>
      </c>
    </row>
    <row r="1631" spans="2:12">
      <c r="B1631" s="283">
        <v>1013</v>
      </c>
      <c r="C1631" s="288">
        <v>305326</v>
      </c>
      <c r="D1631" s="10" t="s">
        <v>737</v>
      </c>
      <c r="I1631" s="288">
        <v>305326</v>
      </c>
      <c r="J1631" s="10" t="s">
        <v>1889</v>
      </c>
      <c r="K1631" s="289">
        <v>2</v>
      </c>
      <c r="L1631" s="290" t="s">
        <v>1830</v>
      </c>
    </row>
    <row r="1632" spans="2:12">
      <c r="B1632" s="283">
        <v>1013</v>
      </c>
      <c r="C1632" s="291">
        <v>305001</v>
      </c>
      <c r="D1632" s="10" t="s">
        <v>737</v>
      </c>
      <c r="I1632" s="291">
        <v>305001</v>
      </c>
      <c r="J1632" s="291" t="s">
        <v>176</v>
      </c>
      <c r="K1632" s="291">
        <v>0</v>
      </c>
      <c r="L1632" s="292" t="s">
        <v>1827</v>
      </c>
    </row>
    <row r="1633" spans="2:22">
      <c r="B1633" s="283">
        <v>1013</v>
      </c>
      <c r="C1633" s="291">
        <v>305002</v>
      </c>
      <c r="D1633" s="10" t="s">
        <v>737</v>
      </c>
      <c r="I1633" s="291">
        <v>305002</v>
      </c>
      <c r="J1633" s="291" t="s">
        <v>181</v>
      </c>
      <c r="K1633" s="291">
        <v>0</v>
      </c>
      <c r="L1633" s="292" t="s">
        <v>1827</v>
      </c>
    </row>
    <row r="1634" spans="2:22">
      <c r="B1634" s="283">
        <v>1013</v>
      </c>
      <c r="C1634" s="291">
        <v>305003</v>
      </c>
      <c r="D1634" s="10" t="s">
        <v>737</v>
      </c>
      <c r="I1634" s="291">
        <v>305003</v>
      </c>
      <c r="J1634" s="291" t="s">
        <v>186</v>
      </c>
      <c r="K1634" s="291">
        <v>0</v>
      </c>
      <c r="L1634" s="292" t="s">
        <v>1827</v>
      </c>
    </row>
    <row r="1635" spans="2:22">
      <c r="B1635" s="283">
        <v>1013</v>
      </c>
      <c r="C1635" s="291">
        <v>305018</v>
      </c>
      <c r="D1635" s="10" t="s">
        <v>737</v>
      </c>
      <c r="I1635" s="291">
        <v>305018</v>
      </c>
      <c r="J1635" s="291" t="s">
        <v>191</v>
      </c>
      <c r="K1635" s="291">
        <v>0</v>
      </c>
      <c r="L1635" s="292" t="s">
        <v>1827</v>
      </c>
    </row>
    <row r="1636" spans="2:22">
      <c r="B1636" s="283">
        <v>1013</v>
      </c>
      <c r="C1636" s="291">
        <v>305019</v>
      </c>
      <c r="D1636" s="10" t="s">
        <v>737</v>
      </c>
      <c r="I1636" s="291">
        <v>305019</v>
      </c>
      <c r="J1636" s="291" t="s">
        <v>196</v>
      </c>
      <c r="K1636" s="291">
        <v>0</v>
      </c>
      <c r="L1636" s="292" t="s">
        <v>1827</v>
      </c>
    </row>
    <row r="1637" spans="2:22">
      <c r="B1637" s="283">
        <v>1013</v>
      </c>
      <c r="C1637" s="291">
        <v>305041</v>
      </c>
      <c r="D1637" s="10" t="s">
        <v>737</v>
      </c>
      <c r="I1637" s="291">
        <v>305041</v>
      </c>
      <c r="J1637" s="291" t="s">
        <v>282</v>
      </c>
      <c r="K1637" s="291">
        <v>0</v>
      </c>
      <c r="L1637" s="292" t="s">
        <v>1827</v>
      </c>
    </row>
    <row r="1638" spans="2:22">
      <c r="B1638" s="283">
        <v>1013</v>
      </c>
      <c r="C1638" s="291">
        <v>305042</v>
      </c>
      <c r="D1638" s="10" t="s">
        <v>737</v>
      </c>
      <c r="I1638" s="291">
        <v>305042</v>
      </c>
      <c r="J1638" s="291" t="s">
        <v>287</v>
      </c>
      <c r="K1638" s="291">
        <v>0</v>
      </c>
      <c r="L1638" s="292" t="s">
        <v>1827</v>
      </c>
    </row>
    <row r="1639" spans="2:22">
      <c r="B1639" s="283">
        <v>1013</v>
      </c>
      <c r="C1639" s="291">
        <v>305600</v>
      </c>
      <c r="D1639" s="10" t="s">
        <v>737</v>
      </c>
      <c r="I1639" s="291">
        <v>305600</v>
      </c>
      <c r="J1639" s="291" t="s">
        <v>323</v>
      </c>
      <c r="K1639" s="291">
        <v>0</v>
      </c>
      <c r="L1639" s="292" t="s">
        <v>1827</v>
      </c>
    </row>
    <row r="1640" spans="2:22">
      <c r="B1640" s="283">
        <v>1013</v>
      </c>
      <c r="C1640" s="288">
        <v>305623</v>
      </c>
      <c r="D1640" s="10" t="s">
        <v>737</v>
      </c>
      <c r="I1640" s="288">
        <v>305623</v>
      </c>
      <c r="J1640" s="10" t="s">
        <v>1864</v>
      </c>
      <c r="K1640" s="291">
        <v>0</v>
      </c>
      <c r="L1640" s="292" t="s">
        <v>1827</v>
      </c>
    </row>
    <row r="1641" spans="2:22">
      <c r="B1641" s="283">
        <v>1013</v>
      </c>
      <c r="C1641" s="288">
        <v>305624</v>
      </c>
      <c r="D1641" s="10" t="s">
        <v>737</v>
      </c>
      <c r="I1641" s="288">
        <v>305624</v>
      </c>
      <c r="J1641" s="10" t="s">
        <v>1865</v>
      </c>
      <c r="K1641" s="291">
        <v>0</v>
      </c>
      <c r="L1641" s="292" t="s">
        <v>1827</v>
      </c>
    </row>
    <row r="1642" spans="2:22">
      <c r="B1642" s="283">
        <v>1013</v>
      </c>
      <c r="C1642" s="288">
        <v>305625</v>
      </c>
      <c r="D1642" s="10" t="s">
        <v>737</v>
      </c>
      <c r="I1642" s="288">
        <v>305625</v>
      </c>
      <c r="J1642" s="10" t="s">
        <v>1866</v>
      </c>
      <c r="K1642" s="291">
        <v>0</v>
      </c>
      <c r="L1642" s="292" t="s">
        <v>1827</v>
      </c>
    </row>
    <row r="1643" spans="2:22">
      <c r="B1643" s="283">
        <v>1013</v>
      </c>
      <c r="C1643" s="288">
        <v>305626</v>
      </c>
      <c r="D1643" s="10" t="s">
        <v>737</v>
      </c>
      <c r="I1643" s="288">
        <v>305626</v>
      </c>
      <c r="J1643" s="10" t="s">
        <v>1867</v>
      </c>
      <c r="K1643" s="291">
        <v>0</v>
      </c>
      <c r="L1643" s="292" t="s">
        <v>1827</v>
      </c>
    </row>
    <row r="1644" spans="2:22">
      <c r="B1644" s="283">
        <v>1013</v>
      </c>
      <c r="C1644" s="293">
        <v>305012</v>
      </c>
      <c r="D1644" s="10" t="s">
        <v>737</v>
      </c>
      <c r="I1644" s="293">
        <v>305012</v>
      </c>
      <c r="J1644" s="293" t="s">
        <v>1230</v>
      </c>
      <c r="K1644" s="293">
        <v>6</v>
      </c>
      <c r="L1644" s="294" t="s">
        <v>1833</v>
      </c>
    </row>
    <row r="1645" spans="2:22">
      <c r="B1645" s="283">
        <v>1013</v>
      </c>
      <c r="C1645" s="293">
        <v>305013</v>
      </c>
      <c r="D1645" s="10" t="s">
        <v>737</v>
      </c>
      <c r="I1645" s="293">
        <v>305013</v>
      </c>
      <c r="J1645" s="293" t="s">
        <v>1237</v>
      </c>
      <c r="K1645" s="293">
        <v>6</v>
      </c>
      <c r="L1645" s="294" t="s">
        <v>1833</v>
      </c>
    </row>
    <row r="1646" spans="2:22">
      <c r="B1646" s="283">
        <v>1013</v>
      </c>
      <c r="C1646" s="293">
        <v>305014</v>
      </c>
      <c r="D1646" s="10" t="s">
        <v>737</v>
      </c>
      <c r="I1646" s="293">
        <v>305014</v>
      </c>
      <c r="J1646" s="293" t="s">
        <v>1241</v>
      </c>
      <c r="K1646" s="293">
        <v>6</v>
      </c>
      <c r="L1646" s="294" t="s">
        <v>1833</v>
      </c>
    </row>
    <row r="1647" spans="2:22" s="285" customFormat="1">
      <c r="B1647" s="283">
        <v>1013</v>
      </c>
      <c r="C1647" s="293">
        <v>305046</v>
      </c>
      <c r="D1647" s="285" t="s">
        <v>737</v>
      </c>
      <c r="G1647" s="10"/>
      <c r="H1647" s="10"/>
      <c r="I1647" s="293">
        <v>305046</v>
      </c>
      <c r="J1647" s="293" t="s">
        <v>309</v>
      </c>
      <c r="K1647" s="293">
        <v>6</v>
      </c>
      <c r="L1647" s="294" t="s">
        <v>1833</v>
      </c>
      <c r="M1647" s="10"/>
      <c r="R1647" s="10"/>
      <c r="S1647" s="10"/>
      <c r="T1647" s="10"/>
      <c r="U1647" s="10"/>
      <c r="V1647" s="10"/>
    </row>
    <row r="1648" spans="2:22">
      <c r="B1648" s="283">
        <v>1013</v>
      </c>
      <c r="C1648" s="288">
        <v>305815</v>
      </c>
      <c r="D1648" s="10" t="s">
        <v>737</v>
      </c>
      <c r="I1648" s="288">
        <v>305815</v>
      </c>
      <c r="J1648" s="10" t="s">
        <v>1868</v>
      </c>
      <c r="K1648" s="293">
        <v>6</v>
      </c>
      <c r="L1648" s="294" t="s">
        <v>1833</v>
      </c>
    </row>
    <row r="1649" spans="2:22">
      <c r="B1649" s="283">
        <v>1013</v>
      </c>
      <c r="C1649" s="288">
        <v>305816</v>
      </c>
      <c r="D1649" s="10" t="s">
        <v>737</v>
      </c>
      <c r="I1649" s="288">
        <v>305816</v>
      </c>
      <c r="J1649" s="10" t="s">
        <v>1869</v>
      </c>
      <c r="K1649" s="293">
        <v>6</v>
      </c>
      <c r="L1649" s="294" t="s">
        <v>1833</v>
      </c>
    </row>
    <row r="1650" spans="2:22">
      <c r="B1650" s="283">
        <v>1013</v>
      </c>
      <c r="C1650" s="288">
        <v>305817</v>
      </c>
      <c r="D1650" s="10" t="s">
        <v>737</v>
      </c>
      <c r="I1650" s="288">
        <v>305817</v>
      </c>
      <c r="J1650" s="10" t="s">
        <v>1870</v>
      </c>
      <c r="K1650" s="293">
        <v>6</v>
      </c>
      <c r="L1650" s="294" t="s">
        <v>1833</v>
      </c>
    </row>
    <row r="1651" spans="2:22" s="285" customFormat="1">
      <c r="B1651" s="283">
        <v>1013</v>
      </c>
      <c r="C1651" s="288">
        <v>305818</v>
      </c>
      <c r="D1651" s="285" t="s">
        <v>737</v>
      </c>
      <c r="G1651" s="10"/>
      <c r="H1651" s="10"/>
      <c r="I1651" s="288">
        <v>305818</v>
      </c>
      <c r="J1651" s="10" t="s">
        <v>1871</v>
      </c>
      <c r="K1651" s="293">
        <v>6</v>
      </c>
      <c r="L1651" s="294" t="s">
        <v>1833</v>
      </c>
      <c r="M1651" s="10"/>
      <c r="R1651" s="10"/>
      <c r="S1651" s="10"/>
      <c r="T1651" s="10"/>
      <c r="U1651" s="10"/>
      <c r="V1651" s="10"/>
    </row>
    <row r="1652" spans="2:22">
      <c r="B1652" s="283">
        <v>1013</v>
      </c>
      <c r="C1652" s="288">
        <v>305819</v>
      </c>
      <c r="D1652" s="10" t="s">
        <v>737</v>
      </c>
      <c r="I1652" s="288">
        <v>305819</v>
      </c>
      <c r="J1652" s="10" t="s">
        <v>1872</v>
      </c>
      <c r="K1652" s="293">
        <v>6</v>
      </c>
      <c r="L1652" s="294" t="s">
        <v>1833</v>
      </c>
    </row>
    <row r="1653" spans="2:22" s="285" customFormat="1">
      <c r="B1653" s="283">
        <v>1013</v>
      </c>
      <c r="C1653" s="288">
        <v>305820</v>
      </c>
      <c r="D1653" s="285" t="s">
        <v>737</v>
      </c>
      <c r="G1653" s="10"/>
      <c r="H1653" s="10"/>
      <c r="I1653" s="288">
        <v>305820</v>
      </c>
      <c r="J1653" s="10" t="s">
        <v>1873</v>
      </c>
      <c r="K1653" s="293">
        <v>6</v>
      </c>
      <c r="L1653" s="294" t="s">
        <v>1833</v>
      </c>
      <c r="M1653" s="10"/>
      <c r="R1653" s="10"/>
      <c r="S1653" s="10"/>
      <c r="T1653" s="10"/>
      <c r="U1653" s="10"/>
      <c r="V1653" s="10"/>
    </row>
    <row r="1654" spans="2:22">
      <c r="B1654" s="283">
        <v>1013</v>
      </c>
      <c r="C1654" s="295">
        <v>305015</v>
      </c>
      <c r="D1654" s="10" t="s">
        <v>737</v>
      </c>
      <c r="I1654" s="295">
        <v>305015</v>
      </c>
      <c r="J1654" s="295" t="s">
        <v>1245</v>
      </c>
      <c r="K1654" s="295">
        <v>7</v>
      </c>
      <c r="L1654" s="296" t="s">
        <v>538</v>
      </c>
    </row>
    <row r="1655" spans="2:22">
      <c r="B1655" s="283">
        <v>1013</v>
      </c>
      <c r="C1655" s="295">
        <v>305016</v>
      </c>
      <c r="D1655" s="10" t="s">
        <v>737</v>
      </c>
      <c r="I1655" s="295">
        <v>305016</v>
      </c>
      <c r="J1655" s="295" t="s">
        <v>1251</v>
      </c>
      <c r="K1655" s="295">
        <v>7</v>
      </c>
      <c r="L1655" s="296" t="s">
        <v>538</v>
      </c>
    </row>
    <row r="1656" spans="2:22">
      <c r="B1656" s="283">
        <v>1013</v>
      </c>
      <c r="C1656" s="295">
        <v>305017</v>
      </c>
      <c r="D1656" s="10" t="s">
        <v>737</v>
      </c>
      <c r="I1656" s="295">
        <v>305017</v>
      </c>
      <c r="J1656" s="295" t="s">
        <v>1255</v>
      </c>
      <c r="K1656" s="295">
        <v>7</v>
      </c>
      <c r="L1656" s="296" t="s">
        <v>538</v>
      </c>
    </row>
    <row r="1657" spans="2:22">
      <c r="B1657" s="283">
        <v>1013</v>
      </c>
      <c r="C1657" s="295">
        <v>305700</v>
      </c>
      <c r="D1657" s="10" t="s">
        <v>737</v>
      </c>
      <c r="I1657" s="295">
        <v>305700</v>
      </c>
      <c r="J1657" s="295" t="s">
        <v>328</v>
      </c>
      <c r="K1657" s="295">
        <v>7</v>
      </c>
      <c r="L1657" s="296" t="s">
        <v>538</v>
      </c>
    </row>
    <row r="1658" spans="2:22">
      <c r="B1658" s="283">
        <v>1013</v>
      </c>
      <c r="C1658" s="288">
        <v>305719</v>
      </c>
      <c r="D1658" s="10" t="s">
        <v>737</v>
      </c>
      <c r="I1658" s="288">
        <v>305719</v>
      </c>
      <c r="J1658" s="10" t="s">
        <v>1874</v>
      </c>
      <c r="K1658" s="295">
        <v>7</v>
      </c>
      <c r="L1658" s="296" t="s">
        <v>538</v>
      </c>
    </row>
    <row r="1659" spans="2:22">
      <c r="B1659" s="283">
        <v>1013</v>
      </c>
      <c r="C1659" s="288">
        <v>305720</v>
      </c>
      <c r="D1659" s="10" t="s">
        <v>737</v>
      </c>
      <c r="I1659" s="288">
        <v>305720</v>
      </c>
      <c r="J1659" s="10" t="s">
        <v>1875</v>
      </c>
      <c r="K1659" s="295">
        <v>7</v>
      </c>
      <c r="L1659" s="296" t="s">
        <v>538</v>
      </c>
    </row>
    <row r="1660" spans="2:22">
      <c r="B1660" s="283">
        <v>1013</v>
      </c>
      <c r="C1660" s="288">
        <v>305721</v>
      </c>
      <c r="D1660" s="10" t="s">
        <v>737</v>
      </c>
      <c r="I1660" s="288">
        <v>305721</v>
      </c>
      <c r="J1660" s="10" t="s">
        <v>1876</v>
      </c>
      <c r="K1660" s="295">
        <v>7</v>
      </c>
      <c r="L1660" s="296" t="s">
        <v>538</v>
      </c>
    </row>
    <row r="1661" spans="2:22">
      <c r="B1661" s="283">
        <v>1013</v>
      </c>
      <c r="C1661" s="288">
        <v>305722</v>
      </c>
      <c r="D1661" s="10" t="s">
        <v>737</v>
      </c>
      <c r="I1661" s="288">
        <v>305722</v>
      </c>
      <c r="J1661" s="10" t="s">
        <v>1877</v>
      </c>
      <c r="K1661" s="295">
        <v>7</v>
      </c>
      <c r="L1661" s="296" t="s">
        <v>538</v>
      </c>
    </row>
    <row r="1662" spans="2:22">
      <c r="B1662" s="283">
        <v>1013</v>
      </c>
      <c r="C1662" s="288">
        <v>305723</v>
      </c>
      <c r="D1662" s="10" t="s">
        <v>737</v>
      </c>
      <c r="I1662" s="288">
        <v>305723</v>
      </c>
      <c r="J1662" s="10" t="s">
        <v>1878</v>
      </c>
      <c r="K1662" s="295">
        <v>7</v>
      </c>
      <c r="L1662" s="296" t="s">
        <v>538</v>
      </c>
    </row>
    <row r="1663" spans="2:22">
      <c r="B1663" s="283">
        <v>1013</v>
      </c>
      <c r="C1663" s="288">
        <v>305724</v>
      </c>
      <c r="D1663" s="10" t="s">
        <v>737</v>
      </c>
      <c r="I1663" s="288">
        <v>305724</v>
      </c>
      <c r="J1663" s="10" t="s">
        <v>1879</v>
      </c>
      <c r="K1663" s="295">
        <v>7</v>
      </c>
      <c r="L1663" s="296" t="s">
        <v>538</v>
      </c>
    </row>
    <row r="1664" spans="2:22">
      <c r="B1664" s="283">
        <v>1013</v>
      </c>
      <c r="C1664" s="297">
        <v>305011</v>
      </c>
      <c r="D1664" s="10" t="s">
        <v>737</v>
      </c>
      <c r="I1664" s="297">
        <v>305011</v>
      </c>
      <c r="J1664" s="297" t="s">
        <v>161</v>
      </c>
      <c r="K1664" s="297">
        <v>3</v>
      </c>
      <c r="L1664" s="298" t="s">
        <v>1831</v>
      </c>
    </row>
    <row r="1665" spans="1:22">
      <c r="B1665" s="283">
        <v>1013</v>
      </c>
      <c r="C1665" s="299">
        <v>305025</v>
      </c>
      <c r="D1665" s="10" t="s">
        <v>737</v>
      </c>
      <c r="I1665" s="299">
        <v>305025</v>
      </c>
      <c r="J1665" s="299" t="s">
        <v>200</v>
      </c>
      <c r="K1665" s="299">
        <v>4</v>
      </c>
      <c r="L1665" s="300" t="s">
        <v>1832</v>
      </c>
    </row>
    <row r="1666" spans="1:22" s="285" customFormat="1">
      <c r="A1666" s="10"/>
      <c r="B1666" s="283">
        <v>1013</v>
      </c>
      <c r="C1666" s="299">
        <v>305026</v>
      </c>
      <c r="D1666" s="10" t="s">
        <v>737</v>
      </c>
      <c r="E1666" s="10"/>
      <c r="F1666" s="10"/>
      <c r="G1666" s="10"/>
      <c r="H1666" s="10"/>
      <c r="I1666" s="299">
        <v>305026</v>
      </c>
      <c r="J1666" s="299" t="s">
        <v>204</v>
      </c>
      <c r="K1666" s="299">
        <v>4</v>
      </c>
      <c r="L1666" s="300" t="s">
        <v>1832</v>
      </c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</row>
    <row r="1667" spans="1:22" s="285" customFormat="1">
      <c r="A1667" s="10"/>
      <c r="B1667" s="283">
        <v>1013</v>
      </c>
      <c r="C1667" s="299">
        <v>305050</v>
      </c>
      <c r="D1667" s="10" t="s">
        <v>737</v>
      </c>
      <c r="E1667" s="10"/>
      <c r="F1667" s="10"/>
      <c r="G1667" s="10"/>
      <c r="H1667" s="10"/>
      <c r="I1667" s="299">
        <v>305050</v>
      </c>
      <c r="J1667" s="299" t="s">
        <v>300</v>
      </c>
      <c r="K1667" s="299">
        <v>4</v>
      </c>
      <c r="L1667" s="300" t="s">
        <v>1832</v>
      </c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</row>
    <row r="1668" spans="1:22" s="285" customFormat="1">
      <c r="A1668" s="10"/>
      <c r="B1668" s="283">
        <v>1013</v>
      </c>
      <c r="C1668" s="299">
        <v>305051</v>
      </c>
      <c r="D1668" s="10" t="s">
        <v>737</v>
      </c>
      <c r="E1668" s="10"/>
      <c r="F1668" s="10"/>
      <c r="G1668" s="10"/>
      <c r="H1668" s="10"/>
      <c r="I1668" s="299">
        <v>305051</v>
      </c>
      <c r="J1668" s="299" t="s">
        <v>340</v>
      </c>
      <c r="K1668" s="299">
        <v>4</v>
      </c>
      <c r="L1668" s="300" t="s">
        <v>1832</v>
      </c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</row>
    <row r="1669" spans="1:22">
      <c r="B1669" s="283">
        <v>1013</v>
      </c>
      <c r="C1669" s="288">
        <v>305055</v>
      </c>
      <c r="D1669" s="10" t="s">
        <v>737</v>
      </c>
      <c r="I1669" s="288">
        <v>305055</v>
      </c>
      <c r="J1669" s="10" t="s">
        <v>1880</v>
      </c>
      <c r="K1669" s="299">
        <v>4</v>
      </c>
      <c r="L1669" s="300" t="s">
        <v>1832</v>
      </c>
    </row>
    <row r="1670" spans="1:22" s="285" customFormat="1">
      <c r="A1670" s="10"/>
      <c r="B1670" s="283">
        <v>1013</v>
      </c>
      <c r="C1670" s="288">
        <v>305056</v>
      </c>
      <c r="D1670" s="10" t="s">
        <v>737</v>
      </c>
      <c r="E1670" s="10"/>
      <c r="F1670" s="10"/>
      <c r="G1670" s="10"/>
      <c r="H1670" s="10"/>
      <c r="I1670" s="288">
        <v>305056</v>
      </c>
      <c r="J1670" s="10" t="s">
        <v>1881</v>
      </c>
      <c r="K1670" s="299">
        <v>4</v>
      </c>
      <c r="L1670" s="300" t="s">
        <v>1832</v>
      </c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</row>
    <row r="1671" spans="1:22" s="285" customFormat="1">
      <c r="A1671" s="10"/>
      <c r="B1671" s="283">
        <v>1013</v>
      </c>
      <c r="C1671" s="288">
        <v>306104</v>
      </c>
      <c r="D1671" s="10" t="s">
        <v>737</v>
      </c>
      <c r="E1671" s="10"/>
      <c r="F1671" s="10"/>
      <c r="G1671" s="10"/>
      <c r="H1671" s="10"/>
      <c r="I1671" s="288">
        <v>306104</v>
      </c>
      <c r="J1671" s="10" t="s">
        <v>1882</v>
      </c>
      <c r="K1671" s="299">
        <v>4</v>
      </c>
      <c r="L1671" s="300" t="s">
        <v>1886</v>
      </c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</row>
    <row r="1672" spans="1:22" s="285" customFormat="1">
      <c r="A1672" s="10"/>
      <c r="B1672" s="283">
        <v>1013</v>
      </c>
      <c r="C1672" s="288">
        <v>306105</v>
      </c>
      <c r="D1672" s="10" t="s">
        <v>737</v>
      </c>
      <c r="E1672" s="10"/>
      <c r="F1672" s="10"/>
      <c r="G1672" s="10"/>
      <c r="H1672" s="10"/>
      <c r="I1672" s="288">
        <v>306105</v>
      </c>
      <c r="J1672" s="10" t="s">
        <v>1883</v>
      </c>
      <c r="K1672" s="299">
        <v>4</v>
      </c>
      <c r="L1672" s="300" t="s">
        <v>1886</v>
      </c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</row>
    <row r="1673" spans="1:22" s="285" customFormat="1">
      <c r="A1673" s="10"/>
      <c r="B1673" s="283">
        <v>1013</v>
      </c>
      <c r="C1673" s="288">
        <v>306106</v>
      </c>
      <c r="D1673" s="10" t="s">
        <v>737</v>
      </c>
      <c r="E1673" s="10"/>
      <c r="F1673" s="10"/>
      <c r="G1673" s="10"/>
      <c r="H1673" s="10"/>
      <c r="I1673" s="288">
        <v>306106</v>
      </c>
      <c r="J1673" s="10" t="s">
        <v>1884</v>
      </c>
      <c r="K1673" s="299">
        <v>4</v>
      </c>
      <c r="L1673" s="300" t="s">
        <v>1886</v>
      </c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</row>
    <row r="1674" spans="1:22" s="285" customFormat="1">
      <c r="A1674" s="10"/>
      <c r="B1674" s="283">
        <v>1013</v>
      </c>
      <c r="C1674" s="288">
        <v>306107</v>
      </c>
      <c r="D1674" s="10" t="s">
        <v>737</v>
      </c>
      <c r="E1674" s="10"/>
      <c r="F1674" s="10"/>
      <c r="G1674" s="10"/>
      <c r="H1674" s="10"/>
      <c r="I1674" s="288">
        <v>306107</v>
      </c>
      <c r="J1674" s="10" t="s">
        <v>1885</v>
      </c>
      <c r="K1674" s="299">
        <v>4</v>
      </c>
      <c r="L1674" s="300" t="s">
        <v>1886</v>
      </c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</row>
    <row r="1675" spans="1:22">
      <c r="B1675" s="306">
        <v>1013</v>
      </c>
      <c r="C1675" s="282">
        <v>303012</v>
      </c>
      <c r="D1675" s="301" t="s">
        <v>38</v>
      </c>
    </row>
    <row r="1676" spans="1:22">
      <c r="B1676" s="306">
        <v>1013</v>
      </c>
      <c r="C1676" s="282">
        <v>303013</v>
      </c>
      <c r="D1676" s="301" t="s">
        <v>38</v>
      </c>
    </row>
    <row r="1677" spans="1:22" ht="13.5" customHeight="1">
      <c r="B1677" s="306">
        <v>1013</v>
      </c>
      <c r="C1677" s="282">
        <v>303022</v>
      </c>
      <c r="D1677" s="301" t="s">
        <v>38</v>
      </c>
    </row>
    <row r="1678" spans="1:22" ht="13.5" customHeight="1">
      <c r="B1678" s="306">
        <v>1013</v>
      </c>
      <c r="C1678" s="282">
        <v>303023</v>
      </c>
      <c r="D1678" s="301" t="s">
        <v>38</v>
      </c>
    </row>
    <row r="1679" spans="1:22" ht="13.5" customHeight="1">
      <c r="B1679" s="306">
        <v>1013</v>
      </c>
      <c r="C1679" s="282">
        <v>303032</v>
      </c>
      <c r="D1679" s="301" t="s">
        <v>38</v>
      </c>
    </row>
    <row r="1680" spans="1:22" ht="13.5" customHeight="1">
      <c r="B1680" s="306">
        <v>1013</v>
      </c>
      <c r="C1680" s="282">
        <v>303033</v>
      </c>
      <c r="D1680" s="301" t="s">
        <v>38</v>
      </c>
    </row>
    <row r="1681" spans="1:7" s="303" customFormat="1">
      <c r="A1681" s="10"/>
      <c r="B1681" s="306">
        <v>1013</v>
      </c>
      <c r="C1681" s="282">
        <v>303042</v>
      </c>
      <c r="D1681" s="301" t="s">
        <v>38</v>
      </c>
      <c r="E1681" s="10"/>
      <c r="G1681" s="10"/>
    </row>
    <row r="1682" spans="1:7" s="303" customFormat="1">
      <c r="A1682" s="10"/>
      <c r="B1682" s="306">
        <v>1013</v>
      </c>
      <c r="C1682" s="282">
        <v>303043</v>
      </c>
      <c r="D1682" s="301" t="s">
        <v>38</v>
      </c>
      <c r="E1682" s="10"/>
      <c r="G1682" s="10"/>
    </row>
    <row r="1683" spans="1:7" s="303" customFormat="1">
      <c r="A1683" s="10"/>
      <c r="B1683" s="306">
        <v>1013</v>
      </c>
      <c r="C1683" s="282">
        <v>303052</v>
      </c>
      <c r="D1683" s="301" t="s">
        <v>38</v>
      </c>
      <c r="E1683" s="10"/>
      <c r="G1683" s="10"/>
    </row>
    <row r="1684" spans="1:7">
      <c r="B1684" s="306">
        <v>1013</v>
      </c>
      <c r="C1684" s="282">
        <v>303053</v>
      </c>
      <c r="D1684" s="301" t="s">
        <v>38</v>
      </c>
    </row>
    <row r="1685" spans="1:7">
      <c r="B1685" s="306">
        <v>1013</v>
      </c>
      <c r="C1685" s="282">
        <v>303062</v>
      </c>
      <c r="D1685" s="301" t="s">
        <v>38</v>
      </c>
    </row>
    <row r="1686" spans="1:7">
      <c r="B1686" s="306">
        <v>1013</v>
      </c>
      <c r="C1686" s="282">
        <v>303063</v>
      </c>
      <c r="D1686" s="301" t="s">
        <v>38</v>
      </c>
    </row>
    <row r="1687" spans="1:7">
      <c r="B1687" s="306">
        <v>1013</v>
      </c>
      <c r="C1687" s="282">
        <v>303072</v>
      </c>
      <c r="D1687" s="301" t="s">
        <v>38</v>
      </c>
    </row>
    <row r="1688" spans="1:7">
      <c r="B1688" s="306">
        <v>1013</v>
      </c>
      <c r="C1688" s="282">
        <v>303073</v>
      </c>
      <c r="D1688" s="301" t="s">
        <v>38</v>
      </c>
    </row>
    <row r="1689" spans="1:7">
      <c r="B1689" s="306">
        <v>1013</v>
      </c>
      <c r="C1689" s="282">
        <v>303082</v>
      </c>
      <c r="D1689" s="301" t="s">
        <v>38</v>
      </c>
    </row>
    <row r="1690" spans="1:7">
      <c r="B1690" s="306">
        <v>1013</v>
      </c>
      <c r="C1690" s="282">
        <v>303083</v>
      </c>
      <c r="D1690" s="301" t="s">
        <v>38</v>
      </c>
    </row>
    <row r="1691" spans="1:7">
      <c r="B1691" s="10">
        <v>1014</v>
      </c>
      <c r="C1691" s="43">
        <v>200011</v>
      </c>
      <c r="D1691" s="10" t="s">
        <v>736</v>
      </c>
    </row>
    <row r="1692" spans="1:7">
      <c r="B1692" s="10">
        <v>1014</v>
      </c>
      <c r="C1692" s="43">
        <v>200012</v>
      </c>
      <c r="D1692" s="10" t="s">
        <v>736</v>
      </c>
    </row>
    <row r="1693" spans="1:7">
      <c r="B1693" s="10">
        <v>1014</v>
      </c>
      <c r="C1693" s="43">
        <v>200013</v>
      </c>
      <c r="D1693" s="10" t="s">
        <v>736</v>
      </c>
    </row>
    <row r="1694" spans="1:7">
      <c r="B1694" s="10">
        <v>1014</v>
      </c>
      <c r="C1694" s="43">
        <v>200014</v>
      </c>
      <c r="D1694" s="10" t="s">
        <v>736</v>
      </c>
    </row>
    <row r="1695" spans="1:7">
      <c r="B1695" s="10">
        <v>1014</v>
      </c>
      <c r="C1695" s="43">
        <v>200022</v>
      </c>
      <c r="D1695" s="10" t="s">
        <v>736</v>
      </c>
    </row>
    <row r="1696" spans="1:7">
      <c r="B1696" s="10">
        <v>1014</v>
      </c>
      <c r="C1696" s="43">
        <v>200023</v>
      </c>
      <c r="D1696" s="10" t="s">
        <v>736</v>
      </c>
    </row>
    <row r="1697" spans="1:8">
      <c r="B1697" s="10">
        <v>1014</v>
      </c>
      <c r="C1697" s="43">
        <v>200025</v>
      </c>
      <c r="D1697" s="10" t="s">
        <v>736</v>
      </c>
    </row>
    <row r="1698" spans="1:8">
      <c r="B1698" s="10">
        <v>1014</v>
      </c>
      <c r="C1698" s="43">
        <v>200027</v>
      </c>
      <c r="D1698" s="10" t="s">
        <v>736</v>
      </c>
    </row>
    <row r="1699" spans="1:8">
      <c r="B1699" s="10">
        <v>1014</v>
      </c>
      <c r="C1699" s="43">
        <v>200030</v>
      </c>
      <c r="D1699" s="10" t="s">
        <v>736</v>
      </c>
    </row>
    <row r="1700" spans="1:8">
      <c r="B1700" s="10">
        <v>1014</v>
      </c>
      <c r="C1700" s="43">
        <v>200031</v>
      </c>
      <c r="D1700" s="10" t="s">
        <v>736</v>
      </c>
    </row>
    <row r="1701" spans="1:8">
      <c r="B1701" s="10">
        <v>1014</v>
      </c>
      <c r="C1701" s="43">
        <v>200039</v>
      </c>
      <c r="D1701" s="10" t="s">
        <v>736</v>
      </c>
    </row>
    <row r="1702" spans="1:8">
      <c r="B1702" s="10">
        <v>1014</v>
      </c>
      <c r="C1702" s="43">
        <v>200045</v>
      </c>
      <c r="D1702" s="10" t="s">
        <v>736</v>
      </c>
    </row>
    <row r="1703" spans="1:8">
      <c r="B1703" s="10">
        <v>1014</v>
      </c>
      <c r="C1703" s="43">
        <v>200047</v>
      </c>
      <c r="D1703" s="10" t="s">
        <v>736</v>
      </c>
    </row>
    <row r="1704" spans="1:8">
      <c r="B1704" s="10">
        <v>1014</v>
      </c>
      <c r="C1704" s="43">
        <v>200049</v>
      </c>
      <c r="D1704" s="10" t="s">
        <v>736</v>
      </c>
    </row>
    <row r="1705" spans="1:8">
      <c r="B1705" s="10">
        <v>1014</v>
      </c>
      <c r="C1705" s="43">
        <v>200054</v>
      </c>
      <c r="D1705" s="10" t="s">
        <v>736</v>
      </c>
    </row>
    <row r="1706" spans="1:8">
      <c r="B1706" s="10">
        <v>1014</v>
      </c>
      <c r="C1706" s="43">
        <v>200060</v>
      </c>
      <c r="D1706" s="10" t="s">
        <v>736</v>
      </c>
      <c r="H1706" s="43"/>
    </row>
    <row r="1707" spans="1:8" ht="13.5" customHeight="1" thickBot="1">
      <c r="B1707" s="10">
        <v>1014</v>
      </c>
      <c r="C1707" s="43">
        <v>200075</v>
      </c>
      <c r="D1707" s="10" t="s">
        <v>736</v>
      </c>
    </row>
    <row r="1708" spans="1:8" ht="13.5" customHeight="1" thickBot="1">
      <c r="A1708" s="307" t="s">
        <v>2038</v>
      </c>
      <c r="B1708" s="10">
        <v>1014</v>
      </c>
      <c r="C1708" s="43">
        <v>200078</v>
      </c>
      <c r="D1708" s="270" t="s">
        <v>1842</v>
      </c>
    </row>
    <row r="1709" spans="1:8" ht="13.5" customHeight="1" thickBot="1">
      <c r="A1709" s="307" t="s">
        <v>2036</v>
      </c>
      <c r="B1709" s="10">
        <v>1014</v>
      </c>
      <c r="C1709" s="10">
        <v>200090</v>
      </c>
      <c r="D1709" s="270" t="s">
        <v>1842</v>
      </c>
    </row>
    <row r="1710" spans="1:8" ht="13.5" customHeight="1" thickBot="1">
      <c r="A1710" s="307" t="s">
        <v>2034</v>
      </c>
      <c r="B1710" s="10">
        <v>1014</v>
      </c>
      <c r="C1710" s="10">
        <v>200085</v>
      </c>
      <c r="D1710" s="270" t="s">
        <v>1842</v>
      </c>
    </row>
    <row r="1711" spans="1:8" ht="13.5" customHeight="1" thickBot="1">
      <c r="A1711" s="307" t="s">
        <v>2032</v>
      </c>
      <c r="B1711" s="10">
        <v>1014</v>
      </c>
      <c r="C1711" s="43">
        <v>200092</v>
      </c>
      <c r="D1711" s="270" t="s">
        <v>1842</v>
      </c>
    </row>
    <row r="1712" spans="1:8" ht="13.5" customHeight="1">
      <c r="A1712" s="81" t="s">
        <v>2042</v>
      </c>
      <c r="B1712" s="10">
        <v>1014</v>
      </c>
      <c r="C1712" s="43">
        <v>200096</v>
      </c>
      <c r="D1712" s="270" t="s">
        <v>1842</v>
      </c>
    </row>
    <row r="1713" spans="1:12" ht="13.5" customHeight="1">
      <c r="A1713" s="315" t="s">
        <v>2094</v>
      </c>
      <c r="B1713" s="10">
        <v>1014</v>
      </c>
      <c r="C1713" s="315">
        <v>200097</v>
      </c>
      <c r="D1713" s="315" t="s">
        <v>736</v>
      </c>
    </row>
    <row r="1714" spans="1:12">
      <c r="B1714" s="301">
        <v>1014</v>
      </c>
      <c r="C1714" s="302">
        <v>30580015</v>
      </c>
      <c r="D1714" s="303" t="s">
        <v>737</v>
      </c>
      <c r="E1714" s="303">
        <v>250121</v>
      </c>
    </row>
    <row r="1715" spans="1:12">
      <c r="B1715" s="301">
        <v>1014</v>
      </c>
      <c r="C1715" s="302">
        <v>30570009</v>
      </c>
      <c r="D1715" s="303" t="s">
        <v>737</v>
      </c>
      <c r="E1715" s="303">
        <v>250121</v>
      </c>
    </row>
    <row r="1716" spans="1:12">
      <c r="B1716" s="301">
        <v>1014</v>
      </c>
      <c r="C1716" s="302">
        <v>30560007</v>
      </c>
      <c r="D1716" s="303" t="s">
        <v>737</v>
      </c>
      <c r="E1716" s="303">
        <v>250121</v>
      </c>
    </row>
    <row r="1717" spans="1:12">
      <c r="B1717" s="301">
        <v>1014</v>
      </c>
      <c r="C1717" s="302">
        <v>30505005</v>
      </c>
      <c r="D1717" s="303" t="s">
        <v>737</v>
      </c>
      <c r="E1717" s="303">
        <v>250121</v>
      </c>
    </row>
    <row r="1718" spans="1:12">
      <c r="B1718" s="301">
        <v>1014</v>
      </c>
      <c r="C1718" s="302">
        <v>30550022</v>
      </c>
      <c r="D1718" s="303" t="s">
        <v>737</v>
      </c>
      <c r="E1718" s="303">
        <v>250121</v>
      </c>
    </row>
    <row r="1719" spans="1:12">
      <c r="B1719" s="283">
        <v>1014</v>
      </c>
      <c r="C1719" s="286">
        <v>305007</v>
      </c>
      <c r="D1719" s="10" t="s">
        <v>737</v>
      </c>
      <c r="I1719" s="286">
        <v>305007</v>
      </c>
      <c r="J1719" s="286" t="s">
        <v>1213</v>
      </c>
      <c r="K1719" s="286">
        <v>1</v>
      </c>
      <c r="L1719" s="287" t="s">
        <v>1828</v>
      </c>
    </row>
    <row r="1720" spans="1:12">
      <c r="B1720" s="283">
        <v>1014</v>
      </c>
      <c r="C1720" s="286">
        <v>305008</v>
      </c>
      <c r="D1720" s="10" t="s">
        <v>737</v>
      </c>
      <c r="I1720" s="286">
        <v>305008</v>
      </c>
      <c r="J1720" s="286" t="s">
        <v>1217</v>
      </c>
      <c r="K1720" s="286">
        <v>1</v>
      </c>
      <c r="L1720" s="287" t="s">
        <v>1828</v>
      </c>
    </row>
    <row r="1721" spans="1:12">
      <c r="B1721" s="283">
        <v>1014</v>
      </c>
      <c r="C1721" s="286">
        <v>305009</v>
      </c>
      <c r="D1721" s="10" t="s">
        <v>737</v>
      </c>
      <c r="I1721" s="286">
        <v>305009</v>
      </c>
      <c r="J1721" s="286" t="s">
        <v>1220</v>
      </c>
      <c r="K1721" s="286">
        <v>1</v>
      </c>
      <c r="L1721" s="287" t="s">
        <v>1828</v>
      </c>
    </row>
    <row r="1722" spans="1:12">
      <c r="B1722" s="283">
        <v>1014</v>
      </c>
      <c r="C1722" s="286">
        <v>305023</v>
      </c>
      <c r="D1722" s="10" t="s">
        <v>737</v>
      </c>
      <c r="I1722" s="286">
        <v>305023</v>
      </c>
      <c r="J1722" s="286" t="s">
        <v>1277</v>
      </c>
      <c r="K1722" s="286">
        <v>1</v>
      </c>
      <c r="L1722" s="287" t="s">
        <v>1828</v>
      </c>
    </row>
    <row r="1723" spans="1:12">
      <c r="B1723" s="283">
        <v>1014</v>
      </c>
      <c r="C1723" s="286">
        <v>305034</v>
      </c>
      <c r="D1723" s="10" t="s">
        <v>737</v>
      </c>
      <c r="I1723" s="286">
        <v>305034</v>
      </c>
      <c r="J1723" s="286" t="s">
        <v>222</v>
      </c>
      <c r="K1723" s="286">
        <v>1</v>
      </c>
      <c r="L1723" s="287" t="s">
        <v>1828</v>
      </c>
    </row>
    <row r="1724" spans="1:12">
      <c r="B1724" s="283">
        <v>1014</v>
      </c>
      <c r="C1724" s="286">
        <v>305035</v>
      </c>
      <c r="D1724" s="10" t="s">
        <v>737</v>
      </c>
      <c r="I1724" s="286">
        <v>305035</v>
      </c>
      <c r="J1724" s="286" t="s">
        <v>227</v>
      </c>
      <c r="K1724" s="286">
        <v>1</v>
      </c>
      <c r="L1724" s="287" t="s">
        <v>1828</v>
      </c>
    </row>
    <row r="1725" spans="1:12">
      <c r="B1725" s="283">
        <v>1014</v>
      </c>
      <c r="C1725" s="286">
        <v>305036</v>
      </c>
      <c r="D1725" s="10" t="s">
        <v>737</v>
      </c>
      <c r="I1725" s="286">
        <v>305036</v>
      </c>
      <c r="J1725" s="286" t="s">
        <v>232</v>
      </c>
      <c r="K1725" s="286">
        <v>1</v>
      </c>
      <c r="L1725" s="287" t="s">
        <v>1828</v>
      </c>
    </row>
    <row r="1726" spans="1:12">
      <c r="B1726" s="283">
        <v>1014</v>
      </c>
      <c r="C1726" s="286">
        <v>305039</v>
      </c>
      <c r="D1726" s="10" t="s">
        <v>737</v>
      </c>
      <c r="I1726" s="286">
        <v>305039</v>
      </c>
      <c r="J1726" s="286" t="s">
        <v>1829</v>
      </c>
      <c r="K1726" s="286">
        <v>1</v>
      </c>
      <c r="L1726" s="287" t="s">
        <v>1828</v>
      </c>
    </row>
    <row r="1727" spans="1:12">
      <c r="B1727" s="283">
        <v>1014</v>
      </c>
      <c r="C1727" s="286">
        <v>305040</v>
      </c>
      <c r="D1727" s="10" t="s">
        <v>737</v>
      </c>
      <c r="I1727" s="286">
        <v>305040</v>
      </c>
      <c r="J1727" s="286" t="s">
        <v>277</v>
      </c>
      <c r="K1727" s="286">
        <v>1</v>
      </c>
      <c r="L1727" s="287" t="s">
        <v>1828</v>
      </c>
    </row>
    <row r="1728" spans="1:12">
      <c r="B1728" s="283">
        <v>1014</v>
      </c>
      <c r="C1728" s="286">
        <v>305200</v>
      </c>
      <c r="D1728" s="10" t="s">
        <v>737</v>
      </c>
      <c r="I1728" s="286">
        <v>305200</v>
      </c>
      <c r="J1728" s="286" t="s">
        <v>313</v>
      </c>
      <c r="K1728" s="286">
        <v>1</v>
      </c>
      <c r="L1728" s="287" t="s">
        <v>1828</v>
      </c>
    </row>
    <row r="1729" spans="2:12">
      <c r="B1729" s="283">
        <v>1014</v>
      </c>
      <c r="C1729" s="288">
        <v>305224</v>
      </c>
      <c r="D1729" s="10" t="s">
        <v>737</v>
      </c>
      <c r="I1729" s="288">
        <v>305224</v>
      </c>
      <c r="J1729" s="10" t="s">
        <v>1890</v>
      </c>
      <c r="K1729" s="286">
        <v>1</v>
      </c>
      <c r="L1729" s="287" t="s">
        <v>1828</v>
      </c>
    </row>
    <row r="1730" spans="2:12">
      <c r="B1730" s="283">
        <v>1014</v>
      </c>
      <c r="C1730" s="288">
        <v>305225</v>
      </c>
      <c r="D1730" s="10" t="s">
        <v>737</v>
      </c>
      <c r="I1730" s="288">
        <v>305225</v>
      </c>
      <c r="J1730" s="10" t="s">
        <v>1888</v>
      </c>
      <c r="K1730" s="286">
        <v>1</v>
      </c>
      <c r="L1730" s="287" t="s">
        <v>1828</v>
      </c>
    </row>
    <row r="1731" spans="2:12">
      <c r="B1731" s="283">
        <v>1014</v>
      </c>
      <c r="C1731" s="288">
        <v>305226</v>
      </c>
      <c r="D1731" s="10" t="s">
        <v>737</v>
      </c>
      <c r="I1731" s="288">
        <v>305226</v>
      </c>
      <c r="J1731" s="10" t="s">
        <v>1891</v>
      </c>
      <c r="K1731" s="286">
        <v>1</v>
      </c>
      <c r="L1731" s="287" t="s">
        <v>1828</v>
      </c>
    </row>
    <row r="1732" spans="2:12">
      <c r="B1732" s="283">
        <v>1014</v>
      </c>
      <c r="C1732" s="289">
        <v>305010</v>
      </c>
      <c r="D1732" s="10" t="s">
        <v>737</v>
      </c>
      <c r="I1732" s="289">
        <v>305010</v>
      </c>
      <c r="J1732" s="289" t="s">
        <v>1223</v>
      </c>
      <c r="K1732" s="289">
        <v>2</v>
      </c>
      <c r="L1732" s="290" t="s">
        <v>1830</v>
      </c>
    </row>
    <row r="1733" spans="2:12">
      <c r="B1733" s="283">
        <v>1014</v>
      </c>
      <c r="C1733" s="289">
        <v>305021</v>
      </c>
      <c r="D1733" s="10" t="s">
        <v>737</v>
      </c>
      <c r="I1733" s="289">
        <v>305021</v>
      </c>
      <c r="J1733" s="289" t="s">
        <v>1270</v>
      </c>
      <c r="K1733" s="289">
        <v>2</v>
      </c>
      <c r="L1733" s="290" t="s">
        <v>1830</v>
      </c>
    </row>
    <row r="1734" spans="2:12">
      <c r="B1734" s="283">
        <v>1014</v>
      </c>
      <c r="C1734" s="289">
        <v>305022</v>
      </c>
      <c r="D1734" s="10" t="s">
        <v>737</v>
      </c>
      <c r="I1734" s="289">
        <v>305022</v>
      </c>
      <c r="J1734" s="289" t="s">
        <v>1273</v>
      </c>
      <c r="K1734" s="289">
        <v>2</v>
      </c>
      <c r="L1734" s="290" t="s">
        <v>1830</v>
      </c>
    </row>
    <row r="1735" spans="2:12">
      <c r="B1735" s="283">
        <v>1014</v>
      </c>
      <c r="C1735" s="289">
        <v>305032</v>
      </c>
      <c r="D1735" s="10" t="s">
        <v>737</v>
      </c>
      <c r="I1735" s="289">
        <v>305032</v>
      </c>
      <c r="J1735" s="289" t="s">
        <v>213</v>
      </c>
      <c r="K1735" s="289">
        <v>2</v>
      </c>
      <c r="L1735" s="290" t="s">
        <v>1830</v>
      </c>
    </row>
    <row r="1736" spans="2:12">
      <c r="B1736" s="283">
        <v>1014</v>
      </c>
      <c r="C1736" s="289">
        <v>305033</v>
      </c>
      <c r="D1736" s="10" t="s">
        <v>737</v>
      </c>
      <c r="I1736" s="289">
        <v>305033</v>
      </c>
      <c r="J1736" s="289" t="s">
        <v>217</v>
      </c>
      <c r="K1736" s="289">
        <v>2</v>
      </c>
      <c r="L1736" s="290" t="s">
        <v>1830</v>
      </c>
    </row>
    <row r="1737" spans="2:12">
      <c r="B1737" s="283">
        <v>1014</v>
      </c>
      <c r="C1737" s="289">
        <v>305037</v>
      </c>
      <c r="D1737" s="10" t="s">
        <v>737</v>
      </c>
      <c r="I1737" s="289">
        <v>305037</v>
      </c>
      <c r="J1737" s="289" t="s">
        <v>264</v>
      </c>
      <c r="K1737" s="289">
        <v>2</v>
      </c>
      <c r="L1737" s="290" t="s">
        <v>1830</v>
      </c>
    </row>
    <row r="1738" spans="2:12">
      <c r="B1738" s="283">
        <v>1014</v>
      </c>
      <c r="C1738" s="289">
        <v>305038</v>
      </c>
      <c r="D1738" s="10" t="s">
        <v>737</v>
      </c>
      <c r="I1738" s="289">
        <v>305038</v>
      </c>
      <c r="J1738" s="289" t="s">
        <v>268</v>
      </c>
      <c r="K1738" s="289">
        <v>2</v>
      </c>
      <c r="L1738" s="290" t="s">
        <v>1830</v>
      </c>
    </row>
    <row r="1739" spans="2:12">
      <c r="B1739" s="283">
        <v>1014</v>
      </c>
      <c r="C1739" s="289">
        <v>305300</v>
      </c>
      <c r="D1739" s="10" t="s">
        <v>737</v>
      </c>
      <c r="I1739" s="289">
        <v>305300</v>
      </c>
      <c r="J1739" s="289" t="s">
        <v>318</v>
      </c>
      <c r="K1739" s="289">
        <v>2</v>
      </c>
      <c r="L1739" s="290" t="s">
        <v>1830</v>
      </c>
    </row>
    <row r="1740" spans="2:12">
      <c r="B1740" s="283">
        <v>1014</v>
      </c>
      <c r="C1740" s="288">
        <v>305324</v>
      </c>
      <c r="D1740" s="10" t="s">
        <v>737</v>
      </c>
      <c r="I1740" s="288">
        <v>305324</v>
      </c>
      <c r="J1740" s="10" t="s">
        <v>1887</v>
      </c>
      <c r="K1740" s="289">
        <v>2</v>
      </c>
      <c r="L1740" s="290" t="s">
        <v>1830</v>
      </c>
    </row>
    <row r="1741" spans="2:12">
      <c r="B1741" s="283">
        <v>1014</v>
      </c>
      <c r="C1741" s="288">
        <v>305325</v>
      </c>
      <c r="D1741" s="10" t="s">
        <v>737</v>
      </c>
      <c r="I1741" s="288">
        <v>305325</v>
      </c>
      <c r="J1741" s="10" t="s">
        <v>1888</v>
      </c>
      <c r="K1741" s="289">
        <v>2</v>
      </c>
      <c r="L1741" s="290" t="s">
        <v>1830</v>
      </c>
    </row>
    <row r="1742" spans="2:12">
      <c r="B1742" s="283">
        <v>1014</v>
      </c>
      <c r="C1742" s="288">
        <v>305326</v>
      </c>
      <c r="D1742" s="10" t="s">
        <v>737</v>
      </c>
      <c r="I1742" s="288">
        <v>305326</v>
      </c>
      <c r="J1742" s="10" t="s">
        <v>1889</v>
      </c>
      <c r="K1742" s="289">
        <v>2</v>
      </c>
      <c r="L1742" s="290" t="s">
        <v>1830</v>
      </c>
    </row>
    <row r="1743" spans="2:12">
      <c r="B1743" s="283">
        <v>1014</v>
      </c>
      <c r="C1743" s="291">
        <v>305001</v>
      </c>
      <c r="D1743" s="10" t="s">
        <v>737</v>
      </c>
      <c r="I1743" s="291">
        <v>305001</v>
      </c>
      <c r="J1743" s="291" t="s">
        <v>176</v>
      </c>
      <c r="K1743" s="291">
        <v>0</v>
      </c>
      <c r="L1743" s="292" t="s">
        <v>1827</v>
      </c>
    </row>
    <row r="1744" spans="2:12">
      <c r="B1744" s="283">
        <v>1014</v>
      </c>
      <c r="C1744" s="291">
        <v>305002</v>
      </c>
      <c r="D1744" s="10" t="s">
        <v>737</v>
      </c>
      <c r="I1744" s="291">
        <v>305002</v>
      </c>
      <c r="J1744" s="291" t="s">
        <v>181</v>
      </c>
      <c r="K1744" s="291">
        <v>0</v>
      </c>
      <c r="L1744" s="292" t="s">
        <v>1827</v>
      </c>
    </row>
    <row r="1745" spans="2:22">
      <c r="B1745" s="283">
        <v>1014</v>
      </c>
      <c r="C1745" s="291">
        <v>305003</v>
      </c>
      <c r="D1745" s="10" t="s">
        <v>737</v>
      </c>
      <c r="I1745" s="291">
        <v>305003</v>
      </c>
      <c r="J1745" s="291" t="s">
        <v>186</v>
      </c>
      <c r="K1745" s="291">
        <v>0</v>
      </c>
      <c r="L1745" s="292" t="s">
        <v>1827</v>
      </c>
    </row>
    <row r="1746" spans="2:22">
      <c r="B1746" s="283">
        <v>1014</v>
      </c>
      <c r="C1746" s="291">
        <v>305018</v>
      </c>
      <c r="D1746" s="10" t="s">
        <v>737</v>
      </c>
      <c r="I1746" s="291">
        <v>305018</v>
      </c>
      <c r="J1746" s="291" t="s">
        <v>191</v>
      </c>
      <c r="K1746" s="291">
        <v>0</v>
      </c>
      <c r="L1746" s="292" t="s">
        <v>1827</v>
      </c>
    </row>
    <row r="1747" spans="2:22">
      <c r="B1747" s="283">
        <v>1014</v>
      </c>
      <c r="C1747" s="291">
        <v>305019</v>
      </c>
      <c r="D1747" s="10" t="s">
        <v>737</v>
      </c>
      <c r="I1747" s="291">
        <v>305019</v>
      </c>
      <c r="J1747" s="291" t="s">
        <v>196</v>
      </c>
      <c r="K1747" s="291">
        <v>0</v>
      </c>
      <c r="L1747" s="292" t="s">
        <v>1827</v>
      </c>
    </row>
    <row r="1748" spans="2:22">
      <c r="B1748" s="283">
        <v>1014</v>
      </c>
      <c r="C1748" s="291">
        <v>305041</v>
      </c>
      <c r="D1748" s="10" t="s">
        <v>737</v>
      </c>
      <c r="I1748" s="291">
        <v>305041</v>
      </c>
      <c r="J1748" s="291" t="s">
        <v>282</v>
      </c>
      <c r="K1748" s="291">
        <v>0</v>
      </c>
      <c r="L1748" s="292" t="s">
        <v>1827</v>
      </c>
    </row>
    <row r="1749" spans="2:22">
      <c r="B1749" s="283">
        <v>1014</v>
      </c>
      <c r="C1749" s="291">
        <v>305042</v>
      </c>
      <c r="D1749" s="10" t="s">
        <v>737</v>
      </c>
      <c r="I1749" s="291">
        <v>305042</v>
      </c>
      <c r="J1749" s="291" t="s">
        <v>287</v>
      </c>
      <c r="K1749" s="291">
        <v>0</v>
      </c>
      <c r="L1749" s="292" t="s">
        <v>1827</v>
      </c>
    </row>
    <row r="1750" spans="2:22">
      <c r="B1750" s="283">
        <v>1014</v>
      </c>
      <c r="C1750" s="291">
        <v>305600</v>
      </c>
      <c r="D1750" s="10" t="s">
        <v>737</v>
      </c>
      <c r="I1750" s="291">
        <v>305600</v>
      </c>
      <c r="J1750" s="291" t="s">
        <v>323</v>
      </c>
      <c r="K1750" s="291">
        <v>0</v>
      </c>
      <c r="L1750" s="292" t="s">
        <v>1827</v>
      </c>
    </row>
    <row r="1751" spans="2:22">
      <c r="B1751" s="283">
        <v>1014</v>
      </c>
      <c r="C1751" s="288">
        <v>305623</v>
      </c>
      <c r="D1751" s="10" t="s">
        <v>737</v>
      </c>
      <c r="I1751" s="288">
        <v>305623</v>
      </c>
      <c r="J1751" s="10" t="s">
        <v>1864</v>
      </c>
      <c r="K1751" s="291">
        <v>0</v>
      </c>
      <c r="L1751" s="292" t="s">
        <v>1827</v>
      </c>
    </row>
    <row r="1752" spans="2:22">
      <c r="B1752" s="283">
        <v>1014</v>
      </c>
      <c r="C1752" s="288">
        <v>305624</v>
      </c>
      <c r="D1752" s="10" t="s">
        <v>737</v>
      </c>
      <c r="I1752" s="288">
        <v>305624</v>
      </c>
      <c r="J1752" s="10" t="s">
        <v>1865</v>
      </c>
      <c r="K1752" s="291">
        <v>0</v>
      </c>
      <c r="L1752" s="292" t="s">
        <v>1827</v>
      </c>
    </row>
    <row r="1753" spans="2:22">
      <c r="B1753" s="283">
        <v>1014</v>
      </c>
      <c r="C1753" s="288">
        <v>305625</v>
      </c>
      <c r="D1753" s="10" t="s">
        <v>737</v>
      </c>
      <c r="I1753" s="288">
        <v>305625</v>
      </c>
      <c r="J1753" s="10" t="s">
        <v>1866</v>
      </c>
      <c r="K1753" s="291">
        <v>0</v>
      </c>
      <c r="L1753" s="292" t="s">
        <v>1827</v>
      </c>
    </row>
    <row r="1754" spans="2:22">
      <c r="B1754" s="283">
        <v>1014</v>
      </c>
      <c r="C1754" s="288">
        <v>305626</v>
      </c>
      <c r="D1754" s="10" t="s">
        <v>737</v>
      </c>
      <c r="I1754" s="288">
        <v>305626</v>
      </c>
      <c r="J1754" s="10" t="s">
        <v>1867</v>
      </c>
      <c r="K1754" s="291">
        <v>0</v>
      </c>
      <c r="L1754" s="292" t="s">
        <v>1827</v>
      </c>
    </row>
    <row r="1755" spans="2:22">
      <c r="B1755" s="283">
        <v>1014</v>
      </c>
      <c r="C1755" s="293">
        <v>305012</v>
      </c>
      <c r="D1755" s="10" t="s">
        <v>737</v>
      </c>
      <c r="I1755" s="293">
        <v>305012</v>
      </c>
      <c r="J1755" s="293" t="s">
        <v>1230</v>
      </c>
      <c r="K1755" s="293">
        <v>6</v>
      </c>
      <c r="L1755" s="294" t="s">
        <v>1833</v>
      </c>
    </row>
    <row r="1756" spans="2:22">
      <c r="B1756" s="283">
        <v>1014</v>
      </c>
      <c r="C1756" s="293">
        <v>305013</v>
      </c>
      <c r="D1756" s="10" t="s">
        <v>737</v>
      </c>
      <c r="I1756" s="293">
        <v>305013</v>
      </c>
      <c r="J1756" s="293" t="s">
        <v>1237</v>
      </c>
      <c r="K1756" s="293">
        <v>6</v>
      </c>
      <c r="L1756" s="294" t="s">
        <v>1833</v>
      </c>
    </row>
    <row r="1757" spans="2:22">
      <c r="B1757" s="283">
        <v>1014</v>
      </c>
      <c r="C1757" s="293">
        <v>305014</v>
      </c>
      <c r="D1757" s="10" t="s">
        <v>737</v>
      </c>
      <c r="I1757" s="293">
        <v>305014</v>
      </c>
      <c r="J1757" s="293" t="s">
        <v>1241</v>
      </c>
      <c r="K1757" s="293">
        <v>6</v>
      </c>
      <c r="L1757" s="294" t="s">
        <v>1833</v>
      </c>
    </row>
    <row r="1758" spans="2:22" s="285" customFormat="1">
      <c r="B1758" s="283">
        <v>1014</v>
      </c>
      <c r="C1758" s="293">
        <v>305046</v>
      </c>
      <c r="D1758" s="285" t="s">
        <v>737</v>
      </c>
      <c r="G1758" s="10"/>
      <c r="H1758" s="10"/>
      <c r="I1758" s="293">
        <v>305046</v>
      </c>
      <c r="J1758" s="293" t="s">
        <v>309</v>
      </c>
      <c r="K1758" s="293">
        <v>6</v>
      </c>
      <c r="L1758" s="294" t="s">
        <v>1833</v>
      </c>
      <c r="M1758" s="10"/>
      <c r="R1758" s="10"/>
      <c r="S1758" s="10"/>
      <c r="T1758" s="10"/>
      <c r="U1758" s="10"/>
      <c r="V1758" s="10"/>
    </row>
    <row r="1759" spans="2:22">
      <c r="B1759" s="283">
        <v>1014</v>
      </c>
      <c r="C1759" s="288">
        <v>305815</v>
      </c>
      <c r="D1759" s="10" t="s">
        <v>737</v>
      </c>
      <c r="I1759" s="288">
        <v>305815</v>
      </c>
      <c r="J1759" s="10" t="s">
        <v>1868</v>
      </c>
      <c r="K1759" s="293">
        <v>6</v>
      </c>
      <c r="L1759" s="294" t="s">
        <v>1833</v>
      </c>
    </row>
    <row r="1760" spans="2:22">
      <c r="B1760" s="283">
        <v>1014</v>
      </c>
      <c r="C1760" s="288">
        <v>305816</v>
      </c>
      <c r="D1760" s="10" t="s">
        <v>737</v>
      </c>
      <c r="I1760" s="288">
        <v>305816</v>
      </c>
      <c r="J1760" s="10" t="s">
        <v>1869</v>
      </c>
      <c r="K1760" s="293">
        <v>6</v>
      </c>
      <c r="L1760" s="294" t="s">
        <v>1833</v>
      </c>
    </row>
    <row r="1761" spans="2:22">
      <c r="B1761" s="283">
        <v>1014</v>
      </c>
      <c r="C1761" s="288">
        <v>305817</v>
      </c>
      <c r="D1761" s="10" t="s">
        <v>737</v>
      </c>
      <c r="I1761" s="288">
        <v>305817</v>
      </c>
      <c r="J1761" s="10" t="s">
        <v>1870</v>
      </c>
      <c r="K1761" s="293">
        <v>6</v>
      </c>
      <c r="L1761" s="294" t="s">
        <v>1833</v>
      </c>
    </row>
    <row r="1762" spans="2:22" s="285" customFormat="1">
      <c r="B1762" s="283">
        <v>1014</v>
      </c>
      <c r="C1762" s="288">
        <v>305818</v>
      </c>
      <c r="D1762" s="285" t="s">
        <v>737</v>
      </c>
      <c r="G1762" s="10"/>
      <c r="H1762" s="10"/>
      <c r="I1762" s="288">
        <v>305818</v>
      </c>
      <c r="J1762" s="10" t="s">
        <v>1871</v>
      </c>
      <c r="K1762" s="293">
        <v>6</v>
      </c>
      <c r="L1762" s="294" t="s">
        <v>1833</v>
      </c>
      <c r="M1762" s="10"/>
      <c r="R1762" s="10"/>
      <c r="S1762" s="10"/>
      <c r="T1762" s="10"/>
      <c r="U1762" s="10"/>
      <c r="V1762" s="10"/>
    </row>
    <row r="1763" spans="2:22">
      <c r="B1763" s="283">
        <v>1014</v>
      </c>
      <c r="C1763" s="288">
        <v>305819</v>
      </c>
      <c r="D1763" s="10" t="s">
        <v>737</v>
      </c>
      <c r="I1763" s="288">
        <v>305819</v>
      </c>
      <c r="J1763" s="10" t="s">
        <v>1872</v>
      </c>
      <c r="K1763" s="293">
        <v>6</v>
      </c>
      <c r="L1763" s="294" t="s">
        <v>1833</v>
      </c>
    </row>
    <row r="1764" spans="2:22" s="285" customFormat="1">
      <c r="B1764" s="283">
        <v>1014</v>
      </c>
      <c r="C1764" s="288">
        <v>305820</v>
      </c>
      <c r="D1764" s="285" t="s">
        <v>737</v>
      </c>
      <c r="G1764" s="10"/>
      <c r="H1764" s="10"/>
      <c r="I1764" s="288">
        <v>305820</v>
      </c>
      <c r="J1764" s="10" t="s">
        <v>1873</v>
      </c>
      <c r="K1764" s="293">
        <v>6</v>
      </c>
      <c r="L1764" s="294" t="s">
        <v>1833</v>
      </c>
      <c r="M1764" s="10"/>
      <c r="R1764" s="10"/>
      <c r="S1764" s="10"/>
      <c r="T1764" s="10"/>
      <c r="U1764" s="10"/>
      <c r="V1764" s="10"/>
    </row>
    <row r="1765" spans="2:22">
      <c r="B1765" s="283">
        <v>1014</v>
      </c>
      <c r="C1765" s="295">
        <v>305015</v>
      </c>
      <c r="D1765" s="10" t="s">
        <v>737</v>
      </c>
      <c r="I1765" s="295">
        <v>305015</v>
      </c>
      <c r="J1765" s="295" t="s">
        <v>1245</v>
      </c>
      <c r="K1765" s="295">
        <v>7</v>
      </c>
      <c r="L1765" s="296" t="s">
        <v>538</v>
      </c>
    </row>
    <row r="1766" spans="2:22">
      <c r="B1766" s="283">
        <v>1014</v>
      </c>
      <c r="C1766" s="295">
        <v>305016</v>
      </c>
      <c r="D1766" s="10" t="s">
        <v>737</v>
      </c>
      <c r="I1766" s="295">
        <v>305016</v>
      </c>
      <c r="J1766" s="295" t="s">
        <v>1251</v>
      </c>
      <c r="K1766" s="295">
        <v>7</v>
      </c>
      <c r="L1766" s="296" t="s">
        <v>538</v>
      </c>
    </row>
    <row r="1767" spans="2:22">
      <c r="B1767" s="283">
        <v>1014</v>
      </c>
      <c r="C1767" s="295">
        <v>305017</v>
      </c>
      <c r="D1767" s="10" t="s">
        <v>737</v>
      </c>
      <c r="I1767" s="295">
        <v>305017</v>
      </c>
      <c r="J1767" s="295" t="s">
        <v>1255</v>
      </c>
      <c r="K1767" s="295">
        <v>7</v>
      </c>
      <c r="L1767" s="296" t="s">
        <v>538</v>
      </c>
    </row>
    <row r="1768" spans="2:22">
      <c r="B1768" s="283">
        <v>1014</v>
      </c>
      <c r="C1768" s="295">
        <v>305700</v>
      </c>
      <c r="D1768" s="10" t="s">
        <v>737</v>
      </c>
      <c r="I1768" s="295">
        <v>305700</v>
      </c>
      <c r="J1768" s="295" t="s">
        <v>328</v>
      </c>
      <c r="K1768" s="295">
        <v>7</v>
      </c>
      <c r="L1768" s="296" t="s">
        <v>538</v>
      </c>
    </row>
    <row r="1769" spans="2:22">
      <c r="B1769" s="283">
        <v>1014</v>
      </c>
      <c r="C1769" s="288">
        <v>305719</v>
      </c>
      <c r="D1769" s="10" t="s">
        <v>737</v>
      </c>
      <c r="I1769" s="288">
        <v>305719</v>
      </c>
      <c r="J1769" s="10" t="s">
        <v>1874</v>
      </c>
      <c r="K1769" s="295">
        <v>7</v>
      </c>
      <c r="L1769" s="296" t="s">
        <v>538</v>
      </c>
    </row>
    <row r="1770" spans="2:22">
      <c r="B1770" s="283">
        <v>1014</v>
      </c>
      <c r="C1770" s="288">
        <v>305720</v>
      </c>
      <c r="D1770" s="10" t="s">
        <v>737</v>
      </c>
      <c r="I1770" s="288">
        <v>305720</v>
      </c>
      <c r="J1770" s="10" t="s">
        <v>1875</v>
      </c>
      <c r="K1770" s="295">
        <v>7</v>
      </c>
      <c r="L1770" s="296" t="s">
        <v>538</v>
      </c>
    </row>
    <row r="1771" spans="2:22">
      <c r="B1771" s="283">
        <v>1014</v>
      </c>
      <c r="C1771" s="288">
        <v>305721</v>
      </c>
      <c r="D1771" s="10" t="s">
        <v>737</v>
      </c>
      <c r="I1771" s="288">
        <v>305721</v>
      </c>
      <c r="J1771" s="10" t="s">
        <v>1876</v>
      </c>
      <c r="K1771" s="295">
        <v>7</v>
      </c>
      <c r="L1771" s="296" t="s">
        <v>538</v>
      </c>
    </row>
    <row r="1772" spans="2:22">
      <c r="B1772" s="283">
        <v>1014</v>
      </c>
      <c r="C1772" s="288">
        <v>305722</v>
      </c>
      <c r="D1772" s="10" t="s">
        <v>737</v>
      </c>
      <c r="I1772" s="288">
        <v>305722</v>
      </c>
      <c r="J1772" s="10" t="s">
        <v>1877</v>
      </c>
      <c r="K1772" s="295">
        <v>7</v>
      </c>
      <c r="L1772" s="296" t="s">
        <v>538</v>
      </c>
    </row>
    <row r="1773" spans="2:22">
      <c r="B1773" s="283">
        <v>1014</v>
      </c>
      <c r="C1773" s="288">
        <v>305723</v>
      </c>
      <c r="D1773" s="10" t="s">
        <v>737</v>
      </c>
      <c r="I1773" s="288">
        <v>305723</v>
      </c>
      <c r="J1773" s="10" t="s">
        <v>1878</v>
      </c>
      <c r="K1773" s="295">
        <v>7</v>
      </c>
      <c r="L1773" s="296" t="s">
        <v>538</v>
      </c>
    </row>
    <row r="1774" spans="2:22">
      <c r="B1774" s="283">
        <v>1014</v>
      </c>
      <c r="C1774" s="288">
        <v>305724</v>
      </c>
      <c r="D1774" s="10" t="s">
        <v>737</v>
      </c>
      <c r="I1774" s="288">
        <v>305724</v>
      </c>
      <c r="J1774" s="10" t="s">
        <v>1879</v>
      </c>
      <c r="K1774" s="295">
        <v>7</v>
      </c>
      <c r="L1774" s="296" t="s">
        <v>538</v>
      </c>
    </row>
    <row r="1775" spans="2:22">
      <c r="B1775" s="283">
        <v>1014</v>
      </c>
      <c r="C1775" s="297">
        <v>305011</v>
      </c>
      <c r="D1775" s="10" t="s">
        <v>737</v>
      </c>
      <c r="I1775" s="297">
        <v>305011</v>
      </c>
      <c r="J1775" s="297" t="s">
        <v>161</v>
      </c>
      <c r="K1775" s="297">
        <v>3</v>
      </c>
      <c r="L1775" s="298" t="s">
        <v>1831</v>
      </c>
    </row>
    <row r="1776" spans="2:22">
      <c r="B1776" s="283">
        <v>1014</v>
      </c>
      <c r="C1776" s="299">
        <v>305025</v>
      </c>
      <c r="D1776" s="10" t="s">
        <v>737</v>
      </c>
      <c r="I1776" s="299">
        <v>305025</v>
      </c>
      <c r="J1776" s="299" t="s">
        <v>200</v>
      </c>
      <c r="K1776" s="299">
        <v>4</v>
      </c>
      <c r="L1776" s="300" t="s">
        <v>1832</v>
      </c>
    </row>
    <row r="1777" spans="1:22" s="285" customFormat="1">
      <c r="A1777" s="10"/>
      <c r="B1777" s="283">
        <v>1014</v>
      </c>
      <c r="C1777" s="299">
        <v>305026</v>
      </c>
      <c r="D1777" s="10" t="s">
        <v>737</v>
      </c>
      <c r="E1777" s="10"/>
      <c r="F1777" s="10"/>
      <c r="G1777" s="10"/>
      <c r="H1777" s="10"/>
      <c r="I1777" s="299">
        <v>305026</v>
      </c>
      <c r="J1777" s="299" t="s">
        <v>204</v>
      </c>
      <c r="K1777" s="299">
        <v>4</v>
      </c>
      <c r="L1777" s="300" t="s">
        <v>1832</v>
      </c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</row>
    <row r="1778" spans="1:22" s="285" customFormat="1">
      <c r="A1778" s="10"/>
      <c r="B1778" s="283">
        <v>1014</v>
      </c>
      <c r="C1778" s="299">
        <v>305050</v>
      </c>
      <c r="D1778" s="10" t="s">
        <v>737</v>
      </c>
      <c r="E1778" s="10"/>
      <c r="F1778" s="10"/>
      <c r="G1778" s="10"/>
      <c r="H1778" s="10"/>
      <c r="I1778" s="299">
        <v>305050</v>
      </c>
      <c r="J1778" s="299" t="s">
        <v>300</v>
      </c>
      <c r="K1778" s="299">
        <v>4</v>
      </c>
      <c r="L1778" s="300" t="s">
        <v>1832</v>
      </c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</row>
    <row r="1779" spans="1:22" s="285" customFormat="1">
      <c r="A1779" s="10"/>
      <c r="B1779" s="283">
        <v>1014</v>
      </c>
      <c r="C1779" s="299">
        <v>305051</v>
      </c>
      <c r="D1779" s="10" t="s">
        <v>737</v>
      </c>
      <c r="E1779" s="10"/>
      <c r="F1779" s="10"/>
      <c r="G1779" s="10"/>
      <c r="H1779" s="10"/>
      <c r="I1779" s="299">
        <v>305051</v>
      </c>
      <c r="J1779" s="299" t="s">
        <v>340</v>
      </c>
      <c r="K1779" s="299">
        <v>4</v>
      </c>
      <c r="L1779" s="300" t="s">
        <v>1832</v>
      </c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</row>
    <row r="1780" spans="1:22">
      <c r="B1780" s="283">
        <v>1014</v>
      </c>
      <c r="C1780" s="288">
        <v>305055</v>
      </c>
      <c r="D1780" s="10" t="s">
        <v>737</v>
      </c>
      <c r="I1780" s="288">
        <v>305055</v>
      </c>
      <c r="J1780" s="10" t="s">
        <v>1880</v>
      </c>
      <c r="K1780" s="299">
        <v>4</v>
      </c>
      <c r="L1780" s="300" t="s">
        <v>1832</v>
      </c>
    </row>
    <row r="1781" spans="1:22" s="285" customFormat="1">
      <c r="A1781" s="10"/>
      <c r="B1781" s="283">
        <v>1014</v>
      </c>
      <c r="C1781" s="288">
        <v>305056</v>
      </c>
      <c r="D1781" s="10" t="s">
        <v>737</v>
      </c>
      <c r="E1781" s="10"/>
      <c r="F1781" s="10"/>
      <c r="G1781" s="10"/>
      <c r="H1781" s="10"/>
      <c r="I1781" s="288">
        <v>305056</v>
      </c>
      <c r="J1781" s="10" t="s">
        <v>1881</v>
      </c>
      <c r="K1781" s="299">
        <v>4</v>
      </c>
      <c r="L1781" s="300" t="s">
        <v>1832</v>
      </c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</row>
    <row r="1782" spans="1:22" s="285" customFormat="1">
      <c r="A1782" s="10"/>
      <c r="B1782" s="283">
        <v>1014</v>
      </c>
      <c r="C1782" s="288">
        <v>306104</v>
      </c>
      <c r="D1782" s="10" t="s">
        <v>737</v>
      </c>
      <c r="E1782" s="10"/>
      <c r="F1782" s="10"/>
      <c r="G1782" s="10"/>
      <c r="H1782" s="10"/>
      <c r="I1782" s="288">
        <v>306104</v>
      </c>
      <c r="J1782" s="10" t="s">
        <v>1882</v>
      </c>
      <c r="K1782" s="299">
        <v>4</v>
      </c>
      <c r="L1782" s="300" t="s">
        <v>1886</v>
      </c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</row>
    <row r="1783" spans="1:22" s="285" customFormat="1">
      <c r="A1783" s="10"/>
      <c r="B1783" s="283">
        <v>1014</v>
      </c>
      <c r="C1783" s="288">
        <v>306105</v>
      </c>
      <c r="D1783" s="10" t="s">
        <v>737</v>
      </c>
      <c r="E1783" s="10"/>
      <c r="F1783" s="10"/>
      <c r="G1783" s="10"/>
      <c r="H1783" s="10"/>
      <c r="I1783" s="288">
        <v>306105</v>
      </c>
      <c r="J1783" s="10" t="s">
        <v>1883</v>
      </c>
      <c r="K1783" s="299">
        <v>4</v>
      </c>
      <c r="L1783" s="300" t="s">
        <v>1886</v>
      </c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</row>
    <row r="1784" spans="1:22" s="285" customFormat="1">
      <c r="A1784" s="10"/>
      <c r="B1784" s="283">
        <v>1014</v>
      </c>
      <c r="C1784" s="288">
        <v>306106</v>
      </c>
      <c r="D1784" s="10" t="s">
        <v>737</v>
      </c>
      <c r="E1784" s="10"/>
      <c r="F1784" s="10"/>
      <c r="G1784" s="10"/>
      <c r="H1784" s="10"/>
      <c r="I1784" s="288">
        <v>306106</v>
      </c>
      <c r="J1784" s="10" t="s">
        <v>1884</v>
      </c>
      <c r="K1784" s="299">
        <v>4</v>
      </c>
      <c r="L1784" s="300" t="s">
        <v>1886</v>
      </c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</row>
    <row r="1785" spans="1:22" s="285" customFormat="1">
      <c r="A1785" s="10"/>
      <c r="B1785" s="283">
        <v>1014</v>
      </c>
      <c r="C1785" s="288">
        <v>306107</v>
      </c>
      <c r="D1785" s="10" t="s">
        <v>737</v>
      </c>
      <c r="E1785" s="10"/>
      <c r="F1785" s="10"/>
      <c r="G1785" s="10"/>
      <c r="H1785" s="10"/>
      <c r="I1785" s="288">
        <v>306107</v>
      </c>
      <c r="J1785" s="10" t="s">
        <v>1885</v>
      </c>
      <c r="K1785" s="299">
        <v>4</v>
      </c>
      <c r="L1785" s="300" t="s">
        <v>1886</v>
      </c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</row>
    <row r="1786" spans="1:22" ht="13.5" customHeight="1">
      <c r="B1786" s="306">
        <v>1014</v>
      </c>
      <c r="C1786" s="282">
        <v>303012</v>
      </c>
      <c r="D1786" s="301" t="s">
        <v>38</v>
      </c>
    </row>
    <row r="1787" spans="1:22" ht="13.5" customHeight="1">
      <c r="B1787" s="306">
        <v>1014</v>
      </c>
      <c r="C1787" s="282">
        <v>303013</v>
      </c>
      <c r="D1787" s="301" t="s">
        <v>38</v>
      </c>
    </row>
    <row r="1788" spans="1:22" s="303" customFormat="1">
      <c r="A1788" s="10"/>
      <c r="B1788" s="306">
        <v>1014</v>
      </c>
      <c r="C1788" s="282">
        <v>303022</v>
      </c>
      <c r="D1788" s="301" t="s">
        <v>38</v>
      </c>
      <c r="E1788" s="10"/>
      <c r="G1788" s="10"/>
    </row>
    <row r="1789" spans="1:22" s="303" customFormat="1">
      <c r="A1789" s="10"/>
      <c r="B1789" s="306">
        <v>1014</v>
      </c>
      <c r="C1789" s="282">
        <v>303023</v>
      </c>
      <c r="D1789" s="301" t="s">
        <v>38</v>
      </c>
      <c r="E1789" s="10"/>
      <c r="G1789" s="10"/>
    </row>
    <row r="1790" spans="1:22" s="303" customFormat="1">
      <c r="A1790" s="10"/>
      <c r="B1790" s="306">
        <v>1014</v>
      </c>
      <c r="C1790" s="282">
        <v>303032</v>
      </c>
      <c r="D1790" s="301" t="s">
        <v>38</v>
      </c>
      <c r="E1790" s="10"/>
      <c r="G1790" s="10"/>
    </row>
    <row r="1791" spans="1:22">
      <c r="B1791" s="306">
        <v>1014</v>
      </c>
      <c r="C1791" s="282">
        <v>303033</v>
      </c>
      <c r="D1791" s="301" t="s">
        <v>38</v>
      </c>
    </row>
    <row r="1792" spans="1:22">
      <c r="B1792" s="306">
        <v>1014</v>
      </c>
      <c r="C1792" s="282">
        <v>303042</v>
      </c>
      <c r="D1792" s="301" t="s">
        <v>38</v>
      </c>
    </row>
    <row r="1793" spans="2:4">
      <c r="B1793" s="306">
        <v>1014</v>
      </c>
      <c r="C1793" s="282">
        <v>303043</v>
      </c>
      <c r="D1793" s="301" t="s">
        <v>38</v>
      </c>
    </row>
    <row r="1794" spans="2:4">
      <c r="B1794" s="306">
        <v>1014</v>
      </c>
      <c r="C1794" s="282">
        <v>303052</v>
      </c>
      <c r="D1794" s="301" t="s">
        <v>38</v>
      </c>
    </row>
    <row r="1795" spans="2:4">
      <c r="B1795" s="306">
        <v>1014</v>
      </c>
      <c r="C1795" s="282">
        <v>303053</v>
      </c>
      <c r="D1795" s="301" t="s">
        <v>38</v>
      </c>
    </row>
    <row r="1796" spans="2:4">
      <c r="B1796" s="306">
        <v>1014</v>
      </c>
      <c r="C1796" s="282">
        <v>303062</v>
      </c>
      <c r="D1796" s="301" t="s">
        <v>38</v>
      </c>
    </row>
    <row r="1797" spans="2:4">
      <c r="B1797" s="306">
        <v>1014</v>
      </c>
      <c r="C1797" s="282">
        <v>303063</v>
      </c>
      <c r="D1797" s="301" t="s">
        <v>38</v>
      </c>
    </row>
    <row r="1798" spans="2:4">
      <c r="B1798" s="306">
        <v>1014</v>
      </c>
      <c r="C1798" s="282">
        <v>303072</v>
      </c>
      <c r="D1798" s="301" t="s">
        <v>38</v>
      </c>
    </row>
    <row r="1799" spans="2:4">
      <c r="B1799" s="306">
        <v>1014</v>
      </c>
      <c r="C1799" s="282">
        <v>303073</v>
      </c>
      <c r="D1799" s="301" t="s">
        <v>38</v>
      </c>
    </row>
    <row r="1800" spans="2:4">
      <c r="B1800" s="306">
        <v>1014</v>
      </c>
      <c r="C1800" s="282">
        <v>303082</v>
      </c>
      <c r="D1800" s="301" t="s">
        <v>38</v>
      </c>
    </row>
    <row r="1801" spans="2:4">
      <c r="B1801" s="306">
        <v>1014</v>
      </c>
      <c r="C1801" s="282">
        <v>303083</v>
      </c>
      <c r="D1801" s="301" t="s">
        <v>38</v>
      </c>
    </row>
    <row r="1802" spans="2:4">
      <c r="B1802" s="10">
        <v>1015</v>
      </c>
      <c r="C1802" s="43">
        <v>200011</v>
      </c>
      <c r="D1802" s="10" t="s">
        <v>736</v>
      </c>
    </row>
    <row r="1803" spans="2:4">
      <c r="B1803" s="10">
        <v>1015</v>
      </c>
      <c r="C1803" s="43">
        <v>200012</v>
      </c>
      <c r="D1803" s="10" t="s">
        <v>736</v>
      </c>
    </row>
    <row r="1804" spans="2:4">
      <c r="B1804" s="10">
        <v>1015</v>
      </c>
      <c r="C1804" s="43">
        <v>200013</v>
      </c>
      <c r="D1804" s="10" t="s">
        <v>736</v>
      </c>
    </row>
    <row r="1805" spans="2:4">
      <c r="B1805" s="10">
        <v>1015</v>
      </c>
      <c r="C1805" s="43">
        <v>200014</v>
      </c>
      <c r="D1805" s="10" t="s">
        <v>736</v>
      </c>
    </row>
    <row r="1806" spans="2:4">
      <c r="B1806" s="10">
        <v>1015</v>
      </c>
      <c r="C1806" s="43">
        <v>200022</v>
      </c>
      <c r="D1806" s="10" t="s">
        <v>736</v>
      </c>
    </row>
    <row r="1807" spans="2:4">
      <c r="B1807" s="10">
        <v>1015</v>
      </c>
      <c r="C1807" s="43">
        <v>200023</v>
      </c>
      <c r="D1807" s="10" t="s">
        <v>736</v>
      </c>
    </row>
    <row r="1808" spans="2:4">
      <c r="B1808" s="10">
        <v>1015</v>
      </c>
      <c r="C1808" s="43">
        <v>200025</v>
      </c>
      <c r="D1808" s="10" t="s">
        <v>736</v>
      </c>
    </row>
    <row r="1809" spans="1:8">
      <c r="B1809" s="10">
        <v>1015</v>
      </c>
      <c r="C1809" s="43">
        <v>200027</v>
      </c>
      <c r="D1809" s="10" t="s">
        <v>736</v>
      </c>
    </row>
    <row r="1810" spans="1:8">
      <c r="B1810" s="10">
        <v>1015</v>
      </c>
      <c r="C1810" s="43">
        <v>200030</v>
      </c>
      <c r="D1810" s="10" t="s">
        <v>736</v>
      </c>
    </row>
    <row r="1811" spans="1:8">
      <c r="B1811" s="10">
        <v>1015</v>
      </c>
      <c r="C1811" s="43">
        <v>200031</v>
      </c>
      <c r="D1811" s="10" t="s">
        <v>736</v>
      </c>
    </row>
    <row r="1812" spans="1:8">
      <c r="B1812" s="10">
        <v>1015</v>
      </c>
      <c r="C1812" s="43">
        <v>200039</v>
      </c>
      <c r="D1812" s="10" t="s">
        <v>736</v>
      </c>
    </row>
    <row r="1813" spans="1:8">
      <c r="B1813" s="10">
        <v>1015</v>
      </c>
      <c r="C1813" s="43">
        <v>200045</v>
      </c>
      <c r="D1813" s="10" t="s">
        <v>736</v>
      </c>
      <c r="H1813" s="43"/>
    </row>
    <row r="1814" spans="1:8">
      <c r="B1814" s="10">
        <v>1015</v>
      </c>
      <c r="C1814" s="43">
        <v>200047</v>
      </c>
      <c r="D1814" s="10" t="s">
        <v>736</v>
      </c>
      <c r="H1814" s="43"/>
    </row>
    <row r="1815" spans="1:8">
      <c r="B1815" s="10">
        <v>1015</v>
      </c>
      <c r="C1815" s="43">
        <v>200049</v>
      </c>
      <c r="D1815" s="10" t="s">
        <v>736</v>
      </c>
      <c r="H1815" s="43"/>
    </row>
    <row r="1816" spans="1:8">
      <c r="B1816" s="10">
        <v>1015</v>
      </c>
      <c r="C1816" s="43">
        <v>200054</v>
      </c>
      <c r="D1816" s="10" t="s">
        <v>736</v>
      </c>
      <c r="H1816" s="43"/>
    </row>
    <row r="1817" spans="1:8">
      <c r="B1817" s="10">
        <v>1015</v>
      </c>
      <c r="C1817" s="43">
        <v>200060</v>
      </c>
      <c r="D1817" s="10" t="s">
        <v>736</v>
      </c>
      <c r="H1817" s="43"/>
    </row>
    <row r="1818" spans="1:8" ht="13.5" customHeight="1" thickBot="1">
      <c r="B1818" s="10">
        <v>1015</v>
      </c>
      <c r="C1818" s="43">
        <v>200075</v>
      </c>
      <c r="D1818" s="10" t="s">
        <v>736</v>
      </c>
    </row>
    <row r="1819" spans="1:8" ht="13.5" customHeight="1" thickBot="1">
      <c r="A1819" s="307" t="s">
        <v>2038</v>
      </c>
      <c r="B1819" s="10">
        <v>1015</v>
      </c>
      <c r="C1819" s="43">
        <v>200078</v>
      </c>
      <c r="D1819" s="270" t="s">
        <v>1842</v>
      </c>
    </row>
    <row r="1820" spans="1:8" ht="13.5" customHeight="1" thickBot="1">
      <c r="A1820" s="307" t="s">
        <v>2036</v>
      </c>
      <c r="B1820" s="10">
        <v>1015</v>
      </c>
      <c r="C1820" s="10">
        <v>200090</v>
      </c>
      <c r="D1820" s="270" t="s">
        <v>1842</v>
      </c>
    </row>
    <row r="1821" spans="1:8" ht="13.5" customHeight="1" thickBot="1">
      <c r="A1821" s="307" t="s">
        <v>2034</v>
      </c>
      <c r="B1821" s="10">
        <v>1015</v>
      </c>
      <c r="C1821" s="10">
        <v>200085</v>
      </c>
      <c r="D1821" s="270" t="s">
        <v>1842</v>
      </c>
    </row>
    <row r="1822" spans="1:8" ht="13.5" customHeight="1" thickBot="1">
      <c r="A1822" s="307" t="s">
        <v>2032</v>
      </c>
      <c r="B1822" s="10">
        <v>1015</v>
      </c>
      <c r="C1822" s="43">
        <v>200092</v>
      </c>
      <c r="D1822" s="270" t="s">
        <v>1842</v>
      </c>
    </row>
    <row r="1823" spans="1:8" ht="13.5" customHeight="1">
      <c r="A1823" s="81" t="s">
        <v>2042</v>
      </c>
      <c r="B1823" s="10">
        <v>1015</v>
      </c>
      <c r="C1823" s="43">
        <v>200096</v>
      </c>
      <c r="D1823" s="270" t="s">
        <v>1842</v>
      </c>
    </row>
    <row r="1824" spans="1:8" ht="13.5" customHeight="1">
      <c r="A1824" s="315" t="s">
        <v>2094</v>
      </c>
      <c r="B1824" s="10">
        <v>1015</v>
      </c>
      <c r="C1824" s="315">
        <v>200097</v>
      </c>
      <c r="D1824" s="315" t="s">
        <v>736</v>
      </c>
    </row>
    <row r="1825" spans="2:12">
      <c r="B1825" s="301">
        <v>1015</v>
      </c>
      <c r="C1825" s="302">
        <v>30580015</v>
      </c>
      <c r="D1825" s="303" t="s">
        <v>737</v>
      </c>
      <c r="E1825" s="303">
        <v>250121</v>
      </c>
    </row>
    <row r="1826" spans="2:12">
      <c r="B1826" s="301">
        <v>1015</v>
      </c>
      <c r="C1826" s="302">
        <v>30570009</v>
      </c>
      <c r="D1826" s="303" t="s">
        <v>737</v>
      </c>
      <c r="E1826" s="303">
        <v>250121</v>
      </c>
    </row>
    <row r="1827" spans="2:12">
      <c r="B1827" s="301">
        <v>1015</v>
      </c>
      <c r="C1827" s="302">
        <v>30560007</v>
      </c>
      <c r="D1827" s="303" t="s">
        <v>737</v>
      </c>
      <c r="E1827" s="303">
        <v>250121</v>
      </c>
    </row>
    <row r="1828" spans="2:12">
      <c r="B1828" s="301">
        <v>1015</v>
      </c>
      <c r="C1828" s="302">
        <v>30505005</v>
      </c>
      <c r="D1828" s="303" t="s">
        <v>737</v>
      </c>
      <c r="E1828" s="303">
        <v>250121</v>
      </c>
    </row>
    <row r="1829" spans="2:12">
      <c r="B1829" s="301">
        <v>1015</v>
      </c>
      <c r="C1829" s="302">
        <v>30550022</v>
      </c>
      <c r="D1829" s="303" t="s">
        <v>737</v>
      </c>
      <c r="E1829" s="303">
        <v>250121</v>
      </c>
    </row>
    <row r="1830" spans="2:12">
      <c r="B1830" s="283">
        <v>1015</v>
      </c>
      <c r="C1830" s="286">
        <v>305007</v>
      </c>
      <c r="D1830" s="10" t="s">
        <v>737</v>
      </c>
      <c r="I1830" s="286">
        <v>305007</v>
      </c>
      <c r="J1830" s="286" t="s">
        <v>1213</v>
      </c>
      <c r="K1830" s="286">
        <v>1</v>
      </c>
      <c r="L1830" s="287" t="s">
        <v>1828</v>
      </c>
    </row>
    <row r="1831" spans="2:12">
      <c r="B1831" s="283">
        <v>1015</v>
      </c>
      <c r="C1831" s="286">
        <v>305008</v>
      </c>
      <c r="D1831" s="10" t="s">
        <v>737</v>
      </c>
      <c r="I1831" s="286">
        <v>305008</v>
      </c>
      <c r="J1831" s="286" t="s">
        <v>1217</v>
      </c>
      <c r="K1831" s="286">
        <v>1</v>
      </c>
      <c r="L1831" s="287" t="s">
        <v>1828</v>
      </c>
    </row>
    <row r="1832" spans="2:12">
      <c r="B1832" s="283">
        <v>1015</v>
      </c>
      <c r="C1832" s="286">
        <v>305009</v>
      </c>
      <c r="D1832" s="10" t="s">
        <v>737</v>
      </c>
      <c r="I1832" s="286">
        <v>305009</v>
      </c>
      <c r="J1832" s="286" t="s">
        <v>1220</v>
      </c>
      <c r="K1832" s="286">
        <v>1</v>
      </c>
      <c r="L1832" s="287" t="s">
        <v>1828</v>
      </c>
    </row>
    <row r="1833" spans="2:12">
      <c r="B1833" s="283">
        <v>1015</v>
      </c>
      <c r="C1833" s="286">
        <v>305023</v>
      </c>
      <c r="D1833" s="10" t="s">
        <v>737</v>
      </c>
      <c r="I1833" s="286">
        <v>305023</v>
      </c>
      <c r="J1833" s="286" t="s">
        <v>1277</v>
      </c>
      <c r="K1833" s="286">
        <v>1</v>
      </c>
      <c r="L1833" s="287" t="s">
        <v>1828</v>
      </c>
    </row>
    <row r="1834" spans="2:12">
      <c r="B1834" s="283">
        <v>1015</v>
      </c>
      <c r="C1834" s="286">
        <v>305034</v>
      </c>
      <c r="D1834" s="10" t="s">
        <v>737</v>
      </c>
      <c r="I1834" s="286">
        <v>305034</v>
      </c>
      <c r="J1834" s="286" t="s">
        <v>222</v>
      </c>
      <c r="K1834" s="286">
        <v>1</v>
      </c>
      <c r="L1834" s="287" t="s">
        <v>1828</v>
      </c>
    </row>
    <row r="1835" spans="2:12">
      <c r="B1835" s="283">
        <v>1015</v>
      </c>
      <c r="C1835" s="286">
        <v>305035</v>
      </c>
      <c r="D1835" s="10" t="s">
        <v>737</v>
      </c>
      <c r="I1835" s="286">
        <v>305035</v>
      </c>
      <c r="J1835" s="286" t="s">
        <v>227</v>
      </c>
      <c r="K1835" s="286">
        <v>1</v>
      </c>
      <c r="L1835" s="287" t="s">
        <v>1828</v>
      </c>
    </row>
    <row r="1836" spans="2:12">
      <c r="B1836" s="283">
        <v>1015</v>
      </c>
      <c r="C1836" s="286">
        <v>305036</v>
      </c>
      <c r="D1836" s="10" t="s">
        <v>737</v>
      </c>
      <c r="I1836" s="286">
        <v>305036</v>
      </c>
      <c r="J1836" s="286" t="s">
        <v>232</v>
      </c>
      <c r="K1836" s="286">
        <v>1</v>
      </c>
      <c r="L1836" s="287" t="s">
        <v>1828</v>
      </c>
    </row>
    <row r="1837" spans="2:12">
      <c r="B1837" s="283">
        <v>1015</v>
      </c>
      <c r="C1837" s="286">
        <v>305039</v>
      </c>
      <c r="D1837" s="10" t="s">
        <v>737</v>
      </c>
      <c r="I1837" s="286">
        <v>305039</v>
      </c>
      <c r="J1837" s="286" t="s">
        <v>1829</v>
      </c>
      <c r="K1837" s="286">
        <v>1</v>
      </c>
      <c r="L1837" s="287" t="s">
        <v>1828</v>
      </c>
    </row>
    <row r="1838" spans="2:12">
      <c r="B1838" s="283">
        <v>1015</v>
      </c>
      <c r="C1838" s="286">
        <v>305040</v>
      </c>
      <c r="D1838" s="10" t="s">
        <v>737</v>
      </c>
      <c r="I1838" s="286">
        <v>305040</v>
      </c>
      <c r="J1838" s="286" t="s">
        <v>277</v>
      </c>
      <c r="K1838" s="286">
        <v>1</v>
      </c>
      <c r="L1838" s="287" t="s">
        <v>1828</v>
      </c>
    </row>
    <row r="1839" spans="2:12">
      <c r="B1839" s="283">
        <v>1015</v>
      </c>
      <c r="C1839" s="286">
        <v>305200</v>
      </c>
      <c r="D1839" s="10" t="s">
        <v>737</v>
      </c>
      <c r="I1839" s="286">
        <v>305200</v>
      </c>
      <c r="J1839" s="286" t="s">
        <v>313</v>
      </c>
      <c r="K1839" s="286">
        <v>1</v>
      </c>
      <c r="L1839" s="287" t="s">
        <v>1828</v>
      </c>
    </row>
    <row r="1840" spans="2:12">
      <c r="B1840" s="283">
        <v>1015</v>
      </c>
      <c r="C1840" s="288">
        <v>305224</v>
      </c>
      <c r="D1840" s="10" t="s">
        <v>737</v>
      </c>
      <c r="I1840" s="288">
        <v>305224</v>
      </c>
      <c r="J1840" s="10" t="s">
        <v>1890</v>
      </c>
      <c r="K1840" s="286">
        <v>1</v>
      </c>
      <c r="L1840" s="287" t="s">
        <v>1828</v>
      </c>
    </row>
    <row r="1841" spans="2:12">
      <c r="B1841" s="283">
        <v>1015</v>
      </c>
      <c r="C1841" s="288">
        <v>305225</v>
      </c>
      <c r="D1841" s="10" t="s">
        <v>737</v>
      </c>
      <c r="I1841" s="288">
        <v>305225</v>
      </c>
      <c r="J1841" s="10" t="s">
        <v>1888</v>
      </c>
      <c r="K1841" s="286">
        <v>1</v>
      </c>
      <c r="L1841" s="287" t="s">
        <v>1828</v>
      </c>
    </row>
    <row r="1842" spans="2:12">
      <c r="B1842" s="283">
        <v>1015</v>
      </c>
      <c r="C1842" s="288">
        <v>305226</v>
      </c>
      <c r="D1842" s="10" t="s">
        <v>737</v>
      </c>
      <c r="I1842" s="288">
        <v>305226</v>
      </c>
      <c r="J1842" s="10" t="s">
        <v>1891</v>
      </c>
      <c r="K1842" s="286">
        <v>1</v>
      </c>
      <c r="L1842" s="287" t="s">
        <v>1828</v>
      </c>
    </row>
    <row r="1843" spans="2:12">
      <c r="B1843" s="283">
        <v>1015</v>
      </c>
      <c r="C1843" s="289">
        <v>305010</v>
      </c>
      <c r="D1843" s="10" t="s">
        <v>737</v>
      </c>
      <c r="I1843" s="289">
        <v>305010</v>
      </c>
      <c r="J1843" s="289" t="s">
        <v>1223</v>
      </c>
      <c r="K1843" s="289">
        <v>2</v>
      </c>
      <c r="L1843" s="290" t="s">
        <v>1830</v>
      </c>
    </row>
    <row r="1844" spans="2:12">
      <c r="B1844" s="283">
        <v>1015</v>
      </c>
      <c r="C1844" s="289">
        <v>305021</v>
      </c>
      <c r="D1844" s="10" t="s">
        <v>737</v>
      </c>
      <c r="I1844" s="289">
        <v>305021</v>
      </c>
      <c r="J1844" s="289" t="s">
        <v>1270</v>
      </c>
      <c r="K1844" s="289">
        <v>2</v>
      </c>
      <c r="L1844" s="290" t="s">
        <v>1830</v>
      </c>
    </row>
    <row r="1845" spans="2:12">
      <c r="B1845" s="283">
        <v>1015</v>
      </c>
      <c r="C1845" s="289">
        <v>305022</v>
      </c>
      <c r="D1845" s="10" t="s">
        <v>737</v>
      </c>
      <c r="I1845" s="289">
        <v>305022</v>
      </c>
      <c r="J1845" s="289" t="s">
        <v>1273</v>
      </c>
      <c r="K1845" s="289">
        <v>2</v>
      </c>
      <c r="L1845" s="290" t="s">
        <v>1830</v>
      </c>
    </row>
    <row r="1846" spans="2:12">
      <c r="B1846" s="283">
        <v>1015</v>
      </c>
      <c r="C1846" s="289">
        <v>305032</v>
      </c>
      <c r="D1846" s="10" t="s">
        <v>737</v>
      </c>
      <c r="I1846" s="289">
        <v>305032</v>
      </c>
      <c r="J1846" s="289" t="s">
        <v>213</v>
      </c>
      <c r="K1846" s="289">
        <v>2</v>
      </c>
      <c r="L1846" s="290" t="s">
        <v>1830</v>
      </c>
    </row>
    <row r="1847" spans="2:12">
      <c r="B1847" s="283">
        <v>1015</v>
      </c>
      <c r="C1847" s="289">
        <v>305033</v>
      </c>
      <c r="D1847" s="10" t="s">
        <v>737</v>
      </c>
      <c r="I1847" s="289">
        <v>305033</v>
      </c>
      <c r="J1847" s="289" t="s">
        <v>217</v>
      </c>
      <c r="K1847" s="289">
        <v>2</v>
      </c>
      <c r="L1847" s="290" t="s">
        <v>1830</v>
      </c>
    </row>
    <row r="1848" spans="2:12">
      <c r="B1848" s="283">
        <v>1015</v>
      </c>
      <c r="C1848" s="289">
        <v>305037</v>
      </c>
      <c r="D1848" s="10" t="s">
        <v>737</v>
      </c>
      <c r="I1848" s="289">
        <v>305037</v>
      </c>
      <c r="J1848" s="289" t="s">
        <v>264</v>
      </c>
      <c r="K1848" s="289">
        <v>2</v>
      </c>
      <c r="L1848" s="290" t="s">
        <v>1830</v>
      </c>
    </row>
    <row r="1849" spans="2:12">
      <c r="B1849" s="283">
        <v>1015</v>
      </c>
      <c r="C1849" s="289">
        <v>305038</v>
      </c>
      <c r="D1849" s="10" t="s">
        <v>737</v>
      </c>
      <c r="I1849" s="289">
        <v>305038</v>
      </c>
      <c r="J1849" s="289" t="s">
        <v>268</v>
      </c>
      <c r="K1849" s="289">
        <v>2</v>
      </c>
      <c r="L1849" s="290" t="s">
        <v>1830</v>
      </c>
    </row>
    <row r="1850" spans="2:12">
      <c r="B1850" s="283">
        <v>1015</v>
      </c>
      <c r="C1850" s="289">
        <v>305300</v>
      </c>
      <c r="D1850" s="10" t="s">
        <v>737</v>
      </c>
      <c r="I1850" s="289">
        <v>305300</v>
      </c>
      <c r="J1850" s="289" t="s">
        <v>318</v>
      </c>
      <c r="K1850" s="289">
        <v>2</v>
      </c>
      <c r="L1850" s="290" t="s">
        <v>1830</v>
      </c>
    </row>
    <row r="1851" spans="2:12">
      <c r="B1851" s="283">
        <v>1015</v>
      </c>
      <c r="C1851" s="288">
        <v>305324</v>
      </c>
      <c r="D1851" s="10" t="s">
        <v>737</v>
      </c>
      <c r="I1851" s="288">
        <v>305324</v>
      </c>
      <c r="J1851" s="10" t="s">
        <v>1887</v>
      </c>
      <c r="K1851" s="289">
        <v>2</v>
      </c>
      <c r="L1851" s="290" t="s">
        <v>1830</v>
      </c>
    </row>
    <row r="1852" spans="2:12">
      <c r="B1852" s="283">
        <v>1015</v>
      </c>
      <c r="C1852" s="288">
        <v>305325</v>
      </c>
      <c r="D1852" s="10" t="s">
        <v>737</v>
      </c>
      <c r="I1852" s="288">
        <v>305325</v>
      </c>
      <c r="J1852" s="10" t="s">
        <v>1888</v>
      </c>
      <c r="K1852" s="289">
        <v>2</v>
      </c>
      <c r="L1852" s="290" t="s">
        <v>1830</v>
      </c>
    </row>
    <row r="1853" spans="2:12">
      <c r="B1853" s="283">
        <v>1015</v>
      </c>
      <c r="C1853" s="288">
        <v>305326</v>
      </c>
      <c r="D1853" s="10" t="s">
        <v>737</v>
      </c>
      <c r="I1853" s="288">
        <v>305326</v>
      </c>
      <c r="J1853" s="10" t="s">
        <v>1889</v>
      </c>
      <c r="K1853" s="289">
        <v>2</v>
      </c>
      <c r="L1853" s="290" t="s">
        <v>1830</v>
      </c>
    </row>
    <row r="1854" spans="2:12">
      <c r="B1854" s="283">
        <v>1015</v>
      </c>
      <c r="C1854" s="291">
        <v>305001</v>
      </c>
      <c r="D1854" s="10" t="s">
        <v>737</v>
      </c>
      <c r="I1854" s="291">
        <v>305001</v>
      </c>
      <c r="J1854" s="291" t="s">
        <v>176</v>
      </c>
      <c r="K1854" s="291">
        <v>0</v>
      </c>
      <c r="L1854" s="292" t="s">
        <v>1827</v>
      </c>
    </row>
    <row r="1855" spans="2:12">
      <c r="B1855" s="283">
        <v>1015</v>
      </c>
      <c r="C1855" s="291">
        <v>305002</v>
      </c>
      <c r="D1855" s="10" t="s">
        <v>737</v>
      </c>
      <c r="I1855" s="291">
        <v>305002</v>
      </c>
      <c r="J1855" s="291" t="s">
        <v>181</v>
      </c>
      <c r="K1855" s="291">
        <v>0</v>
      </c>
      <c r="L1855" s="292" t="s">
        <v>1827</v>
      </c>
    </row>
    <row r="1856" spans="2:12">
      <c r="B1856" s="283">
        <v>1015</v>
      </c>
      <c r="C1856" s="291">
        <v>305003</v>
      </c>
      <c r="D1856" s="10" t="s">
        <v>737</v>
      </c>
      <c r="I1856" s="291">
        <v>305003</v>
      </c>
      <c r="J1856" s="291" t="s">
        <v>186</v>
      </c>
      <c r="K1856" s="291">
        <v>0</v>
      </c>
      <c r="L1856" s="292" t="s">
        <v>1827</v>
      </c>
    </row>
    <row r="1857" spans="2:22">
      <c r="B1857" s="283">
        <v>1015</v>
      </c>
      <c r="C1857" s="291">
        <v>305018</v>
      </c>
      <c r="D1857" s="10" t="s">
        <v>737</v>
      </c>
      <c r="I1857" s="291">
        <v>305018</v>
      </c>
      <c r="J1857" s="291" t="s">
        <v>191</v>
      </c>
      <c r="K1857" s="291">
        <v>0</v>
      </c>
      <c r="L1857" s="292" t="s">
        <v>1827</v>
      </c>
    </row>
    <row r="1858" spans="2:22">
      <c r="B1858" s="283">
        <v>1015</v>
      </c>
      <c r="C1858" s="291">
        <v>305019</v>
      </c>
      <c r="D1858" s="10" t="s">
        <v>737</v>
      </c>
      <c r="I1858" s="291">
        <v>305019</v>
      </c>
      <c r="J1858" s="291" t="s">
        <v>196</v>
      </c>
      <c r="K1858" s="291">
        <v>0</v>
      </c>
      <c r="L1858" s="292" t="s">
        <v>1827</v>
      </c>
    </row>
    <row r="1859" spans="2:22">
      <c r="B1859" s="283">
        <v>1015</v>
      </c>
      <c r="C1859" s="291">
        <v>305041</v>
      </c>
      <c r="D1859" s="10" t="s">
        <v>737</v>
      </c>
      <c r="I1859" s="291">
        <v>305041</v>
      </c>
      <c r="J1859" s="291" t="s">
        <v>282</v>
      </c>
      <c r="K1859" s="291">
        <v>0</v>
      </c>
      <c r="L1859" s="292" t="s">
        <v>1827</v>
      </c>
    </row>
    <row r="1860" spans="2:22">
      <c r="B1860" s="283">
        <v>1015</v>
      </c>
      <c r="C1860" s="291">
        <v>305042</v>
      </c>
      <c r="D1860" s="10" t="s">
        <v>737</v>
      </c>
      <c r="I1860" s="291">
        <v>305042</v>
      </c>
      <c r="J1860" s="291" t="s">
        <v>287</v>
      </c>
      <c r="K1860" s="291">
        <v>0</v>
      </c>
      <c r="L1860" s="292" t="s">
        <v>1827</v>
      </c>
    </row>
    <row r="1861" spans="2:22">
      <c r="B1861" s="283">
        <v>1015</v>
      </c>
      <c r="C1861" s="291">
        <v>305600</v>
      </c>
      <c r="D1861" s="10" t="s">
        <v>737</v>
      </c>
      <c r="I1861" s="291">
        <v>305600</v>
      </c>
      <c r="J1861" s="291" t="s">
        <v>323</v>
      </c>
      <c r="K1861" s="291">
        <v>0</v>
      </c>
      <c r="L1861" s="292" t="s">
        <v>1827</v>
      </c>
    </row>
    <row r="1862" spans="2:22">
      <c r="B1862" s="283">
        <v>1015</v>
      </c>
      <c r="C1862" s="288">
        <v>305623</v>
      </c>
      <c r="D1862" s="10" t="s">
        <v>737</v>
      </c>
      <c r="I1862" s="288">
        <v>305623</v>
      </c>
      <c r="J1862" s="10" t="s">
        <v>1864</v>
      </c>
      <c r="K1862" s="291">
        <v>0</v>
      </c>
      <c r="L1862" s="292" t="s">
        <v>1827</v>
      </c>
    </row>
    <row r="1863" spans="2:22">
      <c r="B1863" s="283">
        <v>1015</v>
      </c>
      <c r="C1863" s="288">
        <v>305624</v>
      </c>
      <c r="D1863" s="10" t="s">
        <v>737</v>
      </c>
      <c r="I1863" s="288">
        <v>305624</v>
      </c>
      <c r="J1863" s="10" t="s">
        <v>1865</v>
      </c>
      <c r="K1863" s="291">
        <v>0</v>
      </c>
      <c r="L1863" s="292" t="s">
        <v>1827</v>
      </c>
    </row>
    <row r="1864" spans="2:22">
      <c r="B1864" s="283">
        <v>1015</v>
      </c>
      <c r="C1864" s="288">
        <v>305625</v>
      </c>
      <c r="D1864" s="10" t="s">
        <v>737</v>
      </c>
      <c r="I1864" s="288">
        <v>305625</v>
      </c>
      <c r="J1864" s="10" t="s">
        <v>1866</v>
      </c>
      <c r="K1864" s="291">
        <v>0</v>
      </c>
      <c r="L1864" s="292" t="s">
        <v>1827</v>
      </c>
    </row>
    <row r="1865" spans="2:22">
      <c r="B1865" s="283">
        <v>1015</v>
      </c>
      <c r="C1865" s="288">
        <v>305626</v>
      </c>
      <c r="D1865" s="10" t="s">
        <v>737</v>
      </c>
      <c r="I1865" s="288">
        <v>305626</v>
      </c>
      <c r="J1865" s="10" t="s">
        <v>1867</v>
      </c>
      <c r="K1865" s="291">
        <v>0</v>
      </c>
      <c r="L1865" s="292" t="s">
        <v>1827</v>
      </c>
    </row>
    <row r="1866" spans="2:22">
      <c r="B1866" s="283">
        <v>1015</v>
      </c>
      <c r="C1866" s="293">
        <v>305012</v>
      </c>
      <c r="D1866" s="10" t="s">
        <v>737</v>
      </c>
      <c r="I1866" s="293">
        <v>305012</v>
      </c>
      <c r="J1866" s="293" t="s">
        <v>1230</v>
      </c>
      <c r="K1866" s="293">
        <v>6</v>
      </c>
      <c r="L1866" s="294" t="s">
        <v>1833</v>
      </c>
    </row>
    <row r="1867" spans="2:22">
      <c r="B1867" s="283">
        <v>1015</v>
      </c>
      <c r="C1867" s="293">
        <v>305013</v>
      </c>
      <c r="D1867" s="10" t="s">
        <v>737</v>
      </c>
      <c r="I1867" s="293">
        <v>305013</v>
      </c>
      <c r="J1867" s="293" t="s">
        <v>1237</v>
      </c>
      <c r="K1867" s="293">
        <v>6</v>
      </c>
      <c r="L1867" s="294" t="s">
        <v>1833</v>
      </c>
    </row>
    <row r="1868" spans="2:22">
      <c r="B1868" s="283">
        <v>1015</v>
      </c>
      <c r="C1868" s="293">
        <v>305014</v>
      </c>
      <c r="D1868" s="10" t="s">
        <v>737</v>
      </c>
      <c r="I1868" s="293">
        <v>305014</v>
      </c>
      <c r="J1868" s="293" t="s">
        <v>1241</v>
      </c>
      <c r="K1868" s="293">
        <v>6</v>
      </c>
      <c r="L1868" s="294" t="s">
        <v>1833</v>
      </c>
    </row>
    <row r="1869" spans="2:22" s="285" customFormat="1">
      <c r="B1869" s="283">
        <v>1015</v>
      </c>
      <c r="C1869" s="293">
        <v>305046</v>
      </c>
      <c r="D1869" s="285" t="s">
        <v>737</v>
      </c>
      <c r="G1869" s="10"/>
      <c r="H1869" s="10"/>
      <c r="I1869" s="293">
        <v>305046</v>
      </c>
      <c r="J1869" s="293" t="s">
        <v>309</v>
      </c>
      <c r="K1869" s="293">
        <v>6</v>
      </c>
      <c r="L1869" s="294" t="s">
        <v>1833</v>
      </c>
      <c r="M1869" s="10"/>
      <c r="R1869" s="10"/>
      <c r="S1869" s="10"/>
      <c r="T1869" s="10"/>
      <c r="U1869" s="10"/>
      <c r="V1869" s="10"/>
    </row>
    <row r="1870" spans="2:22">
      <c r="B1870" s="283">
        <v>1015</v>
      </c>
      <c r="C1870" s="288">
        <v>305815</v>
      </c>
      <c r="D1870" s="10" t="s">
        <v>737</v>
      </c>
      <c r="I1870" s="288">
        <v>305815</v>
      </c>
      <c r="J1870" s="10" t="s">
        <v>1868</v>
      </c>
      <c r="K1870" s="293">
        <v>6</v>
      </c>
      <c r="L1870" s="294" t="s">
        <v>1833</v>
      </c>
    </row>
    <row r="1871" spans="2:22">
      <c r="B1871" s="283">
        <v>1015</v>
      </c>
      <c r="C1871" s="288">
        <v>305816</v>
      </c>
      <c r="D1871" s="10" t="s">
        <v>737</v>
      </c>
      <c r="I1871" s="288">
        <v>305816</v>
      </c>
      <c r="J1871" s="10" t="s">
        <v>1869</v>
      </c>
      <c r="K1871" s="293">
        <v>6</v>
      </c>
      <c r="L1871" s="294" t="s">
        <v>1833</v>
      </c>
    </row>
    <row r="1872" spans="2:22">
      <c r="B1872" s="283">
        <v>1015</v>
      </c>
      <c r="C1872" s="288">
        <v>305817</v>
      </c>
      <c r="D1872" s="10" t="s">
        <v>737</v>
      </c>
      <c r="I1872" s="288">
        <v>305817</v>
      </c>
      <c r="J1872" s="10" t="s">
        <v>1870</v>
      </c>
      <c r="K1872" s="293">
        <v>6</v>
      </c>
      <c r="L1872" s="294" t="s">
        <v>1833</v>
      </c>
    </row>
    <row r="1873" spans="1:22" s="285" customFormat="1">
      <c r="B1873" s="283">
        <v>1015</v>
      </c>
      <c r="C1873" s="288">
        <v>305818</v>
      </c>
      <c r="D1873" s="285" t="s">
        <v>737</v>
      </c>
      <c r="G1873" s="10"/>
      <c r="H1873" s="10"/>
      <c r="I1873" s="288">
        <v>305818</v>
      </c>
      <c r="J1873" s="10" t="s">
        <v>1871</v>
      </c>
      <c r="K1873" s="293">
        <v>6</v>
      </c>
      <c r="L1873" s="294" t="s">
        <v>1833</v>
      </c>
      <c r="M1873" s="10"/>
      <c r="R1873" s="10"/>
      <c r="S1873" s="10"/>
      <c r="T1873" s="10"/>
      <c r="U1873" s="10"/>
      <c r="V1873" s="10"/>
    </row>
    <row r="1874" spans="1:22">
      <c r="B1874" s="283">
        <v>1015</v>
      </c>
      <c r="C1874" s="288">
        <v>305819</v>
      </c>
      <c r="D1874" s="10" t="s">
        <v>737</v>
      </c>
      <c r="I1874" s="288">
        <v>305819</v>
      </c>
      <c r="J1874" s="10" t="s">
        <v>1872</v>
      </c>
      <c r="K1874" s="293">
        <v>6</v>
      </c>
      <c r="L1874" s="294" t="s">
        <v>1833</v>
      </c>
    </row>
    <row r="1875" spans="1:22" s="285" customFormat="1">
      <c r="B1875" s="283">
        <v>1015</v>
      </c>
      <c r="C1875" s="288">
        <v>305820</v>
      </c>
      <c r="D1875" s="285" t="s">
        <v>737</v>
      </c>
      <c r="G1875" s="10"/>
      <c r="H1875" s="10"/>
      <c r="I1875" s="288">
        <v>305820</v>
      </c>
      <c r="J1875" s="10" t="s">
        <v>1873</v>
      </c>
      <c r="K1875" s="293">
        <v>6</v>
      </c>
      <c r="L1875" s="294" t="s">
        <v>1833</v>
      </c>
      <c r="M1875" s="10"/>
      <c r="R1875" s="10"/>
      <c r="S1875" s="10"/>
      <c r="T1875" s="10"/>
      <c r="U1875" s="10"/>
      <c r="V1875" s="10"/>
    </row>
    <row r="1876" spans="1:22">
      <c r="B1876" s="283">
        <v>1015</v>
      </c>
      <c r="C1876" s="295">
        <v>305015</v>
      </c>
      <c r="D1876" s="10" t="s">
        <v>737</v>
      </c>
      <c r="I1876" s="295">
        <v>305015</v>
      </c>
      <c r="J1876" s="295" t="s">
        <v>1245</v>
      </c>
      <c r="K1876" s="295">
        <v>7</v>
      </c>
      <c r="L1876" s="296" t="s">
        <v>538</v>
      </c>
    </row>
    <row r="1877" spans="1:22">
      <c r="B1877" s="283">
        <v>1015</v>
      </c>
      <c r="C1877" s="295">
        <v>305016</v>
      </c>
      <c r="D1877" s="10" t="s">
        <v>737</v>
      </c>
      <c r="I1877" s="295">
        <v>305016</v>
      </c>
      <c r="J1877" s="295" t="s">
        <v>1251</v>
      </c>
      <c r="K1877" s="295">
        <v>7</v>
      </c>
      <c r="L1877" s="296" t="s">
        <v>538</v>
      </c>
    </row>
    <row r="1878" spans="1:22">
      <c r="B1878" s="283">
        <v>1015</v>
      </c>
      <c r="C1878" s="295">
        <v>305017</v>
      </c>
      <c r="D1878" s="10" t="s">
        <v>737</v>
      </c>
      <c r="I1878" s="295">
        <v>305017</v>
      </c>
      <c r="J1878" s="295" t="s">
        <v>1255</v>
      </c>
      <c r="K1878" s="295">
        <v>7</v>
      </c>
      <c r="L1878" s="296" t="s">
        <v>538</v>
      </c>
    </row>
    <row r="1879" spans="1:22">
      <c r="B1879" s="283">
        <v>1015</v>
      </c>
      <c r="C1879" s="295">
        <v>305700</v>
      </c>
      <c r="D1879" s="10" t="s">
        <v>737</v>
      </c>
      <c r="I1879" s="295">
        <v>305700</v>
      </c>
      <c r="J1879" s="295" t="s">
        <v>328</v>
      </c>
      <c r="K1879" s="295">
        <v>7</v>
      </c>
      <c r="L1879" s="296" t="s">
        <v>538</v>
      </c>
    </row>
    <row r="1880" spans="1:22">
      <c r="B1880" s="283">
        <v>1015</v>
      </c>
      <c r="C1880" s="288">
        <v>305719</v>
      </c>
      <c r="D1880" s="10" t="s">
        <v>737</v>
      </c>
      <c r="I1880" s="288">
        <v>305719</v>
      </c>
      <c r="J1880" s="10" t="s">
        <v>1874</v>
      </c>
      <c r="K1880" s="295">
        <v>7</v>
      </c>
      <c r="L1880" s="296" t="s">
        <v>538</v>
      </c>
    </row>
    <row r="1881" spans="1:22">
      <c r="B1881" s="283">
        <v>1015</v>
      </c>
      <c r="C1881" s="288">
        <v>305720</v>
      </c>
      <c r="D1881" s="10" t="s">
        <v>737</v>
      </c>
      <c r="I1881" s="288">
        <v>305720</v>
      </c>
      <c r="J1881" s="10" t="s">
        <v>1875</v>
      </c>
      <c r="K1881" s="295">
        <v>7</v>
      </c>
      <c r="L1881" s="296" t="s">
        <v>538</v>
      </c>
    </row>
    <row r="1882" spans="1:22">
      <c r="B1882" s="283">
        <v>1015</v>
      </c>
      <c r="C1882" s="288">
        <v>305721</v>
      </c>
      <c r="D1882" s="10" t="s">
        <v>737</v>
      </c>
      <c r="I1882" s="288">
        <v>305721</v>
      </c>
      <c r="J1882" s="10" t="s">
        <v>1876</v>
      </c>
      <c r="K1882" s="295">
        <v>7</v>
      </c>
      <c r="L1882" s="296" t="s">
        <v>538</v>
      </c>
    </row>
    <row r="1883" spans="1:22">
      <c r="B1883" s="283">
        <v>1015</v>
      </c>
      <c r="C1883" s="288">
        <v>305722</v>
      </c>
      <c r="D1883" s="10" t="s">
        <v>737</v>
      </c>
      <c r="I1883" s="288">
        <v>305722</v>
      </c>
      <c r="J1883" s="10" t="s">
        <v>1877</v>
      </c>
      <c r="K1883" s="295">
        <v>7</v>
      </c>
      <c r="L1883" s="296" t="s">
        <v>538</v>
      </c>
    </row>
    <row r="1884" spans="1:22">
      <c r="B1884" s="283">
        <v>1015</v>
      </c>
      <c r="C1884" s="288">
        <v>305723</v>
      </c>
      <c r="D1884" s="10" t="s">
        <v>737</v>
      </c>
      <c r="I1884" s="288">
        <v>305723</v>
      </c>
      <c r="J1884" s="10" t="s">
        <v>1878</v>
      </c>
      <c r="K1884" s="295">
        <v>7</v>
      </c>
      <c r="L1884" s="296" t="s">
        <v>538</v>
      </c>
    </row>
    <row r="1885" spans="1:22">
      <c r="B1885" s="283">
        <v>1015</v>
      </c>
      <c r="C1885" s="288">
        <v>305724</v>
      </c>
      <c r="D1885" s="10" t="s">
        <v>737</v>
      </c>
      <c r="I1885" s="288">
        <v>305724</v>
      </c>
      <c r="J1885" s="10" t="s">
        <v>1879</v>
      </c>
      <c r="K1885" s="295">
        <v>7</v>
      </c>
      <c r="L1885" s="296" t="s">
        <v>538</v>
      </c>
    </row>
    <row r="1886" spans="1:22">
      <c r="B1886" s="283">
        <v>1015</v>
      </c>
      <c r="C1886" s="297">
        <v>305011</v>
      </c>
      <c r="D1886" s="10" t="s">
        <v>737</v>
      </c>
      <c r="I1886" s="297">
        <v>305011</v>
      </c>
      <c r="J1886" s="297" t="s">
        <v>161</v>
      </c>
      <c r="K1886" s="297">
        <v>3</v>
      </c>
      <c r="L1886" s="298" t="s">
        <v>1831</v>
      </c>
    </row>
    <row r="1887" spans="1:22">
      <c r="B1887" s="283">
        <v>1015</v>
      </c>
      <c r="C1887" s="299">
        <v>305025</v>
      </c>
      <c r="D1887" s="10" t="s">
        <v>737</v>
      </c>
      <c r="I1887" s="299">
        <v>305025</v>
      </c>
      <c r="J1887" s="299" t="s">
        <v>200</v>
      </c>
      <c r="K1887" s="299">
        <v>4</v>
      </c>
      <c r="L1887" s="300" t="s">
        <v>1832</v>
      </c>
    </row>
    <row r="1888" spans="1:22" s="285" customFormat="1">
      <c r="A1888" s="10"/>
      <c r="B1888" s="283">
        <v>1015</v>
      </c>
      <c r="C1888" s="299">
        <v>305026</v>
      </c>
      <c r="D1888" s="10" t="s">
        <v>737</v>
      </c>
      <c r="E1888" s="10"/>
      <c r="F1888" s="10"/>
      <c r="G1888" s="10"/>
      <c r="H1888" s="10"/>
      <c r="I1888" s="299">
        <v>305026</v>
      </c>
      <c r="J1888" s="299" t="s">
        <v>204</v>
      </c>
      <c r="K1888" s="299">
        <v>4</v>
      </c>
      <c r="L1888" s="300" t="s">
        <v>1832</v>
      </c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</row>
    <row r="1889" spans="1:22" s="285" customFormat="1">
      <c r="A1889" s="10"/>
      <c r="B1889" s="283">
        <v>1015</v>
      </c>
      <c r="C1889" s="299">
        <v>305050</v>
      </c>
      <c r="D1889" s="10" t="s">
        <v>737</v>
      </c>
      <c r="E1889" s="10"/>
      <c r="F1889" s="10"/>
      <c r="G1889" s="10"/>
      <c r="H1889" s="10"/>
      <c r="I1889" s="299">
        <v>305050</v>
      </c>
      <c r="J1889" s="299" t="s">
        <v>300</v>
      </c>
      <c r="K1889" s="299">
        <v>4</v>
      </c>
      <c r="L1889" s="300" t="s">
        <v>1832</v>
      </c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</row>
    <row r="1890" spans="1:22" s="285" customFormat="1">
      <c r="A1890" s="10"/>
      <c r="B1890" s="283">
        <v>1015</v>
      </c>
      <c r="C1890" s="299">
        <v>305051</v>
      </c>
      <c r="D1890" s="10" t="s">
        <v>737</v>
      </c>
      <c r="E1890" s="10"/>
      <c r="F1890" s="10"/>
      <c r="G1890" s="10"/>
      <c r="H1890" s="10"/>
      <c r="I1890" s="299">
        <v>305051</v>
      </c>
      <c r="J1890" s="299" t="s">
        <v>340</v>
      </c>
      <c r="K1890" s="299">
        <v>4</v>
      </c>
      <c r="L1890" s="300" t="s">
        <v>1832</v>
      </c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</row>
    <row r="1891" spans="1:22">
      <c r="B1891" s="283">
        <v>1015</v>
      </c>
      <c r="C1891" s="288">
        <v>305055</v>
      </c>
      <c r="D1891" s="10" t="s">
        <v>737</v>
      </c>
      <c r="I1891" s="288">
        <v>305055</v>
      </c>
      <c r="J1891" s="10" t="s">
        <v>1880</v>
      </c>
      <c r="K1891" s="299">
        <v>4</v>
      </c>
      <c r="L1891" s="300" t="s">
        <v>1832</v>
      </c>
    </row>
    <row r="1892" spans="1:22" s="285" customFormat="1">
      <c r="A1892" s="10"/>
      <c r="B1892" s="283">
        <v>1015</v>
      </c>
      <c r="C1892" s="288">
        <v>305056</v>
      </c>
      <c r="D1892" s="10" t="s">
        <v>737</v>
      </c>
      <c r="E1892" s="10"/>
      <c r="F1892" s="10"/>
      <c r="G1892" s="10"/>
      <c r="H1892" s="10"/>
      <c r="I1892" s="288">
        <v>305056</v>
      </c>
      <c r="J1892" s="10" t="s">
        <v>1881</v>
      </c>
      <c r="K1892" s="299">
        <v>4</v>
      </c>
      <c r="L1892" s="300" t="s">
        <v>1832</v>
      </c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</row>
    <row r="1893" spans="1:22" s="285" customFormat="1">
      <c r="A1893" s="10"/>
      <c r="B1893" s="283">
        <v>1015</v>
      </c>
      <c r="C1893" s="288">
        <v>306104</v>
      </c>
      <c r="D1893" s="10" t="s">
        <v>737</v>
      </c>
      <c r="E1893" s="10"/>
      <c r="F1893" s="10"/>
      <c r="G1893" s="10"/>
      <c r="H1893" s="10"/>
      <c r="I1893" s="288">
        <v>306104</v>
      </c>
      <c r="J1893" s="10" t="s">
        <v>1882</v>
      </c>
      <c r="K1893" s="299">
        <v>4</v>
      </c>
      <c r="L1893" s="300" t="s">
        <v>1886</v>
      </c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</row>
    <row r="1894" spans="1:22" s="285" customFormat="1">
      <c r="A1894" s="10"/>
      <c r="B1894" s="283">
        <v>1015</v>
      </c>
      <c r="C1894" s="288">
        <v>306105</v>
      </c>
      <c r="D1894" s="10" t="s">
        <v>737</v>
      </c>
      <c r="E1894" s="10"/>
      <c r="F1894" s="10"/>
      <c r="G1894" s="10"/>
      <c r="H1894" s="10"/>
      <c r="I1894" s="288">
        <v>306105</v>
      </c>
      <c r="J1894" s="10" t="s">
        <v>1883</v>
      </c>
      <c r="K1894" s="299">
        <v>4</v>
      </c>
      <c r="L1894" s="300" t="s">
        <v>1886</v>
      </c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</row>
    <row r="1895" spans="1:22" s="285" customFormat="1">
      <c r="A1895" s="10"/>
      <c r="B1895" s="283">
        <v>1015</v>
      </c>
      <c r="C1895" s="288">
        <v>306106</v>
      </c>
      <c r="D1895" s="10" t="s">
        <v>737</v>
      </c>
      <c r="E1895" s="10"/>
      <c r="F1895" s="10"/>
      <c r="G1895" s="10"/>
      <c r="H1895" s="10"/>
      <c r="I1895" s="288">
        <v>306106</v>
      </c>
      <c r="J1895" s="10" t="s">
        <v>1884</v>
      </c>
      <c r="K1895" s="299">
        <v>4</v>
      </c>
      <c r="L1895" s="300" t="s">
        <v>1886</v>
      </c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</row>
    <row r="1896" spans="1:22" s="285" customFormat="1">
      <c r="A1896" s="10"/>
      <c r="B1896" s="283">
        <v>1015</v>
      </c>
      <c r="C1896" s="288">
        <v>306107</v>
      </c>
      <c r="D1896" s="10" t="s">
        <v>737</v>
      </c>
      <c r="E1896" s="10"/>
      <c r="F1896" s="10"/>
      <c r="G1896" s="10"/>
      <c r="H1896" s="10"/>
      <c r="I1896" s="288">
        <v>306107</v>
      </c>
      <c r="J1896" s="10" t="s">
        <v>1885</v>
      </c>
      <c r="K1896" s="299">
        <v>4</v>
      </c>
      <c r="L1896" s="300" t="s">
        <v>1886</v>
      </c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</row>
    <row r="1897" spans="1:22">
      <c r="B1897" s="306">
        <v>1015</v>
      </c>
      <c r="C1897" s="282">
        <v>303012</v>
      </c>
      <c r="D1897" s="301" t="s">
        <v>38</v>
      </c>
    </row>
    <row r="1898" spans="1:22">
      <c r="B1898" s="306">
        <v>1015</v>
      </c>
      <c r="C1898" s="282">
        <v>303013</v>
      </c>
      <c r="D1898" s="301" t="s">
        <v>38</v>
      </c>
    </row>
    <row r="1899" spans="1:22">
      <c r="B1899" s="306">
        <v>1015</v>
      </c>
      <c r="C1899" s="282">
        <v>303022</v>
      </c>
      <c r="D1899" s="301" t="s">
        <v>38</v>
      </c>
    </row>
    <row r="1900" spans="1:22">
      <c r="B1900" s="306">
        <v>1015</v>
      </c>
      <c r="C1900" s="282">
        <v>303023</v>
      </c>
      <c r="D1900" s="301" t="s">
        <v>38</v>
      </c>
    </row>
    <row r="1901" spans="1:22">
      <c r="B1901" s="306">
        <v>1015</v>
      </c>
      <c r="C1901" s="282">
        <v>303032</v>
      </c>
      <c r="D1901" s="301" t="s">
        <v>38</v>
      </c>
    </row>
    <row r="1902" spans="1:22">
      <c r="B1902" s="306">
        <v>1015</v>
      </c>
      <c r="C1902" s="282">
        <v>303033</v>
      </c>
      <c r="D1902" s="301" t="s">
        <v>38</v>
      </c>
    </row>
    <row r="1903" spans="1:22">
      <c r="B1903" s="306">
        <v>1015</v>
      </c>
      <c r="C1903" s="282">
        <v>303042</v>
      </c>
      <c r="D1903" s="301" t="s">
        <v>38</v>
      </c>
    </row>
    <row r="1904" spans="1:22">
      <c r="B1904" s="306">
        <v>1015</v>
      </c>
      <c r="C1904" s="282">
        <v>303043</v>
      </c>
      <c r="D1904" s="301" t="s">
        <v>38</v>
      </c>
    </row>
    <row r="1905" spans="1:7">
      <c r="B1905" s="306">
        <v>1015</v>
      </c>
      <c r="C1905" s="282">
        <v>303052</v>
      </c>
      <c r="D1905" s="301" t="s">
        <v>38</v>
      </c>
    </row>
    <row r="1906" spans="1:7">
      <c r="B1906" s="306">
        <v>1015</v>
      </c>
      <c r="C1906" s="282">
        <v>303053</v>
      </c>
      <c r="D1906" s="301" t="s">
        <v>38</v>
      </c>
    </row>
    <row r="1907" spans="1:7">
      <c r="B1907" s="306">
        <v>1015</v>
      </c>
      <c r="C1907" s="282">
        <v>303062</v>
      </c>
      <c r="D1907" s="301" t="s">
        <v>38</v>
      </c>
    </row>
    <row r="1908" spans="1:7">
      <c r="B1908" s="306">
        <v>1015</v>
      </c>
      <c r="C1908" s="282">
        <v>303063</v>
      </c>
      <c r="D1908" s="301" t="s">
        <v>38</v>
      </c>
    </row>
    <row r="1909" spans="1:7">
      <c r="B1909" s="306">
        <v>1015</v>
      </c>
      <c r="C1909" s="282">
        <v>303072</v>
      </c>
      <c r="D1909" s="301" t="s">
        <v>38</v>
      </c>
    </row>
    <row r="1910" spans="1:7">
      <c r="B1910" s="306">
        <v>1015</v>
      </c>
      <c r="C1910" s="282">
        <v>303073</v>
      </c>
      <c r="D1910" s="301" t="s">
        <v>38</v>
      </c>
    </row>
    <row r="1911" spans="1:7">
      <c r="B1911" s="306">
        <v>1015</v>
      </c>
      <c r="C1911" s="282">
        <v>303082</v>
      </c>
      <c r="D1911" s="301" t="s">
        <v>38</v>
      </c>
    </row>
    <row r="1912" spans="1:7">
      <c r="B1912" s="306">
        <v>1015</v>
      </c>
      <c r="C1912" s="282">
        <v>303083</v>
      </c>
      <c r="D1912" s="301" t="s">
        <v>38</v>
      </c>
    </row>
    <row r="1913" spans="1:7" s="303" customFormat="1">
      <c r="A1913" s="10"/>
      <c r="B1913" s="308">
        <v>1016</v>
      </c>
      <c r="C1913" s="43">
        <v>200004</v>
      </c>
      <c r="D1913" s="10" t="s">
        <v>736</v>
      </c>
      <c r="E1913" s="10"/>
      <c r="G1913" s="10"/>
    </row>
    <row r="1914" spans="1:7" s="303" customFormat="1">
      <c r="A1914" s="10"/>
      <c r="B1914" s="308">
        <v>1016</v>
      </c>
      <c r="C1914" s="43">
        <v>200003</v>
      </c>
      <c r="D1914" s="10" t="s">
        <v>736</v>
      </c>
      <c r="E1914" s="10"/>
      <c r="G1914" s="10"/>
    </row>
    <row r="1915" spans="1:7" s="303" customFormat="1">
      <c r="A1915" s="10"/>
      <c r="B1915" s="308">
        <v>1016</v>
      </c>
      <c r="C1915" s="43">
        <v>200005</v>
      </c>
      <c r="D1915" s="10" t="s">
        <v>736</v>
      </c>
      <c r="E1915" s="10"/>
      <c r="G1915" s="10"/>
    </row>
    <row r="1916" spans="1:7">
      <c r="B1916" s="308">
        <v>1016</v>
      </c>
      <c r="C1916" s="43">
        <v>200006</v>
      </c>
      <c r="D1916" s="10" t="s">
        <v>736</v>
      </c>
    </row>
    <row r="1917" spans="1:7">
      <c r="B1917" s="308">
        <v>1016</v>
      </c>
      <c r="C1917" s="43">
        <v>200007</v>
      </c>
      <c r="D1917" s="10" t="s">
        <v>736</v>
      </c>
    </row>
    <row r="1918" spans="1:7">
      <c r="B1918" s="308">
        <v>1016</v>
      </c>
      <c r="C1918" s="43">
        <v>200008</v>
      </c>
      <c r="D1918" s="10" t="s">
        <v>736</v>
      </c>
    </row>
    <row r="1919" spans="1:7">
      <c r="B1919" s="308">
        <v>1016</v>
      </c>
      <c r="C1919" s="43">
        <v>200009</v>
      </c>
      <c r="D1919" s="10" t="s">
        <v>736</v>
      </c>
    </row>
    <row r="1920" spans="1:7">
      <c r="B1920" s="308">
        <v>1016</v>
      </c>
      <c r="C1920" s="43">
        <v>200010</v>
      </c>
      <c r="D1920" s="10" t="s">
        <v>736</v>
      </c>
    </row>
    <row r="1921" spans="2:4">
      <c r="B1921" s="308">
        <v>1016</v>
      </c>
      <c r="C1921" s="43">
        <v>200016</v>
      </c>
      <c r="D1921" s="10" t="s">
        <v>736</v>
      </c>
    </row>
    <row r="1922" spans="2:4">
      <c r="B1922" s="308">
        <v>1016</v>
      </c>
      <c r="C1922" s="43">
        <v>200017</v>
      </c>
      <c r="D1922" s="10" t="s">
        <v>736</v>
      </c>
    </row>
    <row r="1923" spans="2:4">
      <c r="B1923" s="308">
        <v>1016</v>
      </c>
      <c r="C1923" s="43">
        <v>200018</v>
      </c>
      <c r="D1923" s="10" t="s">
        <v>736</v>
      </c>
    </row>
    <row r="1924" spans="2:4">
      <c r="B1924" s="308">
        <v>1016</v>
      </c>
      <c r="C1924" s="43">
        <v>200019</v>
      </c>
      <c r="D1924" s="10" t="s">
        <v>736</v>
      </c>
    </row>
    <row r="1925" spans="2:4">
      <c r="B1925" s="308">
        <v>1016</v>
      </c>
      <c r="C1925" s="43">
        <v>200020</v>
      </c>
      <c r="D1925" s="10" t="s">
        <v>736</v>
      </c>
    </row>
    <row r="1926" spans="2:4">
      <c r="B1926" s="308">
        <v>1016</v>
      </c>
      <c r="C1926" s="43">
        <v>200021</v>
      </c>
      <c r="D1926" s="10" t="s">
        <v>736</v>
      </c>
    </row>
    <row r="1927" spans="2:4">
      <c r="B1927" s="308">
        <v>1016</v>
      </c>
      <c r="C1927" s="43">
        <v>200024</v>
      </c>
      <c r="D1927" s="10" t="s">
        <v>736</v>
      </c>
    </row>
    <row r="1928" spans="2:4">
      <c r="B1928" s="308">
        <v>1016</v>
      </c>
      <c r="C1928" s="43">
        <v>200026</v>
      </c>
      <c r="D1928" s="10" t="s">
        <v>736</v>
      </c>
    </row>
    <row r="1929" spans="2:4">
      <c r="B1929" s="308">
        <v>1016</v>
      </c>
      <c r="C1929" s="43">
        <v>200029</v>
      </c>
      <c r="D1929" s="10" t="s">
        <v>736</v>
      </c>
    </row>
    <row r="1930" spans="2:4">
      <c r="B1930" s="308">
        <v>1016</v>
      </c>
      <c r="C1930" s="43">
        <v>200028</v>
      </c>
      <c r="D1930" s="10" t="s">
        <v>736</v>
      </c>
    </row>
    <row r="1931" spans="2:4">
      <c r="B1931" s="308">
        <v>1016</v>
      </c>
      <c r="C1931" s="43">
        <v>200032</v>
      </c>
      <c r="D1931" s="10" t="s">
        <v>736</v>
      </c>
    </row>
    <row r="1932" spans="2:4">
      <c r="B1932" s="308">
        <v>1016</v>
      </c>
      <c r="C1932" s="43">
        <v>200033</v>
      </c>
      <c r="D1932" s="10" t="s">
        <v>736</v>
      </c>
    </row>
    <row r="1933" spans="2:4">
      <c r="B1933" s="308">
        <v>1016</v>
      </c>
      <c r="C1933" s="43">
        <v>200038</v>
      </c>
      <c r="D1933" s="10" t="s">
        <v>736</v>
      </c>
    </row>
    <row r="1934" spans="2:4">
      <c r="B1934" s="308">
        <v>1016</v>
      </c>
      <c r="C1934" s="43">
        <v>200044</v>
      </c>
      <c r="D1934" s="10" t="s">
        <v>736</v>
      </c>
    </row>
    <row r="1935" spans="2:4">
      <c r="B1935" s="308">
        <v>1016</v>
      </c>
      <c r="C1935" s="43">
        <v>200046</v>
      </c>
      <c r="D1935" s="10" t="s">
        <v>736</v>
      </c>
    </row>
    <row r="1936" spans="2:4">
      <c r="B1936" s="309">
        <v>1016</v>
      </c>
      <c r="C1936" s="43">
        <v>200048</v>
      </c>
      <c r="D1936" s="10" t="s">
        <v>736</v>
      </c>
    </row>
    <row r="1937" spans="1:4">
      <c r="B1937" s="309">
        <v>1016</v>
      </c>
      <c r="C1937" s="43">
        <v>200053</v>
      </c>
      <c r="D1937" s="10" t="s">
        <v>736</v>
      </c>
    </row>
    <row r="1938" spans="1:4">
      <c r="B1938" s="309">
        <v>1016</v>
      </c>
      <c r="C1938" s="43">
        <v>200059</v>
      </c>
      <c r="D1938" s="10" t="s">
        <v>736</v>
      </c>
    </row>
    <row r="1939" spans="1:4" ht="13.5" customHeight="1">
      <c r="B1939" s="309">
        <v>1016</v>
      </c>
      <c r="C1939" s="43">
        <v>200066</v>
      </c>
      <c r="D1939" s="10" t="s">
        <v>736</v>
      </c>
    </row>
    <row r="1940" spans="1:4" ht="13.5" customHeight="1">
      <c r="B1940" s="309">
        <v>1016</v>
      </c>
      <c r="C1940" s="43">
        <v>200067</v>
      </c>
      <c r="D1940" s="10" t="s">
        <v>736</v>
      </c>
    </row>
    <row r="1941" spans="1:4" ht="13.5" customHeight="1">
      <c r="B1941" s="309">
        <v>1016</v>
      </c>
      <c r="C1941" s="43">
        <v>200068</v>
      </c>
      <c r="D1941" s="10" t="s">
        <v>736</v>
      </c>
    </row>
    <row r="1942" spans="1:4" ht="13.5" customHeight="1">
      <c r="B1942" s="309">
        <v>1016</v>
      </c>
      <c r="C1942" s="43">
        <v>200069</v>
      </c>
      <c r="D1942" s="10" t="s">
        <v>736</v>
      </c>
    </row>
    <row r="1943" spans="1:4" ht="13.5" customHeight="1">
      <c r="B1943" s="309">
        <v>1016</v>
      </c>
      <c r="C1943" s="43">
        <v>200074</v>
      </c>
      <c r="D1943" s="10" t="s">
        <v>736</v>
      </c>
    </row>
    <row r="1944" spans="1:4" ht="13.5" customHeight="1">
      <c r="B1944" s="309">
        <v>1016</v>
      </c>
      <c r="C1944" s="43">
        <v>200077</v>
      </c>
      <c r="D1944" s="270" t="s">
        <v>1842</v>
      </c>
    </row>
    <row r="1945" spans="1:4" ht="13.5" customHeight="1">
      <c r="A1945" s="270" t="s">
        <v>1934</v>
      </c>
      <c r="B1945" s="309">
        <v>1016</v>
      </c>
      <c r="C1945" s="10">
        <v>200083</v>
      </c>
      <c r="D1945" s="270" t="s">
        <v>1842</v>
      </c>
    </row>
    <row r="1946" spans="1:4" ht="13.5" customHeight="1">
      <c r="A1946" s="270" t="s">
        <v>1959</v>
      </c>
      <c r="B1946" s="309">
        <v>1016</v>
      </c>
      <c r="C1946" s="10">
        <v>200084</v>
      </c>
      <c r="D1946" s="270" t="s">
        <v>1842</v>
      </c>
    </row>
    <row r="1947" spans="1:4" ht="13.5" customHeight="1">
      <c r="A1947" s="270" t="s">
        <v>1982</v>
      </c>
      <c r="B1947" s="309">
        <v>1016</v>
      </c>
      <c r="C1947" s="10">
        <v>200093</v>
      </c>
      <c r="D1947" s="270" t="s">
        <v>1842</v>
      </c>
    </row>
    <row r="1948" spans="1:4" ht="13.5" customHeight="1">
      <c r="A1948" s="270" t="s">
        <v>1983</v>
      </c>
      <c r="B1948" s="309">
        <v>1016</v>
      </c>
      <c r="C1948" s="10">
        <v>200094</v>
      </c>
      <c r="D1948" s="270" t="s">
        <v>1842</v>
      </c>
    </row>
    <row r="1949" spans="1:4" ht="13.5" customHeight="1">
      <c r="A1949" s="270" t="s">
        <v>2000</v>
      </c>
      <c r="B1949" s="309">
        <v>1016</v>
      </c>
      <c r="C1949" s="10">
        <v>200091</v>
      </c>
      <c r="D1949" s="270" t="s">
        <v>1842</v>
      </c>
    </row>
    <row r="1950" spans="1:4" ht="13.5" customHeight="1">
      <c r="A1950" s="270" t="s">
        <v>2041</v>
      </c>
      <c r="B1950" s="309">
        <v>1016</v>
      </c>
      <c r="C1950" s="10">
        <v>20000107</v>
      </c>
      <c r="D1950" s="270" t="s">
        <v>1842</v>
      </c>
    </row>
    <row r="1951" spans="1:4" ht="13.5" customHeight="1">
      <c r="A1951" s="270" t="s">
        <v>2061</v>
      </c>
      <c r="B1951" s="316">
        <v>1016</v>
      </c>
      <c r="C1951" s="43">
        <v>200099</v>
      </c>
      <c r="D1951" s="43" t="s">
        <v>1842</v>
      </c>
    </row>
    <row r="1952" spans="1:4" ht="13.5" customHeight="1">
      <c r="A1952" s="270" t="s">
        <v>2062</v>
      </c>
      <c r="B1952" s="316">
        <v>1016</v>
      </c>
      <c r="C1952" s="43">
        <v>200098</v>
      </c>
      <c r="D1952" s="43" t="s">
        <v>1842</v>
      </c>
    </row>
    <row r="1953" spans="1:12" ht="13.5" customHeight="1">
      <c r="A1953" s="315" t="s">
        <v>2092</v>
      </c>
      <c r="B1953" s="310">
        <v>1016</v>
      </c>
      <c r="C1953" s="315">
        <v>20000106</v>
      </c>
      <c r="D1953" s="315" t="s">
        <v>736</v>
      </c>
    </row>
    <row r="1954" spans="1:12">
      <c r="B1954" s="311">
        <v>1016</v>
      </c>
      <c r="C1954" s="302">
        <v>30580015</v>
      </c>
      <c r="D1954" s="303" t="s">
        <v>737</v>
      </c>
      <c r="E1954" s="303">
        <v>250121</v>
      </c>
    </row>
    <row r="1955" spans="1:12">
      <c r="B1955" s="311">
        <v>1016</v>
      </c>
      <c r="C1955" s="302">
        <v>30570009</v>
      </c>
      <c r="D1955" s="303" t="s">
        <v>737</v>
      </c>
      <c r="E1955" s="303">
        <v>250121</v>
      </c>
    </row>
    <row r="1956" spans="1:12">
      <c r="B1956" s="311">
        <v>1016</v>
      </c>
      <c r="C1956" s="302">
        <v>30560007</v>
      </c>
      <c r="D1956" s="303" t="s">
        <v>737</v>
      </c>
      <c r="E1956" s="303">
        <v>250121</v>
      </c>
    </row>
    <row r="1957" spans="1:12">
      <c r="B1957" s="311">
        <v>1016</v>
      </c>
      <c r="C1957" s="302">
        <v>30505005</v>
      </c>
      <c r="D1957" s="303" t="s">
        <v>737</v>
      </c>
      <c r="E1957" s="303">
        <v>250121</v>
      </c>
    </row>
    <row r="1958" spans="1:12">
      <c r="B1958" s="311">
        <v>1016</v>
      </c>
      <c r="C1958" s="302">
        <v>30550022</v>
      </c>
      <c r="D1958" s="303" t="s">
        <v>737</v>
      </c>
      <c r="E1958" s="303">
        <v>250121</v>
      </c>
    </row>
    <row r="1959" spans="1:12">
      <c r="B1959" s="312">
        <v>1016</v>
      </c>
      <c r="C1959" s="286">
        <v>305007</v>
      </c>
      <c r="D1959" s="10" t="s">
        <v>737</v>
      </c>
      <c r="I1959" s="286">
        <v>305007</v>
      </c>
      <c r="J1959" s="286" t="s">
        <v>1213</v>
      </c>
      <c r="K1959" s="286">
        <v>1</v>
      </c>
      <c r="L1959" s="287" t="s">
        <v>1828</v>
      </c>
    </row>
    <row r="1960" spans="1:12">
      <c r="B1960" s="312">
        <v>1016</v>
      </c>
      <c r="C1960" s="286">
        <v>305008</v>
      </c>
      <c r="D1960" s="10" t="s">
        <v>737</v>
      </c>
      <c r="I1960" s="286">
        <v>305008</v>
      </c>
      <c r="J1960" s="286" t="s">
        <v>1217</v>
      </c>
      <c r="K1960" s="286">
        <v>1</v>
      </c>
      <c r="L1960" s="287" t="s">
        <v>1828</v>
      </c>
    </row>
    <row r="1961" spans="1:12">
      <c r="B1961" s="312">
        <v>1016</v>
      </c>
      <c r="C1961" s="286">
        <v>305009</v>
      </c>
      <c r="D1961" s="10" t="s">
        <v>737</v>
      </c>
      <c r="I1961" s="286">
        <v>305009</v>
      </c>
      <c r="J1961" s="286" t="s">
        <v>1220</v>
      </c>
      <c r="K1961" s="286">
        <v>1</v>
      </c>
      <c r="L1961" s="287" t="s">
        <v>1828</v>
      </c>
    </row>
    <row r="1962" spans="1:12">
      <c r="B1962" s="312">
        <v>1016</v>
      </c>
      <c r="C1962" s="286">
        <v>305023</v>
      </c>
      <c r="D1962" s="10" t="s">
        <v>737</v>
      </c>
      <c r="I1962" s="286">
        <v>305023</v>
      </c>
      <c r="J1962" s="286" t="s">
        <v>1277</v>
      </c>
      <c r="K1962" s="286">
        <v>1</v>
      </c>
      <c r="L1962" s="287" t="s">
        <v>1828</v>
      </c>
    </row>
    <row r="1963" spans="1:12">
      <c r="B1963" s="312">
        <v>1016</v>
      </c>
      <c r="C1963" s="286">
        <v>305034</v>
      </c>
      <c r="D1963" s="10" t="s">
        <v>737</v>
      </c>
      <c r="I1963" s="286">
        <v>305034</v>
      </c>
      <c r="J1963" s="286" t="s">
        <v>222</v>
      </c>
      <c r="K1963" s="286">
        <v>1</v>
      </c>
      <c r="L1963" s="287" t="s">
        <v>1828</v>
      </c>
    </row>
    <row r="1964" spans="1:12">
      <c r="B1964" s="312">
        <v>1016</v>
      </c>
      <c r="C1964" s="286">
        <v>305035</v>
      </c>
      <c r="D1964" s="10" t="s">
        <v>737</v>
      </c>
      <c r="I1964" s="286">
        <v>305035</v>
      </c>
      <c r="J1964" s="286" t="s">
        <v>227</v>
      </c>
      <c r="K1964" s="286">
        <v>1</v>
      </c>
      <c r="L1964" s="287" t="s">
        <v>1828</v>
      </c>
    </row>
    <row r="1965" spans="1:12">
      <c r="B1965" s="312">
        <v>1016</v>
      </c>
      <c r="C1965" s="286">
        <v>305036</v>
      </c>
      <c r="D1965" s="10" t="s">
        <v>737</v>
      </c>
      <c r="I1965" s="286">
        <v>305036</v>
      </c>
      <c r="J1965" s="286" t="s">
        <v>232</v>
      </c>
      <c r="K1965" s="286">
        <v>1</v>
      </c>
      <c r="L1965" s="287" t="s">
        <v>1828</v>
      </c>
    </row>
    <row r="1966" spans="1:12">
      <c r="B1966" s="312">
        <v>1016</v>
      </c>
      <c r="C1966" s="286">
        <v>305039</v>
      </c>
      <c r="D1966" s="10" t="s">
        <v>737</v>
      </c>
      <c r="I1966" s="286">
        <v>305039</v>
      </c>
      <c r="J1966" s="286" t="s">
        <v>1829</v>
      </c>
      <c r="K1966" s="286">
        <v>1</v>
      </c>
      <c r="L1966" s="287" t="s">
        <v>1828</v>
      </c>
    </row>
    <row r="1967" spans="1:12">
      <c r="B1967" s="312">
        <v>1016</v>
      </c>
      <c r="C1967" s="286">
        <v>305040</v>
      </c>
      <c r="D1967" s="10" t="s">
        <v>737</v>
      </c>
      <c r="I1967" s="286">
        <v>305040</v>
      </c>
      <c r="J1967" s="286" t="s">
        <v>277</v>
      </c>
      <c r="K1967" s="286">
        <v>1</v>
      </c>
      <c r="L1967" s="287" t="s">
        <v>1828</v>
      </c>
    </row>
    <row r="1968" spans="1:12">
      <c r="B1968" s="312">
        <v>1016</v>
      </c>
      <c r="C1968" s="286">
        <v>305200</v>
      </c>
      <c r="D1968" s="10" t="s">
        <v>737</v>
      </c>
      <c r="I1968" s="286">
        <v>305200</v>
      </c>
      <c r="J1968" s="286" t="s">
        <v>313</v>
      </c>
      <c r="K1968" s="286">
        <v>1</v>
      </c>
      <c r="L1968" s="287" t="s">
        <v>1828</v>
      </c>
    </row>
    <row r="1969" spans="2:12">
      <c r="B1969" s="312">
        <v>1016</v>
      </c>
      <c r="C1969" s="288">
        <v>305224</v>
      </c>
      <c r="D1969" s="10" t="s">
        <v>737</v>
      </c>
      <c r="I1969" s="288">
        <v>305224</v>
      </c>
      <c r="J1969" s="10" t="s">
        <v>1890</v>
      </c>
      <c r="K1969" s="286">
        <v>1</v>
      </c>
      <c r="L1969" s="287" t="s">
        <v>1828</v>
      </c>
    </row>
    <row r="1970" spans="2:12">
      <c r="B1970" s="312">
        <v>1016</v>
      </c>
      <c r="C1970" s="288">
        <v>305225</v>
      </c>
      <c r="D1970" s="10" t="s">
        <v>737</v>
      </c>
      <c r="I1970" s="288">
        <v>305225</v>
      </c>
      <c r="J1970" s="10" t="s">
        <v>1888</v>
      </c>
      <c r="K1970" s="286">
        <v>1</v>
      </c>
      <c r="L1970" s="287" t="s">
        <v>1828</v>
      </c>
    </row>
    <row r="1971" spans="2:12">
      <c r="B1971" s="312">
        <v>1016</v>
      </c>
      <c r="C1971" s="288">
        <v>305226</v>
      </c>
      <c r="D1971" s="10" t="s">
        <v>737</v>
      </c>
      <c r="I1971" s="288">
        <v>305226</v>
      </c>
      <c r="J1971" s="10" t="s">
        <v>1891</v>
      </c>
      <c r="K1971" s="286">
        <v>1</v>
      </c>
      <c r="L1971" s="287" t="s">
        <v>1828</v>
      </c>
    </row>
    <row r="1972" spans="2:12">
      <c r="B1972" s="312">
        <v>1016</v>
      </c>
      <c r="C1972" s="289">
        <v>305010</v>
      </c>
      <c r="D1972" s="10" t="s">
        <v>737</v>
      </c>
      <c r="I1972" s="289">
        <v>305010</v>
      </c>
      <c r="J1972" s="289" t="s">
        <v>1223</v>
      </c>
      <c r="K1972" s="289">
        <v>2</v>
      </c>
      <c r="L1972" s="290" t="s">
        <v>1830</v>
      </c>
    </row>
    <row r="1973" spans="2:12">
      <c r="B1973" s="312">
        <v>1016</v>
      </c>
      <c r="C1973" s="289">
        <v>305021</v>
      </c>
      <c r="D1973" s="10" t="s">
        <v>737</v>
      </c>
      <c r="I1973" s="289">
        <v>305021</v>
      </c>
      <c r="J1973" s="289" t="s">
        <v>1270</v>
      </c>
      <c r="K1973" s="289">
        <v>2</v>
      </c>
      <c r="L1973" s="290" t="s">
        <v>1830</v>
      </c>
    </row>
    <row r="1974" spans="2:12">
      <c r="B1974" s="312">
        <v>1016</v>
      </c>
      <c r="C1974" s="289">
        <v>305022</v>
      </c>
      <c r="D1974" s="10" t="s">
        <v>737</v>
      </c>
      <c r="I1974" s="289">
        <v>305022</v>
      </c>
      <c r="J1974" s="289" t="s">
        <v>1273</v>
      </c>
      <c r="K1974" s="289">
        <v>2</v>
      </c>
      <c r="L1974" s="290" t="s">
        <v>1830</v>
      </c>
    </row>
    <row r="1975" spans="2:12">
      <c r="B1975" s="312">
        <v>1016</v>
      </c>
      <c r="C1975" s="289">
        <v>305032</v>
      </c>
      <c r="D1975" s="10" t="s">
        <v>737</v>
      </c>
      <c r="I1975" s="289">
        <v>305032</v>
      </c>
      <c r="J1975" s="289" t="s">
        <v>213</v>
      </c>
      <c r="K1975" s="289">
        <v>2</v>
      </c>
      <c r="L1975" s="290" t="s">
        <v>1830</v>
      </c>
    </row>
    <row r="1976" spans="2:12">
      <c r="B1976" s="312">
        <v>1016</v>
      </c>
      <c r="C1976" s="289">
        <v>305033</v>
      </c>
      <c r="D1976" s="10" t="s">
        <v>737</v>
      </c>
      <c r="I1976" s="289">
        <v>305033</v>
      </c>
      <c r="J1976" s="289" t="s">
        <v>217</v>
      </c>
      <c r="K1976" s="289">
        <v>2</v>
      </c>
      <c r="L1976" s="290" t="s">
        <v>1830</v>
      </c>
    </row>
    <row r="1977" spans="2:12">
      <c r="B1977" s="312">
        <v>1016</v>
      </c>
      <c r="C1977" s="289">
        <v>305037</v>
      </c>
      <c r="D1977" s="10" t="s">
        <v>737</v>
      </c>
      <c r="I1977" s="289">
        <v>305037</v>
      </c>
      <c r="J1977" s="289" t="s">
        <v>264</v>
      </c>
      <c r="K1977" s="289">
        <v>2</v>
      </c>
      <c r="L1977" s="290" t="s">
        <v>1830</v>
      </c>
    </row>
    <row r="1978" spans="2:12">
      <c r="B1978" s="312">
        <v>1016</v>
      </c>
      <c r="C1978" s="289">
        <v>305038</v>
      </c>
      <c r="D1978" s="10" t="s">
        <v>737</v>
      </c>
      <c r="I1978" s="289">
        <v>305038</v>
      </c>
      <c r="J1978" s="289" t="s">
        <v>268</v>
      </c>
      <c r="K1978" s="289">
        <v>2</v>
      </c>
      <c r="L1978" s="290" t="s">
        <v>1830</v>
      </c>
    </row>
    <row r="1979" spans="2:12">
      <c r="B1979" s="312">
        <v>1016</v>
      </c>
      <c r="C1979" s="289">
        <v>305300</v>
      </c>
      <c r="D1979" s="10" t="s">
        <v>737</v>
      </c>
      <c r="I1979" s="289">
        <v>305300</v>
      </c>
      <c r="J1979" s="289" t="s">
        <v>318</v>
      </c>
      <c r="K1979" s="289">
        <v>2</v>
      </c>
      <c r="L1979" s="290" t="s">
        <v>1830</v>
      </c>
    </row>
    <row r="1980" spans="2:12">
      <c r="B1980" s="312">
        <v>1016</v>
      </c>
      <c r="C1980" s="288">
        <v>305324</v>
      </c>
      <c r="D1980" s="10" t="s">
        <v>737</v>
      </c>
      <c r="I1980" s="288">
        <v>305324</v>
      </c>
      <c r="J1980" s="10" t="s">
        <v>1887</v>
      </c>
      <c r="K1980" s="289">
        <v>2</v>
      </c>
      <c r="L1980" s="290" t="s">
        <v>1830</v>
      </c>
    </row>
    <row r="1981" spans="2:12">
      <c r="B1981" s="312">
        <v>1016</v>
      </c>
      <c r="C1981" s="288">
        <v>305325</v>
      </c>
      <c r="D1981" s="10" t="s">
        <v>737</v>
      </c>
      <c r="I1981" s="288">
        <v>305325</v>
      </c>
      <c r="J1981" s="10" t="s">
        <v>1888</v>
      </c>
      <c r="K1981" s="289">
        <v>2</v>
      </c>
      <c r="L1981" s="290" t="s">
        <v>1830</v>
      </c>
    </row>
    <row r="1982" spans="2:12">
      <c r="B1982" s="312">
        <v>1016</v>
      </c>
      <c r="C1982" s="288">
        <v>305326</v>
      </c>
      <c r="D1982" s="10" t="s">
        <v>737</v>
      </c>
      <c r="I1982" s="288">
        <v>305326</v>
      </c>
      <c r="J1982" s="10" t="s">
        <v>1889</v>
      </c>
      <c r="K1982" s="289">
        <v>2</v>
      </c>
      <c r="L1982" s="290" t="s">
        <v>1830</v>
      </c>
    </row>
    <row r="1983" spans="2:12">
      <c r="B1983" s="312">
        <v>1016</v>
      </c>
      <c r="C1983" s="291">
        <v>305001</v>
      </c>
      <c r="D1983" s="10" t="s">
        <v>737</v>
      </c>
      <c r="I1983" s="291">
        <v>305001</v>
      </c>
      <c r="J1983" s="291" t="s">
        <v>176</v>
      </c>
      <c r="K1983" s="291">
        <v>0</v>
      </c>
      <c r="L1983" s="292" t="s">
        <v>1827</v>
      </c>
    </row>
    <row r="1984" spans="2:12">
      <c r="B1984" s="312">
        <v>1016</v>
      </c>
      <c r="C1984" s="291">
        <v>305002</v>
      </c>
      <c r="D1984" s="10" t="s">
        <v>737</v>
      </c>
      <c r="I1984" s="291">
        <v>305002</v>
      </c>
      <c r="J1984" s="291" t="s">
        <v>181</v>
      </c>
      <c r="K1984" s="291">
        <v>0</v>
      </c>
      <c r="L1984" s="292" t="s">
        <v>1827</v>
      </c>
    </row>
    <row r="1985" spans="2:22">
      <c r="B1985" s="312">
        <v>1016</v>
      </c>
      <c r="C1985" s="291">
        <v>305003</v>
      </c>
      <c r="D1985" s="10" t="s">
        <v>737</v>
      </c>
      <c r="I1985" s="291">
        <v>305003</v>
      </c>
      <c r="J1985" s="291" t="s">
        <v>186</v>
      </c>
      <c r="K1985" s="291">
        <v>0</v>
      </c>
      <c r="L1985" s="292" t="s">
        <v>1827</v>
      </c>
    </row>
    <row r="1986" spans="2:22">
      <c r="B1986" s="312">
        <v>1016</v>
      </c>
      <c r="C1986" s="291">
        <v>305018</v>
      </c>
      <c r="D1986" s="10" t="s">
        <v>737</v>
      </c>
      <c r="I1986" s="291">
        <v>305018</v>
      </c>
      <c r="J1986" s="291" t="s">
        <v>191</v>
      </c>
      <c r="K1986" s="291">
        <v>0</v>
      </c>
      <c r="L1986" s="292" t="s">
        <v>1827</v>
      </c>
    </row>
    <row r="1987" spans="2:22">
      <c r="B1987" s="312">
        <v>1016</v>
      </c>
      <c r="C1987" s="291">
        <v>305019</v>
      </c>
      <c r="D1987" s="10" t="s">
        <v>737</v>
      </c>
      <c r="I1987" s="291">
        <v>305019</v>
      </c>
      <c r="J1987" s="291" t="s">
        <v>196</v>
      </c>
      <c r="K1987" s="291">
        <v>0</v>
      </c>
      <c r="L1987" s="292" t="s">
        <v>1827</v>
      </c>
    </row>
    <row r="1988" spans="2:22">
      <c r="B1988" s="312">
        <v>1016</v>
      </c>
      <c r="C1988" s="291">
        <v>305041</v>
      </c>
      <c r="D1988" s="10" t="s">
        <v>737</v>
      </c>
      <c r="I1988" s="291">
        <v>305041</v>
      </c>
      <c r="J1988" s="291" t="s">
        <v>282</v>
      </c>
      <c r="K1988" s="291">
        <v>0</v>
      </c>
      <c r="L1988" s="292" t="s">
        <v>1827</v>
      </c>
    </row>
    <row r="1989" spans="2:22">
      <c r="B1989" s="312">
        <v>1016</v>
      </c>
      <c r="C1989" s="291">
        <v>305042</v>
      </c>
      <c r="D1989" s="10" t="s">
        <v>737</v>
      </c>
      <c r="I1989" s="291">
        <v>305042</v>
      </c>
      <c r="J1989" s="291" t="s">
        <v>287</v>
      </c>
      <c r="K1989" s="291">
        <v>0</v>
      </c>
      <c r="L1989" s="292" t="s">
        <v>1827</v>
      </c>
    </row>
    <row r="1990" spans="2:22">
      <c r="B1990" s="312">
        <v>1016</v>
      </c>
      <c r="C1990" s="291">
        <v>305600</v>
      </c>
      <c r="D1990" s="10" t="s">
        <v>737</v>
      </c>
      <c r="I1990" s="291">
        <v>305600</v>
      </c>
      <c r="J1990" s="291" t="s">
        <v>323</v>
      </c>
      <c r="K1990" s="291">
        <v>0</v>
      </c>
      <c r="L1990" s="292" t="s">
        <v>1827</v>
      </c>
    </row>
    <row r="1991" spans="2:22">
      <c r="B1991" s="312">
        <v>1016</v>
      </c>
      <c r="C1991" s="288">
        <v>305623</v>
      </c>
      <c r="D1991" s="10" t="s">
        <v>737</v>
      </c>
      <c r="I1991" s="288">
        <v>305623</v>
      </c>
      <c r="J1991" s="10" t="s">
        <v>1864</v>
      </c>
      <c r="K1991" s="291">
        <v>0</v>
      </c>
      <c r="L1991" s="292" t="s">
        <v>1827</v>
      </c>
    </row>
    <row r="1992" spans="2:22">
      <c r="B1992" s="312">
        <v>1016</v>
      </c>
      <c r="C1992" s="288">
        <v>305624</v>
      </c>
      <c r="D1992" s="10" t="s">
        <v>737</v>
      </c>
      <c r="I1992" s="288">
        <v>305624</v>
      </c>
      <c r="J1992" s="10" t="s">
        <v>1865</v>
      </c>
      <c r="K1992" s="291">
        <v>0</v>
      </c>
      <c r="L1992" s="292" t="s">
        <v>1827</v>
      </c>
    </row>
    <row r="1993" spans="2:22">
      <c r="B1993" s="312">
        <v>1016</v>
      </c>
      <c r="C1993" s="288">
        <v>305625</v>
      </c>
      <c r="D1993" s="10" t="s">
        <v>737</v>
      </c>
      <c r="I1993" s="288">
        <v>305625</v>
      </c>
      <c r="J1993" s="10" t="s">
        <v>1866</v>
      </c>
      <c r="K1993" s="291">
        <v>0</v>
      </c>
      <c r="L1993" s="292" t="s">
        <v>1827</v>
      </c>
    </row>
    <row r="1994" spans="2:22">
      <c r="B1994" s="312">
        <v>1016</v>
      </c>
      <c r="C1994" s="288">
        <v>305626</v>
      </c>
      <c r="D1994" s="10" t="s">
        <v>737</v>
      </c>
      <c r="I1994" s="288">
        <v>305626</v>
      </c>
      <c r="J1994" s="10" t="s">
        <v>1867</v>
      </c>
      <c r="K1994" s="291">
        <v>0</v>
      </c>
      <c r="L1994" s="292" t="s">
        <v>1827</v>
      </c>
    </row>
    <row r="1995" spans="2:22">
      <c r="B1995" s="312">
        <v>1016</v>
      </c>
      <c r="C1995" s="293">
        <v>305012</v>
      </c>
      <c r="D1995" s="10" t="s">
        <v>737</v>
      </c>
      <c r="I1995" s="293">
        <v>305012</v>
      </c>
      <c r="J1995" s="293" t="s">
        <v>1230</v>
      </c>
      <c r="K1995" s="293">
        <v>6</v>
      </c>
      <c r="L1995" s="294" t="s">
        <v>1833</v>
      </c>
    </row>
    <row r="1996" spans="2:22">
      <c r="B1996" s="312">
        <v>1016</v>
      </c>
      <c r="C1996" s="293">
        <v>305013</v>
      </c>
      <c r="D1996" s="10" t="s">
        <v>737</v>
      </c>
      <c r="I1996" s="293">
        <v>305013</v>
      </c>
      <c r="J1996" s="293" t="s">
        <v>1237</v>
      </c>
      <c r="K1996" s="293">
        <v>6</v>
      </c>
      <c r="L1996" s="294" t="s">
        <v>1833</v>
      </c>
    </row>
    <row r="1997" spans="2:22">
      <c r="B1997" s="312">
        <v>1016</v>
      </c>
      <c r="C1997" s="293">
        <v>305014</v>
      </c>
      <c r="D1997" s="10" t="s">
        <v>737</v>
      </c>
      <c r="I1997" s="293">
        <v>305014</v>
      </c>
      <c r="J1997" s="293" t="s">
        <v>1241</v>
      </c>
      <c r="K1997" s="293">
        <v>6</v>
      </c>
      <c r="L1997" s="294" t="s">
        <v>1833</v>
      </c>
    </row>
    <row r="1998" spans="2:22" s="285" customFormat="1">
      <c r="B1998" s="312">
        <v>1016</v>
      </c>
      <c r="C1998" s="293">
        <v>305046</v>
      </c>
      <c r="D1998" s="285" t="s">
        <v>737</v>
      </c>
      <c r="G1998" s="10"/>
      <c r="H1998" s="10"/>
      <c r="I1998" s="293">
        <v>305046</v>
      </c>
      <c r="J1998" s="293" t="s">
        <v>309</v>
      </c>
      <c r="K1998" s="293">
        <v>6</v>
      </c>
      <c r="L1998" s="294" t="s">
        <v>1833</v>
      </c>
      <c r="M1998" s="10"/>
      <c r="R1998" s="10"/>
      <c r="S1998" s="10"/>
      <c r="T1998" s="10"/>
      <c r="U1998" s="10"/>
      <c r="V1998" s="10"/>
    </row>
    <row r="1999" spans="2:22">
      <c r="B1999" s="312">
        <v>1016</v>
      </c>
      <c r="C1999" s="288">
        <v>305815</v>
      </c>
      <c r="D1999" s="10" t="s">
        <v>737</v>
      </c>
      <c r="I1999" s="288">
        <v>305815</v>
      </c>
      <c r="J1999" s="10" t="s">
        <v>1868</v>
      </c>
      <c r="K1999" s="293">
        <v>6</v>
      </c>
      <c r="L1999" s="294" t="s">
        <v>1833</v>
      </c>
    </row>
    <row r="2000" spans="2:22">
      <c r="B2000" s="312">
        <v>1016</v>
      </c>
      <c r="C2000" s="288">
        <v>305816</v>
      </c>
      <c r="D2000" s="10" t="s">
        <v>737</v>
      </c>
      <c r="I2000" s="288">
        <v>305816</v>
      </c>
      <c r="J2000" s="10" t="s">
        <v>1869</v>
      </c>
      <c r="K2000" s="293">
        <v>6</v>
      </c>
      <c r="L2000" s="294" t="s">
        <v>1833</v>
      </c>
    </row>
    <row r="2001" spans="2:22">
      <c r="B2001" s="312">
        <v>1016</v>
      </c>
      <c r="C2001" s="288">
        <v>305817</v>
      </c>
      <c r="D2001" s="10" t="s">
        <v>737</v>
      </c>
      <c r="I2001" s="288">
        <v>305817</v>
      </c>
      <c r="J2001" s="10" t="s">
        <v>1870</v>
      </c>
      <c r="K2001" s="293">
        <v>6</v>
      </c>
      <c r="L2001" s="294" t="s">
        <v>1833</v>
      </c>
    </row>
    <row r="2002" spans="2:22" s="285" customFormat="1">
      <c r="B2002" s="312">
        <v>1016</v>
      </c>
      <c r="C2002" s="288">
        <v>305818</v>
      </c>
      <c r="D2002" s="285" t="s">
        <v>737</v>
      </c>
      <c r="G2002" s="10"/>
      <c r="H2002" s="10"/>
      <c r="I2002" s="288">
        <v>305818</v>
      </c>
      <c r="J2002" s="10" t="s">
        <v>1871</v>
      </c>
      <c r="K2002" s="293">
        <v>6</v>
      </c>
      <c r="L2002" s="294" t="s">
        <v>1833</v>
      </c>
      <c r="M2002" s="10"/>
      <c r="R2002" s="10"/>
      <c r="S2002" s="10"/>
      <c r="T2002" s="10"/>
      <c r="U2002" s="10"/>
      <c r="V2002" s="10"/>
    </row>
    <row r="2003" spans="2:22">
      <c r="B2003" s="312">
        <v>1016</v>
      </c>
      <c r="C2003" s="288">
        <v>305819</v>
      </c>
      <c r="D2003" s="10" t="s">
        <v>737</v>
      </c>
      <c r="I2003" s="288">
        <v>305819</v>
      </c>
      <c r="J2003" s="10" t="s">
        <v>1872</v>
      </c>
      <c r="K2003" s="293">
        <v>6</v>
      </c>
      <c r="L2003" s="294" t="s">
        <v>1833</v>
      </c>
    </row>
    <row r="2004" spans="2:22" s="285" customFormat="1">
      <c r="B2004" s="312">
        <v>1016</v>
      </c>
      <c r="C2004" s="288">
        <v>305820</v>
      </c>
      <c r="D2004" s="285" t="s">
        <v>737</v>
      </c>
      <c r="G2004" s="10"/>
      <c r="H2004" s="10"/>
      <c r="I2004" s="288">
        <v>305820</v>
      </c>
      <c r="J2004" s="10" t="s">
        <v>1873</v>
      </c>
      <c r="K2004" s="293">
        <v>6</v>
      </c>
      <c r="L2004" s="294" t="s">
        <v>1833</v>
      </c>
      <c r="M2004" s="10"/>
      <c r="R2004" s="10"/>
      <c r="S2004" s="10"/>
      <c r="T2004" s="10"/>
      <c r="U2004" s="10"/>
      <c r="V2004" s="10"/>
    </row>
    <row r="2005" spans="2:22">
      <c r="B2005" s="312">
        <v>1016</v>
      </c>
      <c r="C2005" s="295">
        <v>305015</v>
      </c>
      <c r="D2005" s="10" t="s">
        <v>737</v>
      </c>
      <c r="I2005" s="295">
        <v>305015</v>
      </c>
      <c r="J2005" s="295" t="s">
        <v>1245</v>
      </c>
      <c r="K2005" s="295">
        <v>7</v>
      </c>
      <c r="L2005" s="296" t="s">
        <v>538</v>
      </c>
    </row>
    <row r="2006" spans="2:22">
      <c r="B2006" s="312">
        <v>1016</v>
      </c>
      <c r="C2006" s="295">
        <v>305016</v>
      </c>
      <c r="D2006" s="10" t="s">
        <v>737</v>
      </c>
      <c r="I2006" s="295">
        <v>305016</v>
      </c>
      <c r="J2006" s="295" t="s">
        <v>1251</v>
      </c>
      <c r="K2006" s="295">
        <v>7</v>
      </c>
      <c r="L2006" s="296" t="s">
        <v>538</v>
      </c>
    </row>
    <row r="2007" spans="2:22">
      <c r="B2007" s="312">
        <v>1016</v>
      </c>
      <c r="C2007" s="295">
        <v>305017</v>
      </c>
      <c r="D2007" s="10" t="s">
        <v>737</v>
      </c>
      <c r="I2007" s="295">
        <v>305017</v>
      </c>
      <c r="J2007" s="295" t="s">
        <v>1255</v>
      </c>
      <c r="K2007" s="295">
        <v>7</v>
      </c>
      <c r="L2007" s="296" t="s">
        <v>538</v>
      </c>
    </row>
    <row r="2008" spans="2:22">
      <c r="B2008" s="312">
        <v>1016</v>
      </c>
      <c r="C2008" s="295">
        <v>305700</v>
      </c>
      <c r="D2008" s="10" t="s">
        <v>737</v>
      </c>
      <c r="I2008" s="295">
        <v>305700</v>
      </c>
      <c r="J2008" s="295" t="s">
        <v>328</v>
      </c>
      <c r="K2008" s="295">
        <v>7</v>
      </c>
      <c r="L2008" s="296" t="s">
        <v>538</v>
      </c>
    </row>
    <row r="2009" spans="2:22">
      <c r="B2009" s="312">
        <v>1016</v>
      </c>
      <c r="C2009" s="288">
        <v>305719</v>
      </c>
      <c r="D2009" s="10" t="s">
        <v>737</v>
      </c>
      <c r="I2009" s="288">
        <v>305719</v>
      </c>
      <c r="J2009" s="10" t="s">
        <v>1874</v>
      </c>
      <c r="K2009" s="295">
        <v>7</v>
      </c>
      <c r="L2009" s="296" t="s">
        <v>538</v>
      </c>
    </row>
    <row r="2010" spans="2:22">
      <c r="B2010" s="312">
        <v>1016</v>
      </c>
      <c r="C2010" s="288">
        <v>305720</v>
      </c>
      <c r="D2010" s="10" t="s">
        <v>737</v>
      </c>
      <c r="I2010" s="288">
        <v>305720</v>
      </c>
      <c r="J2010" s="10" t="s">
        <v>1875</v>
      </c>
      <c r="K2010" s="295">
        <v>7</v>
      </c>
      <c r="L2010" s="296" t="s">
        <v>538</v>
      </c>
    </row>
    <row r="2011" spans="2:22">
      <c r="B2011" s="312">
        <v>1016</v>
      </c>
      <c r="C2011" s="288">
        <v>305721</v>
      </c>
      <c r="D2011" s="10" t="s">
        <v>737</v>
      </c>
      <c r="I2011" s="288">
        <v>305721</v>
      </c>
      <c r="J2011" s="10" t="s">
        <v>1876</v>
      </c>
      <c r="K2011" s="295">
        <v>7</v>
      </c>
      <c r="L2011" s="296" t="s">
        <v>538</v>
      </c>
    </row>
    <row r="2012" spans="2:22">
      <c r="B2012" s="312">
        <v>1016</v>
      </c>
      <c r="C2012" s="288">
        <v>305722</v>
      </c>
      <c r="D2012" s="10" t="s">
        <v>737</v>
      </c>
      <c r="I2012" s="288">
        <v>305722</v>
      </c>
      <c r="J2012" s="10" t="s">
        <v>1877</v>
      </c>
      <c r="K2012" s="295">
        <v>7</v>
      </c>
      <c r="L2012" s="296" t="s">
        <v>538</v>
      </c>
    </row>
    <row r="2013" spans="2:22">
      <c r="B2013" s="312">
        <v>1016</v>
      </c>
      <c r="C2013" s="288">
        <v>305723</v>
      </c>
      <c r="D2013" s="10" t="s">
        <v>737</v>
      </c>
      <c r="I2013" s="288">
        <v>305723</v>
      </c>
      <c r="J2013" s="10" t="s">
        <v>1878</v>
      </c>
      <c r="K2013" s="295">
        <v>7</v>
      </c>
      <c r="L2013" s="296" t="s">
        <v>538</v>
      </c>
    </row>
    <row r="2014" spans="2:22">
      <c r="B2014" s="312">
        <v>1016</v>
      </c>
      <c r="C2014" s="288">
        <v>305724</v>
      </c>
      <c r="D2014" s="10" t="s">
        <v>737</v>
      </c>
      <c r="I2014" s="288">
        <v>305724</v>
      </c>
      <c r="J2014" s="10" t="s">
        <v>1879</v>
      </c>
      <c r="K2014" s="295">
        <v>7</v>
      </c>
      <c r="L2014" s="296" t="s">
        <v>538</v>
      </c>
    </row>
    <row r="2015" spans="2:22">
      <c r="B2015" s="312">
        <v>1016</v>
      </c>
      <c r="C2015" s="297">
        <v>305011</v>
      </c>
      <c r="D2015" s="10" t="s">
        <v>737</v>
      </c>
      <c r="I2015" s="297">
        <v>305011</v>
      </c>
      <c r="J2015" s="297" t="s">
        <v>161</v>
      </c>
      <c r="K2015" s="297">
        <v>3</v>
      </c>
      <c r="L2015" s="298" t="s">
        <v>1831</v>
      </c>
    </row>
    <row r="2016" spans="2:22">
      <c r="B2016" s="312">
        <v>1016</v>
      </c>
      <c r="C2016" s="299">
        <v>305025</v>
      </c>
      <c r="D2016" s="10" t="s">
        <v>737</v>
      </c>
      <c r="I2016" s="299">
        <v>305025</v>
      </c>
      <c r="J2016" s="299" t="s">
        <v>200</v>
      </c>
      <c r="K2016" s="299">
        <v>4</v>
      </c>
      <c r="L2016" s="300" t="s">
        <v>1832</v>
      </c>
    </row>
    <row r="2017" spans="1:22" s="285" customFormat="1">
      <c r="A2017" s="10"/>
      <c r="B2017" s="312">
        <v>1016</v>
      </c>
      <c r="C2017" s="299">
        <v>305026</v>
      </c>
      <c r="D2017" s="10" t="s">
        <v>737</v>
      </c>
      <c r="E2017" s="10"/>
      <c r="F2017" s="10"/>
      <c r="G2017" s="10"/>
      <c r="H2017" s="10"/>
      <c r="I2017" s="299">
        <v>305026</v>
      </c>
      <c r="J2017" s="299" t="s">
        <v>204</v>
      </c>
      <c r="K2017" s="299">
        <v>4</v>
      </c>
      <c r="L2017" s="300" t="s">
        <v>1832</v>
      </c>
      <c r="M2017" s="10"/>
      <c r="N2017" s="10"/>
      <c r="O2017" s="10"/>
      <c r="P2017" s="10"/>
      <c r="Q2017" s="10"/>
      <c r="R2017" s="10"/>
      <c r="S2017" s="10"/>
      <c r="T2017" s="10"/>
      <c r="U2017" s="10"/>
      <c r="V2017" s="10"/>
    </row>
    <row r="2018" spans="1:22" s="285" customFormat="1">
      <c r="A2018" s="10"/>
      <c r="B2018" s="312">
        <v>1016</v>
      </c>
      <c r="C2018" s="299">
        <v>305050</v>
      </c>
      <c r="D2018" s="10" t="s">
        <v>737</v>
      </c>
      <c r="E2018" s="10"/>
      <c r="F2018" s="10"/>
      <c r="G2018" s="10"/>
      <c r="H2018" s="10"/>
      <c r="I2018" s="299">
        <v>305050</v>
      </c>
      <c r="J2018" s="299" t="s">
        <v>300</v>
      </c>
      <c r="K2018" s="299">
        <v>4</v>
      </c>
      <c r="L2018" s="300" t="s">
        <v>1832</v>
      </c>
      <c r="M2018" s="10"/>
      <c r="N2018" s="10"/>
      <c r="O2018" s="10"/>
      <c r="P2018" s="10"/>
      <c r="Q2018" s="10"/>
      <c r="R2018" s="10"/>
      <c r="S2018" s="10"/>
      <c r="T2018" s="10"/>
      <c r="U2018" s="10"/>
      <c r="V2018" s="10"/>
    </row>
    <row r="2019" spans="1:22" s="285" customFormat="1">
      <c r="A2019" s="10"/>
      <c r="B2019" s="312">
        <v>1016</v>
      </c>
      <c r="C2019" s="299">
        <v>305051</v>
      </c>
      <c r="D2019" s="10" t="s">
        <v>737</v>
      </c>
      <c r="E2019" s="10"/>
      <c r="F2019" s="10"/>
      <c r="G2019" s="10"/>
      <c r="H2019" s="10"/>
      <c r="I2019" s="299">
        <v>305051</v>
      </c>
      <c r="J2019" s="299" t="s">
        <v>340</v>
      </c>
      <c r="K2019" s="299">
        <v>4</v>
      </c>
      <c r="L2019" s="300" t="s">
        <v>1832</v>
      </c>
      <c r="M2019" s="10"/>
      <c r="N2019" s="10"/>
      <c r="O2019" s="10"/>
      <c r="P2019" s="10"/>
      <c r="Q2019" s="10"/>
      <c r="R2019" s="10"/>
      <c r="S2019" s="10"/>
      <c r="T2019" s="10"/>
      <c r="U2019" s="10"/>
      <c r="V2019" s="10"/>
    </row>
    <row r="2020" spans="1:22">
      <c r="B2020" s="312">
        <v>1016</v>
      </c>
      <c r="C2020" s="288">
        <v>305055</v>
      </c>
      <c r="D2020" s="10" t="s">
        <v>737</v>
      </c>
      <c r="I2020" s="288">
        <v>305055</v>
      </c>
      <c r="J2020" s="10" t="s">
        <v>1880</v>
      </c>
      <c r="K2020" s="299">
        <v>4</v>
      </c>
      <c r="L2020" s="300" t="s">
        <v>1832</v>
      </c>
    </row>
    <row r="2021" spans="1:22" s="285" customFormat="1">
      <c r="A2021" s="10"/>
      <c r="B2021" s="312">
        <v>1016</v>
      </c>
      <c r="C2021" s="288">
        <v>305056</v>
      </c>
      <c r="D2021" s="10" t="s">
        <v>737</v>
      </c>
      <c r="E2021" s="10"/>
      <c r="F2021" s="10"/>
      <c r="G2021" s="10"/>
      <c r="H2021" s="10"/>
      <c r="I2021" s="288">
        <v>305056</v>
      </c>
      <c r="J2021" s="10" t="s">
        <v>1881</v>
      </c>
      <c r="K2021" s="299">
        <v>4</v>
      </c>
      <c r="L2021" s="300" t="s">
        <v>1832</v>
      </c>
      <c r="M2021" s="10"/>
      <c r="N2021" s="10"/>
      <c r="O2021" s="10"/>
      <c r="P2021" s="10"/>
      <c r="Q2021" s="10"/>
      <c r="R2021" s="10"/>
      <c r="S2021" s="10"/>
      <c r="T2021" s="10"/>
      <c r="U2021" s="10"/>
      <c r="V2021" s="10"/>
    </row>
    <row r="2022" spans="1:22" s="285" customFormat="1">
      <c r="A2022" s="10"/>
      <c r="B2022" s="312">
        <v>1016</v>
      </c>
      <c r="C2022" s="288">
        <v>306104</v>
      </c>
      <c r="D2022" s="10" t="s">
        <v>737</v>
      </c>
      <c r="E2022" s="10"/>
      <c r="F2022" s="10"/>
      <c r="G2022" s="10"/>
      <c r="H2022" s="10"/>
      <c r="I2022" s="288">
        <v>306104</v>
      </c>
      <c r="J2022" s="10" t="s">
        <v>1882</v>
      </c>
      <c r="K2022" s="299">
        <v>4</v>
      </c>
      <c r="L2022" s="300" t="s">
        <v>1886</v>
      </c>
      <c r="M2022" s="10"/>
      <c r="N2022" s="10"/>
      <c r="O2022" s="10"/>
      <c r="P2022" s="10"/>
      <c r="Q2022" s="10"/>
      <c r="R2022" s="10"/>
      <c r="S2022" s="10"/>
      <c r="T2022" s="10"/>
      <c r="U2022" s="10"/>
      <c r="V2022" s="10"/>
    </row>
    <row r="2023" spans="1:22" s="285" customFormat="1">
      <c r="A2023" s="10"/>
      <c r="B2023" s="312">
        <v>1016</v>
      </c>
      <c r="C2023" s="288">
        <v>306105</v>
      </c>
      <c r="D2023" s="10" t="s">
        <v>737</v>
      </c>
      <c r="E2023" s="10"/>
      <c r="F2023" s="10"/>
      <c r="G2023" s="10"/>
      <c r="H2023" s="10"/>
      <c r="I2023" s="288">
        <v>306105</v>
      </c>
      <c r="J2023" s="10" t="s">
        <v>1883</v>
      </c>
      <c r="K2023" s="299">
        <v>4</v>
      </c>
      <c r="L2023" s="300" t="s">
        <v>1886</v>
      </c>
      <c r="M2023" s="10"/>
      <c r="N2023" s="10"/>
      <c r="O2023" s="10"/>
      <c r="P2023" s="10"/>
      <c r="Q2023" s="10"/>
      <c r="R2023" s="10"/>
      <c r="S2023" s="10"/>
      <c r="T2023" s="10"/>
      <c r="U2023" s="10"/>
      <c r="V2023" s="10"/>
    </row>
    <row r="2024" spans="1:22" s="285" customFormat="1">
      <c r="A2024" s="10"/>
      <c r="B2024" s="312">
        <v>1016</v>
      </c>
      <c r="C2024" s="288">
        <v>306106</v>
      </c>
      <c r="D2024" s="10" t="s">
        <v>737</v>
      </c>
      <c r="E2024" s="10"/>
      <c r="F2024" s="10"/>
      <c r="G2024" s="10"/>
      <c r="H2024" s="10"/>
      <c r="I2024" s="288">
        <v>306106</v>
      </c>
      <c r="J2024" s="10" t="s">
        <v>1884</v>
      </c>
      <c r="K2024" s="299">
        <v>4</v>
      </c>
      <c r="L2024" s="300" t="s">
        <v>1886</v>
      </c>
      <c r="M2024" s="10"/>
      <c r="N2024" s="10"/>
      <c r="O2024" s="10"/>
      <c r="P2024" s="10"/>
      <c r="Q2024" s="10"/>
      <c r="R2024" s="10"/>
      <c r="S2024" s="10"/>
      <c r="T2024" s="10"/>
      <c r="U2024" s="10"/>
      <c r="V2024" s="10"/>
    </row>
    <row r="2025" spans="1:22" s="285" customFormat="1">
      <c r="A2025" s="10"/>
      <c r="B2025" s="312">
        <v>1016</v>
      </c>
      <c r="C2025" s="288">
        <v>306107</v>
      </c>
      <c r="D2025" s="10" t="s">
        <v>737</v>
      </c>
      <c r="E2025" s="10"/>
      <c r="F2025" s="10"/>
      <c r="G2025" s="10"/>
      <c r="H2025" s="10"/>
      <c r="I2025" s="288">
        <v>306107</v>
      </c>
      <c r="J2025" s="10" t="s">
        <v>1885</v>
      </c>
      <c r="K2025" s="299">
        <v>4</v>
      </c>
      <c r="L2025" s="300" t="s">
        <v>1886</v>
      </c>
      <c r="M2025" s="10"/>
      <c r="N2025" s="10"/>
      <c r="O2025" s="10"/>
      <c r="P2025" s="10"/>
      <c r="Q2025" s="10"/>
      <c r="R2025" s="10"/>
      <c r="S2025" s="10"/>
      <c r="T2025" s="10"/>
      <c r="U2025" s="10"/>
      <c r="V2025" s="10"/>
    </row>
    <row r="2026" spans="1:22">
      <c r="B2026" s="313">
        <v>1016</v>
      </c>
      <c r="C2026" s="282">
        <v>303012</v>
      </c>
      <c r="D2026" s="301" t="s">
        <v>38</v>
      </c>
    </row>
    <row r="2027" spans="1:22">
      <c r="B2027" s="313">
        <v>1016</v>
      </c>
      <c r="C2027" s="282">
        <v>303013</v>
      </c>
      <c r="D2027" s="301" t="s">
        <v>38</v>
      </c>
    </row>
    <row r="2028" spans="1:22">
      <c r="B2028" s="313">
        <v>1016</v>
      </c>
      <c r="C2028" s="282">
        <v>303022</v>
      </c>
      <c r="D2028" s="301" t="s">
        <v>38</v>
      </c>
    </row>
    <row r="2029" spans="1:22">
      <c r="B2029" s="313">
        <v>1016</v>
      </c>
      <c r="C2029" s="282">
        <v>303023</v>
      </c>
      <c r="D2029" s="301" t="s">
        <v>38</v>
      </c>
    </row>
    <row r="2030" spans="1:22">
      <c r="B2030" s="313">
        <v>1016</v>
      </c>
      <c r="C2030" s="282">
        <v>303032</v>
      </c>
      <c r="D2030" s="301" t="s">
        <v>38</v>
      </c>
    </row>
    <row r="2031" spans="1:22">
      <c r="B2031" s="313">
        <v>1016</v>
      </c>
      <c r="C2031" s="282">
        <v>303033</v>
      </c>
      <c r="D2031" s="301" t="s">
        <v>38</v>
      </c>
    </row>
    <row r="2032" spans="1:22">
      <c r="B2032" s="313">
        <v>1016</v>
      </c>
      <c r="C2032" s="282">
        <v>303042</v>
      </c>
      <c r="D2032" s="301" t="s">
        <v>38</v>
      </c>
    </row>
    <row r="2033" spans="2:4">
      <c r="B2033" s="313">
        <v>1016</v>
      </c>
      <c r="C2033" s="282">
        <v>303043</v>
      </c>
      <c r="D2033" s="301" t="s">
        <v>38</v>
      </c>
    </row>
    <row r="2034" spans="2:4">
      <c r="B2034" s="313">
        <v>1016</v>
      </c>
      <c r="C2034" s="282">
        <v>303052</v>
      </c>
      <c r="D2034" s="301" t="s">
        <v>38</v>
      </c>
    </row>
    <row r="2035" spans="2:4">
      <c r="B2035" s="313">
        <v>1016</v>
      </c>
      <c r="C2035" s="282">
        <v>303053</v>
      </c>
      <c r="D2035" s="301" t="s">
        <v>38</v>
      </c>
    </row>
    <row r="2036" spans="2:4">
      <c r="B2036" s="313">
        <v>1016</v>
      </c>
      <c r="C2036" s="282">
        <v>303062</v>
      </c>
      <c r="D2036" s="301" t="s">
        <v>38</v>
      </c>
    </row>
    <row r="2037" spans="2:4">
      <c r="B2037" s="313">
        <v>1016</v>
      </c>
      <c r="C2037" s="282">
        <v>303063</v>
      </c>
      <c r="D2037" s="301" t="s">
        <v>38</v>
      </c>
    </row>
    <row r="2038" spans="2:4">
      <c r="B2038" s="313">
        <v>1016</v>
      </c>
      <c r="C2038" s="282">
        <v>303072</v>
      </c>
      <c r="D2038" s="301" t="s">
        <v>38</v>
      </c>
    </row>
    <row r="2039" spans="2:4">
      <c r="B2039" s="313">
        <v>1016</v>
      </c>
      <c r="C2039" s="282">
        <v>303073</v>
      </c>
      <c r="D2039" s="301" t="s">
        <v>38</v>
      </c>
    </row>
    <row r="2040" spans="2:4">
      <c r="B2040" s="313">
        <v>1016</v>
      </c>
      <c r="C2040" s="282">
        <v>303082</v>
      </c>
      <c r="D2040" s="301" t="s">
        <v>38</v>
      </c>
    </row>
    <row r="2041" spans="2:4">
      <c r="B2041" s="313">
        <v>1016</v>
      </c>
      <c r="C2041" s="282">
        <v>303083</v>
      </c>
      <c r="D2041" s="301" t="s">
        <v>38</v>
      </c>
    </row>
    <row r="2042" spans="2:4">
      <c r="B2042" s="308">
        <v>1017</v>
      </c>
      <c r="C2042" s="43">
        <v>200004</v>
      </c>
      <c r="D2042" s="10" t="s">
        <v>736</v>
      </c>
    </row>
    <row r="2043" spans="2:4">
      <c r="B2043" s="308">
        <v>1017</v>
      </c>
      <c r="C2043" s="43">
        <v>200003</v>
      </c>
      <c r="D2043" s="10" t="s">
        <v>736</v>
      </c>
    </row>
    <row r="2044" spans="2:4">
      <c r="B2044" s="308">
        <v>1017</v>
      </c>
      <c r="C2044" s="43">
        <v>200005</v>
      </c>
      <c r="D2044" s="10" t="s">
        <v>736</v>
      </c>
    </row>
    <row r="2045" spans="2:4">
      <c r="B2045" s="308">
        <v>1017</v>
      </c>
      <c r="C2045" s="43">
        <v>200006</v>
      </c>
      <c r="D2045" s="10" t="s">
        <v>736</v>
      </c>
    </row>
    <row r="2046" spans="2:4">
      <c r="B2046" s="308">
        <v>1017</v>
      </c>
      <c r="C2046" s="43">
        <v>200007</v>
      </c>
      <c r="D2046" s="10" t="s">
        <v>736</v>
      </c>
    </row>
    <row r="2047" spans="2:4">
      <c r="B2047" s="308">
        <v>1017</v>
      </c>
      <c r="C2047" s="43">
        <v>200008</v>
      </c>
      <c r="D2047" s="10" t="s">
        <v>736</v>
      </c>
    </row>
    <row r="2048" spans="2:4">
      <c r="B2048" s="308">
        <v>1017</v>
      </c>
      <c r="C2048" s="43">
        <v>200009</v>
      </c>
      <c r="D2048" s="10" t="s">
        <v>736</v>
      </c>
    </row>
    <row r="2049" spans="2:4">
      <c r="B2049" s="308">
        <v>1017</v>
      </c>
      <c r="C2049" s="43">
        <v>200010</v>
      </c>
      <c r="D2049" s="10" t="s">
        <v>736</v>
      </c>
    </row>
    <row r="2050" spans="2:4">
      <c r="B2050" s="308">
        <v>1017</v>
      </c>
      <c r="C2050" s="43">
        <v>200016</v>
      </c>
      <c r="D2050" s="10" t="s">
        <v>736</v>
      </c>
    </row>
    <row r="2051" spans="2:4">
      <c r="B2051" s="308">
        <v>1017</v>
      </c>
      <c r="C2051" s="43">
        <v>200017</v>
      </c>
      <c r="D2051" s="10" t="s">
        <v>736</v>
      </c>
    </row>
    <row r="2052" spans="2:4">
      <c r="B2052" s="308">
        <v>1017</v>
      </c>
      <c r="C2052" s="43">
        <v>200018</v>
      </c>
      <c r="D2052" s="10" t="s">
        <v>736</v>
      </c>
    </row>
    <row r="2053" spans="2:4">
      <c r="B2053" s="308">
        <v>1017</v>
      </c>
      <c r="C2053" s="43">
        <v>200019</v>
      </c>
      <c r="D2053" s="10" t="s">
        <v>736</v>
      </c>
    </row>
    <row r="2054" spans="2:4">
      <c r="B2054" s="308">
        <v>1017</v>
      </c>
      <c r="C2054" s="43">
        <v>200020</v>
      </c>
      <c r="D2054" s="10" t="s">
        <v>736</v>
      </c>
    </row>
    <row r="2055" spans="2:4">
      <c r="B2055" s="308">
        <v>1017</v>
      </c>
      <c r="C2055" s="43">
        <v>200021</v>
      </c>
      <c r="D2055" s="10" t="s">
        <v>736</v>
      </c>
    </row>
    <row r="2056" spans="2:4">
      <c r="B2056" s="308">
        <v>1017</v>
      </c>
      <c r="C2056" s="43">
        <v>200024</v>
      </c>
      <c r="D2056" s="10" t="s">
        <v>736</v>
      </c>
    </row>
    <row r="2057" spans="2:4">
      <c r="B2057" s="308">
        <v>1017</v>
      </c>
      <c r="C2057" s="43">
        <v>200026</v>
      </c>
      <c r="D2057" s="10" t="s">
        <v>736</v>
      </c>
    </row>
    <row r="2058" spans="2:4">
      <c r="B2058" s="308">
        <v>1017</v>
      </c>
      <c r="C2058" s="43">
        <v>200029</v>
      </c>
      <c r="D2058" s="10" t="s">
        <v>736</v>
      </c>
    </row>
    <row r="2059" spans="2:4">
      <c r="B2059" s="308">
        <v>1017</v>
      </c>
      <c r="C2059" s="43">
        <v>200028</v>
      </c>
      <c r="D2059" s="10" t="s">
        <v>736</v>
      </c>
    </row>
    <row r="2060" spans="2:4">
      <c r="B2060" s="308">
        <v>1017</v>
      </c>
      <c r="C2060" s="43">
        <v>200032</v>
      </c>
      <c r="D2060" s="10" t="s">
        <v>736</v>
      </c>
    </row>
    <row r="2061" spans="2:4">
      <c r="B2061" s="308">
        <v>1017</v>
      </c>
      <c r="C2061" s="43">
        <v>200033</v>
      </c>
      <c r="D2061" s="10" t="s">
        <v>736</v>
      </c>
    </row>
    <row r="2062" spans="2:4">
      <c r="B2062" s="308">
        <v>1017</v>
      </c>
      <c r="C2062" s="43">
        <v>200038</v>
      </c>
      <c r="D2062" s="10" t="s">
        <v>736</v>
      </c>
    </row>
    <row r="2063" spans="2:4">
      <c r="B2063" s="308">
        <v>1017</v>
      </c>
      <c r="C2063" s="43">
        <v>200044</v>
      </c>
      <c r="D2063" s="10" t="s">
        <v>736</v>
      </c>
    </row>
    <row r="2064" spans="2:4">
      <c r="B2064" s="308">
        <v>1017</v>
      </c>
      <c r="C2064" s="43">
        <v>200046</v>
      </c>
      <c r="D2064" s="10" t="s">
        <v>736</v>
      </c>
    </row>
    <row r="2065" spans="1:4">
      <c r="B2065" s="309">
        <v>1017</v>
      </c>
      <c r="C2065" s="43">
        <v>200048</v>
      </c>
      <c r="D2065" s="10" t="s">
        <v>736</v>
      </c>
    </row>
    <row r="2066" spans="1:4">
      <c r="B2066" s="308">
        <v>1017</v>
      </c>
      <c r="C2066" s="43">
        <v>200053</v>
      </c>
      <c r="D2066" s="305" t="s">
        <v>736</v>
      </c>
    </row>
    <row r="2067" spans="1:4">
      <c r="B2067" s="309">
        <v>1017</v>
      </c>
      <c r="C2067" s="43">
        <v>200059</v>
      </c>
      <c r="D2067" s="10" t="s">
        <v>736</v>
      </c>
    </row>
    <row r="2068" spans="1:4" ht="13.5" customHeight="1">
      <c r="B2068" s="309">
        <v>1017</v>
      </c>
      <c r="C2068" s="43">
        <v>200066</v>
      </c>
      <c r="D2068" s="10" t="s">
        <v>736</v>
      </c>
    </row>
    <row r="2069" spans="1:4" ht="13.5" customHeight="1">
      <c r="B2069" s="309">
        <v>1017</v>
      </c>
      <c r="C2069" s="43">
        <v>200067</v>
      </c>
      <c r="D2069" s="10" t="s">
        <v>736</v>
      </c>
    </row>
    <row r="2070" spans="1:4" ht="13.5" customHeight="1">
      <c r="B2070" s="309">
        <v>1017</v>
      </c>
      <c r="C2070" s="43">
        <v>200068</v>
      </c>
      <c r="D2070" s="10" t="s">
        <v>736</v>
      </c>
    </row>
    <row r="2071" spans="1:4" ht="13.5" customHeight="1">
      <c r="B2071" s="309">
        <v>1017</v>
      </c>
      <c r="C2071" s="43">
        <v>200069</v>
      </c>
      <c r="D2071" s="10" t="s">
        <v>736</v>
      </c>
    </row>
    <row r="2072" spans="1:4" ht="13.5" customHeight="1">
      <c r="B2072" s="309">
        <v>1017</v>
      </c>
      <c r="C2072" s="43">
        <v>200074</v>
      </c>
      <c r="D2072" s="10" t="s">
        <v>736</v>
      </c>
    </row>
    <row r="2073" spans="1:4" ht="13.5" customHeight="1">
      <c r="B2073" s="309">
        <v>1017</v>
      </c>
      <c r="C2073" s="43">
        <v>200077</v>
      </c>
      <c r="D2073" s="270" t="s">
        <v>1842</v>
      </c>
    </row>
    <row r="2074" spans="1:4" ht="13.5" customHeight="1">
      <c r="A2074" s="270" t="s">
        <v>1934</v>
      </c>
      <c r="B2074" s="309">
        <v>1017</v>
      </c>
      <c r="C2074" s="10">
        <v>200083</v>
      </c>
      <c r="D2074" s="270" t="s">
        <v>1842</v>
      </c>
    </row>
    <row r="2075" spans="1:4" ht="13.5" customHeight="1">
      <c r="A2075" s="270" t="s">
        <v>1959</v>
      </c>
      <c r="B2075" s="309">
        <v>1017</v>
      </c>
      <c r="C2075" s="10">
        <v>200084</v>
      </c>
      <c r="D2075" s="270" t="s">
        <v>1842</v>
      </c>
    </row>
    <row r="2076" spans="1:4" ht="13.5" customHeight="1">
      <c r="A2076" s="270" t="s">
        <v>1982</v>
      </c>
      <c r="B2076" s="309">
        <v>1017</v>
      </c>
      <c r="C2076" s="10">
        <v>200093</v>
      </c>
      <c r="D2076" s="270" t="s">
        <v>1842</v>
      </c>
    </row>
    <row r="2077" spans="1:4" ht="13.5" customHeight="1">
      <c r="A2077" s="270" t="s">
        <v>1983</v>
      </c>
      <c r="B2077" s="309">
        <v>1017</v>
      </c>
      <c r="C2077" s="10">
        <v>200094</v>
      </c>
      <c r="D2077" s="270" t="s">
        <v>1842</v>
      </c>
    </row>
    <row r="2078" spans="1:4" ht="13.5" customHeight="1">
      <c r="A2078" s="270" t="s">
        <v>2000</v>
      </c>
      <c r="B2078" s="309">
        <v>1017</v>
      </c>
      <c r="C2078" s="10">
        <v>200091</v>
      </c>
      <c r="D2078" s="270" t="s">
        <v>1842</v>
      </c>
    </row>
    <row r="2079" spans="1:4" ht="13.5" customHeight="1">
      <c r="A2079" s="270" t="s">
        <v>2041</v>
      </c>
      <c r="B2079" s="309">
        <v>1017</v>
      </c>
      <c r="C2079" s="10">
        <v>20000107</v>
      </c>
      <c r="D2079" s="270" t="s">
        <v>1842</v>
      </c>
    </row>
    <row r="2080" spans="1:4" ht="13.5" customHeight="1">
      <c r="A2080" s="270" t="s">
        <v>2061</v>
      </c>
      <c r="B2080" s="310">
        <v>1017</v>
      </c>
      <c r="C2080" s="269">
        <v>200099</v>
      </c>
      <c r="D2080" s="269" t="s">
        <v>1842</v>
      </c>
    </row>
    <row r="2081" spans="1:12" ht="13.5" customHeight="1">
      <c r="A2081" s="270" t="s">
        <v>2062</v>
      </c>
      <c r="B2081" s="310">
        <v>1017</v>
      </c>
      <c r="C2081" s="269">
        <v>200098</v>
      </c>
      <c r="D2081" s="269" t="s">
        <v>1842</v>
      </c>
    </row>
    <row r="2082" spans="1:12" ht="13.5" customHeight="1">
      <c r="A2082" s="315" t="s">
        <v>2092</v>
      </c>
      <c r="B2082" s="310">
        <v>1017</v>
      </c>
      <c r="C2082" s="315">
        <v>20000106</v>
      </c>
      <c r="D2082" s="315" t="s">
        <v>736</v>
      </c>
    </row>
    <row r="2083" spans="1:12">
      <c r="B2083" s="311">
        <v>1017</v>
      </c>
      <c r="C2083" s="302">
        <v>30580015</v>
      </c>
      <c r="D2083" s="303" t="s">
        <v>737</v>
      </c>
      <c r="E2083" s="303">
        <v>250121</v>
      </c>
    </row>
    <row r="2084" spans="1:12">
      <c r="B2084" s="311">
        <v>1017</v>
      </c>
      <c r="C2084" s="302">
        <v>30570009</v>
      </c>
      <c r="D2084" s="303" t="s">
        <v>737</v>
      </c>
      <c r="E2084" s="303">
        <v>250121</v>
      </c>
    </row>
    <row r="2085" spans="1:12">
      <c r="B2085" s="311">
        <v>1017</v>
      </c>
      <c r="C2085" s="302">
        <v>30560007</v>
      </c>
      <c r="D2085" s="303" t="s">
        <v>737</v>
      </c>
      <c r="E2085" s="303">
        <v>250121</v>
      </c>
    </row>
    <row r="2086" spans="1:12">
      <c r="B2086" s="311">
        <v>1017</v>
      </c>
      <c r="C2086" s="302">
        <v>30505005</v>
      </c>
      <c r="D2086" s="303" t="s">
        <v>737</v>
      </c>
      <c r="E2086" s="303">
        <v>250121</v>
      </c>
    </row>
    <row r="2087" spans="1:12">
      <c r="B2087" s="311">
        <v>1017</v>
      </c>
      <c r="C2087" s="302">
        <v>30550022</v>
      </c>
      <c r="D2087" s="303" t="s">
        <v>737</v>
      </c>
      <c r="E2087" s="303">
        <v>250121</v>
      </c>
    </row>
    <row r="2088" spans="1:12">
      <c r="B2088" s="312">
        <v>1017</v>
      </c>
      <c r="C2088" s="286">
        <v>305007</v>
      </c>
      <c r="D2088" s="10" t="s">
        <v>737</v>
      </c>
      <c r="I2088" s="286">
        <v>305007</v>
      </c>
      <c r="J2088" s="286" t="s">
        <v>1213</v>
      </c>
      <c r="K2088" s="286">
        <v>1</v>
      </c>
      <c r="L2088" s="287" t="s">
        <v>1828</v>
      </c>
    </row>
    <row r="2089" spans="1:12">
      <c r="B2089" s="312">
        <v>1017</v>
      </c>
      <c r="C2089" s="286">
        <v>305008</v>
      </c>
      <c r="D2089" s="10" t="s">
        <v>737</v>
      </c>
      <c r="I2089" s="286">
        <v>305008</v>
      </c>
      <c r="J2089" s="286" t="s">
        <v>1217</v>
      </c>
      <c r="K2089" s="286">
        <v>1</v>
      </c>
      <c r="L2089" s="287" t="s">
        <v>1828</v>
      </c>
    </row>
    <row r="2090" spans="1:12">
      <c r="B2090" s="312">
        <v>1017</v>
      </c>
      <c r="C2090" s="286">
        <v>305009</v>
      </c>
      <c r="D2090" s="10" t="s">
        <v>737</v>
      </c>
      <c r="I2090" s="286">
        <v>305009</v>
      </c>
      <c r="J2090" s="286" t="s">
        <v>1220</v>
      </c>
      <c r="K2090" s="286">
        <v>1</v>
      </c>
      <c r="L2090" s="287" t="s">
        <v>1828</v>
      </c>
    </row>
    <row r="2091" spans="1:12">
      <c r="B2091" s="312">
        <v>1017</v>
      </c>
      <c r="C2091" s="286">
        <v>305023</v>
      </c>
      <c r="D2091" s="10" t="s">
        <v>737</v>
      </c>
      <c r="I2091" s="286">
        <v>305023</v>
      </c>
      <c r="J2091" s="286" t="s">
        <v>1277</v>
      </c>
      <c r="K2091" s="286">
        <v>1</v>
      </c>
      <c r="L2091" s="287" t="s">
        <v>1828</v>
      </c>
    </row>
    <row r="2092" spans="1:12">
      <c r="B2092" s="312">
        <v>1017</v>
      </c>
      <c r="C2092" s="286">
        <v>305034</v>
      </c>
      <c r="D2092" s="10" t="s">
        <v>737</v>
      </c>
      <c r="I2092" s="286">
        <v>305034</v>
      </c>
      <c r="J2092" s="286" t="s">
        <v>222</v>
      </c>
      <c r="K2092" s="286">
        <v>1</v>
      </c>
      <c r="L2092" s="287" t="s">
        <v>1828</v>
      </c>
    </row>
    <row r="2093" spans="1:12">
      <c r="B2093" s="312">
        <v>1017</v>
      </c>
      <c r="C2093" s="286">
        <v>305035</v>
      </c>
      <c r="D2093" s="10" t="s">
        <v>737</v>
      </c>
      <c r="I2093" s="286">
        <v>305035</v>
      </c>
      <c r="J2093" s="286" t="s">
        <v>227</v>
      </c>
      <c r="K2093" s="286">
        <v>1</v>
      </c>
      <c r="L2093" s="287" t="s">
        <v>1828</v>
      </c>
    </row>
    <row r="2094" spans="1:12">
      <c r="B2094" s="312">
        <v>1017</v>
      </c>
      <c r="C2094" s="286">
        <v>305036</v>
      </c>
      <c r="D2094" s="10" t="s">
        <v>737</v>
      </c>
      <c r="I2094" s="286">
        <v>305036</v>
      </c>
      <c r="J2094" s="286" t="s">
        <v>232</v>
      </c>
      <c r="K2094" s="286">
        <v>1</v>
      </c>
      <c r="L2094" s="287" t="s">
        <v>1828</v>
      </c>
    </row>
    <row r="2095" spans="1:12">
      <c r="B2095" s="312">
        <v>1017</v>
      </c>
      <c r="C2095" s="286">
        <v>305039</v>
      </c>
      <c r="D2095" s="10" t="s">
        <v>737</v>
      </c>
      <c r="I2095" s="286">
        <v>305039</v>
      </c>
      <c r="J2095" s="286" t="s">
        <v>1829</v>
      </c>
      <c r="K2095" s="286">
        <v>1</v>
      </c>
      <c r="L2095" s="287" t="s">
        <v>1828</v>
      </c>
    </row>
    <row r="2096" spans="1:12">
      <c r="B2096" s="312">
        <v>1017</v>
      </c>
      <c r="C2096" s="286">
        <v>305040</v>
      </c>
      <c r="D2096" s="10" t="s">
        <v>737</v>
      </c>
      <c r="I2096" s="286">
        <v>305040</v>
      </c>
      <c r="J2096" s="286" t="s">
        <v>277</v>
      </c>
      <c r="K2096" s="286">
        <v>1</v>
      </c>
      <c r="L2096" s="287" t="s">
        <v>1828</v>
      </c>
    </row>
    <row r="2097" spans="2:12">
      <c r="B2097" s="312">
        <v>1017</v>
      </c>
      <c r="C2097" s="286">
        <v>305200</v>
      </c>
      <c r="D2097" s="10" t="s">
        <v>737</v>
      </c>
      <c r="I2097" s="286">
        <v>305200</v>
      </c>
      <c r="J2097" s="286" t="s">
        <v>313</v>
      </c>
      <c r="K2097" s="286">
        <v>1</v>
      </c>
      <c r="L2097" s="287" t="s">
        <v>1828</v>
      </c>
    </row>
    <row r="2098" spans="2:12">
      <c r="B2098" s="312">
        <v>1017</v>
      </c>
      <c r="C2098" s="288">
        <v>305224</v>
      </c>
      <c r="D2098" s="10" t="s">
        <v>737</v>
      </c>
      <c r="I2098" s="288">
        <v>305224</v>
      </c>
      <c r="J2098" s="10" t="s">
        <v>1890</v>
      </c>
      <c r="K2098" s="286">
        <v>1</v>
      </c>
      <c r="L2098" s="287" t="s">
        <v>1828</v>
      </c>
    </row>
    <row r="2099" spans="2:12">
      <c r="B2099" s="312">
        <v>1017</v>
      </c>
      <c r="C2099" s="288">
        <v>305225</v>
      </c>
      <c r="D2099" s="10" t="s">
        <v>737</v>
      </c>
      <c r="I2099" s="288">
        <v>305225</v>
      </c>
      <c r="J2099" s="10" t="s">
        <v>1888</v>
      </c>
      <c r="K2099" s="286">
        <v>1</v>
      </c>
      <c r="L2099" s="287" t="s">
        <v>1828</v>
      </c>
    </row>
    <row r="2100" spans="2:12">
      <c r="B2100" s="312">
        <v>1017</v>
      </c>
      <c r="C2100" s="288">
        <v>305226</v>
      </c>
      <c r="D2100" s="10" t="s">
        <v>737</v>
      </c>
      <c r="I2100" s="288">
        <v>305226</v>
      </c>
      <c r="J2100" s="10" t="s">
        <v>1891</v>
      </c>
      <c r="K2100" s="286">
        <v>1</v>
      </c>
      <c r="L2100" s="287" t="s">
        <v>1828</v>
      </c>
    </row>
    <row r="2101" spans="2:12">
      <c r="B2101" s="312">
        <v>1017</v>
      </c>
      <c r="C2101" s="289">
        <v>305010</v>
      </c>
      <c r="D2101" s="10" t="s">
        <v>737</v>
      </c>
      <c r="I2101" s="289">
        <v>305010</v>
      </c>
      <c r="J2101" s="289" t="s">
        <v>1223</v>
      </c>
      <c r="K2101" s="289">
        <v>2</v>
      </c>
      <c r="L2101" s="290" t="s">
        <v>1830</v>
      </c>
    </row>
    <row r="2102" spans="2:12">
      <c r="B2102" s="312">
        <v>1017</v>
      </c>
      <c r="C2102" s="289">
        <v>305021</v>
      </c>
      <c r="D2102" s="10" t="s">
        <v>737</v>
      </c>
      <c r="I2102" s="289">
        <v>305021</v>
      </c>
      <c r="J2102" s="289" t="s">
        <v>1270</v>
      </c>
      <c r="K2102" s="289">
        <v>2</v>
      </c>
      <c r="L2102" s="290" t="s">
        <v>1830</v>
      </c>
    </row>
    <row r="2103" spans="2:12">
      <c r="B2103" s="312">
        <v>1017</v>
      </c>
      <c r="C2103" s="289">
        <v>305022</v>
      </c>
      <c r="D2103" s="10" t="s">
        <v>737</v>
      </c>
      <c r="I2103" s="289">
        <v>305022</v>
      </c>
      <c r="J2103" s="289" t="s">
        <v>1273</v>
      </c>
      <c r="K2103" s="289">
        <v>2</v>
      </c>
      <c r="L2103" s="290" t="s">
        <v>1830</v>
      </c>
    </row>
    <row r="2104" spans="2:12">
      <c r="B2104" s="312">
        <v>1017</v>
      </c>
      <c r="C2104" s="289">
        <v>305032</v>
      </c>
      <c r="D2104" s="10" t="s">
        <v>737</v>
      </c>
      <c r="I2104" s="289">
        <v>305032</v>
      </c>
      <c r="J2104" s="289" t="s">
        <v>213</v>
      </c>
      <c r="K2104" s="289">
        <v>2</v>
      </c>
      <c r="L2104" s="290" t="s">
        <v>1830</v>
      </c>
    </row>
    <row r="2105" spans="2:12">
      <c r="B2105" s="312">
        <v>1017</v>
      </c>
      <c r="C2105" s="289">
        <v>305033</v>
      </c>
      <c r="D2105" s="10" t="s">
        <v>737</v>
      </c>
      <c r="I2105" s="289">
        <v>305033</v>
      </c>
      <c r="J2105" s="289" t="s">
        <v>217</v>
      </c>
      <c r="K2105" s="289">
        <v>2</v>
      </c>
      <c r="L2105" s="290" t="s">
        <v>1830</v>
      </c>
    </row>
    <row r="2106" spans="2:12">
      <c r="B2106" s="312">
        <v>1017</v>
      </c>
      <c r="C2106" s="289">
        <v>305037</v>
      </c>
      <c r="D2106" s="10" t="s">
        <v>737</v>
      </c>
      <c r="I2106" s="289">
        <v>305037</v>
      </c>
      <c r="J2106" s="289" t="s">
        <v>264</v>
      </c>
      <c r="K2106" s="289">
        <v>2</v>
      </c>
      <c r="L2106" s="290" t="s">
        <v>1830</v>
      </c>
    </row>
    <row r="2107" spans="2:12">
      <c r="B2107" s="312">
        <v>1017</v>
      </c>
      <c r="C2107" s="289">
        <v>305038</v>
      </c>
      <c r="D2107" s="10" t="s">
        <v>737</v>
      </c>
      <c r="I2107" s="289">
        <v>305038</v>
      </c>
      <c r="J2107" s="289" t="s">
        <v>268</v>
      </c>
      <c r="K2107" s="289">
        <v>2</v>
      </c>
      <c r="L2107" s="290" t="s">
        <v>1830</v>
      </c>
    </row>
    <row r="2108" spans="2:12">
      <c r="B2108" s="312">
        <v>1017</v>
      </c>
      <c r="C2108" s="289">
        <v>305300</v>
      </c>
      <c r="D2108" s="10" t="s">
        <v>737</v>
      </c>
      <c r="I2108" s="289">
        <v>305300</v>
      </c>
      <c r="J2108" s="289" t="s">
        <v>318</v>
      </c>
      <c r="K2108" s="289">
        <v>2</v>
      </c>
      <c r="L2108" s="290" t="s">
        <v>1830</v>
      </c>
    </row>
    <row r="2109" spans="2:12">
      <c r="B2109" s="312">
        <v>1017</v>
      </c>
      <c r="C2109" s="288">
        <v>305324</v>
      </c>
      <c r="D2109" s="10" t="s">
        <v>737</v>
      </c>
      <c r="I2109" s="288">
        <v>305324</v>
      </c>
      <c r="J2109" s="10" t="s">
        <v>1887</v>
      </c>
      <c r="K2109" s="289">
        <v>2</v>
      </c>
      <c r="L2109" s="290" t="s">
        <v>1830</v>
      </c>
    </row>
    <row r="2110" spans="2:12">
      <c r="B2110" s="312">
        <v>1017</v>
      </c>
      <c r="C2110" s="288">
        <v>305325</v>
      </c>
      <c r="D2110" s="10" t="s">
        <v>737</v>
      </c>
      <c r="I2110" s="288">
        <v>305325</v>
      </c>
      <c r="J2110" s="10" t="s">
        <v>1888</v>
      </c>
      <c r="K2110" s="289">
        <v>2</v>
      </c>
      <c r="L2110" s="290" t="s">
        <v>1830</v>
      </c>
    </row>
    <row r="2111" spans="2:12">
      <c r="B2111" s="312">
        <v>1017</v>
      </c>
      <c r="C2111" s="288">
        <v>305326</v>
      </c>
      <c r="D2111" s="10" t="s">
        <v>737</v>
      </c>
      <c r="I2111" s="288">
        <v>305326</v>
      </c>
      <c r="J2111" s="10" t="s">
        <v>1889</v>
      </c>
      <c r="K2111" s="289">
        <v>2</v>
      </c>
      <c r="L2111" s="290" t="s">
        <v>1830</v>
      </c>
    </row>
    <row r="2112" spans="2:12">
      <c r="B2112" s="312">
        <v>1017</v>
      </c>
      <c r="C2112" s="291">
        <v>305001</v>
      </c>
      <c r="D2112" s="10" t="s">
        <v>737</v>
      </c>
      <c r="I2112" s="291">
        <v>305001</v>
      </c>
      <c r="J2112" s="291" t="s">
        <v>176</v>
      </c>
      <c r="K2112" s="291">
        <v>0</v>
      </c>
      <c r="L2112" s="292" t="s">
        <v>1827</v>
      </c>
    </row>
    <row r="2113" spans="2:22">
      <c r="B2113" s="312">
        <v>1017</v>
      </c>
      <c r="C2113" s="291">
        <v>305002</v>
      </c>
      <c r="D2113" s="10" t="s">
        <v>737</v>
      </c>
      <c r="I2113" s="291">
        <v>305002</v>
      </c>
      <c r="J2113" s="291" t="s">
        <v>181</v>
      </c>
      <c r="K2113" s="291">
        <v>0</v>
      </c>
      <c r="L2113" s="292" t="s">
        <v>1827</v>
      </c>
    </row>
    <row r="2114" spans="2:22">
      <c r="B2114" s="312">
        <v>1017</v>
      </c>
      <c r="C2114" s="291">
        <v>305003</v>
      </c>
      <c r="D2114" s="10" t="s">
        <v>737</v>
      </c>
      <c r="I2114" s="291">
        <v>305003</v>
      </c>
      <c r="J2114" s="291" t="s">
        <v>186</v>
      </c>
      <c r="K2114" s="291">
        <v>0</v>
      </c>
      <c r="L2114" s="292" t="s">
        <v>1827</v>
      </c>
    </row>
    <row r="2115" spans="2:22">
      <c r="B2115" s="312">
        <v>1017</v>
      </c>
      <c r="C2115" s="291">
        <v>305018</v>
      </c>
      <c r="D2115" s="10" t="s">
        <v>737</v>
      </c>
      <c r="I2115" s="291">
        <v>305018</v>
      </c>
      <c r="J2115" s="291" t="s">
        <v>191</v>
      </c>
      <c r="K2115" s="291">
        <v>0</v>
      </c>
      <c r="L2115" s="292" t="s">
        <v>1827</v>
      </c>
    </row>
    <row r="2116" spans="2:22">
      <c r="B2116" s="312">
        <v>1017</v>
      </c>
      <c r="C2116" s="291">
        <v>305019</v>
      </c>
      <c r="D2116" s="10" t="s">
        <v>737</v>
      </c>
      <c r="I2116" s="291">
        <v>305019</v>
      </c>
      <c r="J2116" s="291" t="s">
        <v>196</v>
      </c>
      <c r="K2116" s="291">
        <v>0</v>
      </c>
      <c r="L2116" s="292" t="s">
        <v>1827</v>
      </c>
    </row>
    <row r="2117" spans="2:22">
      <c r="B2117" s="312">
        <v>1017</v>
      </c>
      <c r="C2117" s="291">
        <v>305041</v>
      </c>
      <c r="D2117" s="10" t="s">
        <v>737</v>
      </c>
      <c r="I2117" s="291">
        <v>305041</v>
      </c>
      <c r="J2117" s="291" t="s">
        <v>282</v>
      </c>
      <c r="K2117" s="291">
        <v>0</v>
      </c>
      <c r="L2117" s="292" t="s">
        <v>1827</v>
      </c>
    </row>
    <row r="2118" spans="2:22">
      <c r="B2118" s="312">
        <v>1017</v>
      </c>
      <c r="C2118" s="291">
        <v>305042</v>
      </c>
      <c r="D2118" s="10" t="s">
        <v>737</v>
      </c>
      <c r="I2118" s="291">
        <v>305042</v>
      </c>
      <c r="J2118" s="291" t="s">
        <v>287</v>
      </c>
      <c r="K2118" s="291">
        <v>0</v>
      </c>
      <c r="L2118" s="292" t="s">
        <v>1827</v>
      </c>
    </row>
    <row r="2119" spans="2:22">
      <c r="B2119" s="312">
        <v>1017</v>
      </c>
      <c r="C2119" s="291">
        <v>305600</v>
      </c>
      <c r="D2119" s="10" t="s">
        <v>737</v>
      </c>
      <c r="I2119" s="291">
        <v>305600</v>
      </c>
      <c r="J2119" s="291" t="s">
        <v>323</v>
      </c>
      <c r="K2119" s="291">
        <v>0</v>
      </c>
      <c r="L2119" s="292" t="s">
        <v>1827</v>
      </c>
    </row>
    <row r="2120" spans="2:22">
      <c r="B2120" s="312">
        <v>1017</v>
      </c>
      <c r="C2120" s="288">
        <v>305623</v>
      </c>
      <c r="D2120" s="10" t="s">
        <v>737</v>
      </c>
      <c r="I2120" s="288">
        <v>305623</v>
      </c>
      <c r="J2120" s="10" t="s">
        <v>1864</v>
      </c>
      <c r="K2120" s="291">
        <v>0</v>
      </c>
      <c r="L2120" s="292" t="s">
        <v>1827</v>
      </c>
    </row>
    <row r="2121" spans="2:22">
      <c r="B2121" s="312">
        <v>1017</v>
      </c>
      <c r="C2121" s="288">
        <v>305624</v>
      </c>
      <c r="D2121" s="10" t="s">
        <v>737</v>
      </c>
      <c r="I2121" s="288">
        <v>305624</v>
      </c>
      <c r="J2121" s="10" t="s">
        <v>1865</v>
      </c>
      <c r="K2121" s="291">
        <v>0</v>
      </c>
      <c r="L2121" s="292" t="s">
        <v>1827</v>
      </c>
    </row>
    <row r="2122" spans="2:22">
      <c r="B2122" s="312">
        <v>1017</v>
      </c>
      <c r="C2122" s="288">
        <v>305625</v>
      </c>
      <c r="D2122" s="10" t="s">
        <v>737</v>
      </c>
      <c r="I2122" s="288">
        <v>305625</v>
      </c>
      <c r="J2122" s="10" t="s">
        <v>1866</v>
      </c>
      <c r="K2122" s="291">
        <v>0</v>
      </c>
      <c r="L2122" s="292" t="s">
        <v>1827</v>
      </c>
    </row>
    <row r="2123" spans="2:22">
      <c r="B2123" s="312">
        <v>1017</v>
      </c>
      <c r="C2123" s="288">
        <v>305626</v>
      </c>
      <c r="D2123" s="10" t="s">
        <v>737</v>
      </c>
      <c r="I2123" s="288">
        <v>305626</v>
      </c>
      <c r="J2123" s="10" t="s">
        <v>1867</v>
      </c>
      <c r="K2123" s="291">
        <v>0</v>
      </c>
      <c r="L2123" s="292" t="s">
        <v>1827</v>
      </c>
    </row>
    <row r="2124" spans="2:22">
      <c r="B2124" s="312">
        <v>1017</v>
      </c>
      <c r="C2124" s="293">
        <v>305012</v>
      </c>
      <c r="D2124" s="10" t="s">
        <v>737</v>
      </c>
      <c r="I2124" s="293">
        <v>305012</v>
      </c>
      <c r="J2124" s="293" t="s">
        <v>1230</v>
      </c>
      <c r="K2124" s="293">
        <v>6</v>
      </c>
      <c r="L2124" s="294" t="s">
        <v>1833</v>
      </c>
    </row>
    <row r="2125" spans="2:22">
      <c r="B2125" s="312">
        <v>1017</v>
      </c>
      <c r="C2125" s="293">
        <v>305013</v>
      </c>
      <c r="D2125" s="10" t="s">
        <v>737</v>
      </c>
      <c r="I2125" s="293">
        <v>305013</v>
      </c>
      <c r="J2125" s="293" t="s">
        <v>1237</v>
      </c>
      <c r="K2125" s="293">
        <v>6</v>
      </c>
      <c r="L2125" s="294" t="s">
        <v>1833</v>
      </c>
    </row>
    <row r="2126" spans="2:22">
      <c r="B2126" s="312">
        <v>1017</v>
      </c>
      <c r="C2126" s="293">
        <v>305014</v>
      </c>
      <c r="D2126" s="10" t="s">
        <v>737</v>
      </c>
      <c r="I2126" s="293">
        <v>305014</v>
      </c>
      <c r="J2126" s="293" t="s">
        <v>1241</v>
      </c>
      <c r="K2126" s="293">
        <v>6</v>
      </c>
      <c r="L2126" s="294" t="s">
        <v>1833</v>
      </c>
    </row>
    <row r="2127" spans="2:22" s="285" customFormat="1">
      <c r="B2127" s="312">
        <v>1017</v>
      </c>
      <c r="C2127" s="293">
        <v>305046</v>
      </c>
      <c r="D2127" s="285" t="s">
        <v>737</v>
      </c>
      <c r="G2127" s="10"/>
      <c r="H2127" s="10"/>
      <c r="I2127" s="293">
        <v>305046</v>
      </c>
      <c r="J2127" s="293" t="s">
        <v>309</v>
      </c>
      <c r="K2127" s="293">
        <v>6</v>
      </c>
      <c r="L2127" s="294" t="s">
        <v>1833</v>
      </c>
      <c r="M2127" s="10"/>
      <c r="R2127" s="10"/>
      <c r="S2127" s="10"/>
      <c r="T2127" s="10"/>
      <c r="U2127" s="10"/>
      <c r="V2127" s="10"/>
    </row>
    <row r="2128" spans="2:22">
      <c r="B2128" s="312">
        <v>1017</v>
      </c>
      <c r="C2128" s="288">
        <v>305815</v>
      </c>
      <c r="D2128" s="10" t="s">
        <v>737</v>
      </c>
      <c r="I2128" s="288">
        <v>305815</v>
      </c>
      <c r="J2128" s="10" t="s">
        <v>1868</v>
      </c>
      <c r="K2128" s="293">
        <v>6</v>
      </c>
      <c r="L2128" s="294" t="s">
        <v>1833</v>
      </c>
    </row>
    <row r="2129" spans="2:22">
      <c r="B2129" s="312">
        <v>1017</v>
      </c>
      <c r="C2129" s="288">
        <v>305816</v>
      </c>
      <c r="D2129" s="10" t="s">
        <v>737</v>
      </c>
      <c r="I2129" s="288">
        <v>305816</v>
      </c>
      <c r="J2129" s="10" t="s">
        <v>1869</v>
      </c>
      <c r="K2129" s="293">
        <v>6</v>
      </c>
      <c r="L2129" s="294" t="s">
        <v>1833</v>
      </c>
    </row>
    <row r="2130" spans="2:22">
      <c r="B2130" s="312">
        <v>1017</v>
      </c>
      <c r="C2130" s="288">
        <v>305817</v>
      </c>
      <c r="D2130" s="10" t="s">
        <v>737</v>
      </c>
      <c r="I2130" s="288">
        <v>305817</v>
      </c>
      <c r="J2130" s="10" t="s">
        <v>1870</v>
      </c>
      <c r="K2130" s="293">
        <v>6</v>
      </c>
      <c r="L2130" s="294" t="s">
        <v>1833</v>
      </c>
    </row>
    <row r="2131" spans="2:22" s="285" customFormat="1">
      <c r="B2131" s="312">
        <v>1017</v>
      </c>
      <c r="C2131" s="288">
        <v>305818</v>
      </c>
      <c r="D2131" s="285" t="s">
        <v>737</v>
      </c>
      <c r="G2131" s="10"/>
      <c r="H2131" s="10"/>
      <c r="I2131" s="288">
        <v>305818</v>
      </c>
      <c r="J2131" s="10" t="s">
        <v>1871</v>
      </c>
      <c r="K2131" s="293">
        <v>6</v>
      </c>
      <c r="L2131" s="294" t="s">
        <v>1833</v>
      </c>
      <c r="M2131" s="10"/>
      <c r="R2131" s="10"/>
      <c r="S2131" s="10"/>
      <c r="T2131" s="10"/>
      <c r="U2131" s="10"/>
      <c r="V2131" s="10"/>
    </row>
    <row r="2132" spans="2:22">
      <c r="B2132" s="312">
        <v>1017</v>
      </c>
      <c r="C2132" s="288">
        <v>305819</v>
      </c>
      <c r="D2132" s="10" t="s">
        <v>737</v>
      </c>
      <c r="I2132" s="288">
        <v>305819</v>
      </c>
      <c r="J2132" s="10" t="s">
        <v>1872</v>
      </c>
      <c r="K2132" s="293">
        <v>6</v>
      </c>
      <c r="L2132" s="294" t="s">
        <v>1833</v>
      </c>
    </row>
    <row r="2133" spans="2:22" s="285" customFormat="1">
      <c r="B2133" s="312">
        <v>1017</v>
      </c>
      <c r="C2133" s="288">
        <v>305820</v>
      </c>
      <c r="D2133" s="285" t="s">
        <v>737</v>
      </c>
      <c r="G2133" s="10"/>
      <c r="H2133" s="10"/>
      <c r="I2133" s="288">
        <v>305820</v>
      </c>
      <c r="J2133" s="10" t="s">
        <v>1873</v>
      </c>
      <c r="K2133" s="293">
        <v>6</v>
      </c>
      <c r="L2133" s="294" t="s">
        <v>1833</v>
      </c>
      <c r="M2133" s="10"/>
      <c r="R2133" s="10"/>
      <c r="S2133" s="10"/>
      <c r="T2133" s="10"/>
      <c r="U2133" s="10"/>
      <c r="V2133" s="10"/>
    </row>
    <row r="2134" spans="2:22">
      <c r="B2134" s="312">
        <v>1017</v>
      </c>
      <c r="C2134" s="295">
        <v>305015</v>
      </c>
      <c r="D2134" s="10" t="s">
        <v>737</v>
      </c>
      <c r="I2134" s="295">
        <v>305015</v>
      </c>
      <c r="J2134" s="295" t="s">
        <v>1245</v>
      </c>
      <c r="K2134" s="295">
        <v>7</v>
      </c>
      <c r="L2134" s="296" t="s">
        <v>538</v>
      </c>
    </row>
    <row r="2135" spans="2:22">
      <c r="B2135" s="312">
        <v>1017</v>
      </c>
      <c r="C2135" s="295">
        <v>305016</v>
      </c>
      <c r="D2135" s="10" t="s">
        <v>737</v>
      </c>
      <c r="I2135" s="295">
        <v>305016</v>
      </c>
      <c r="J2135" s="295" t="s">
        <v>1251</v>
      </c>
      <c r="K2135" s="295">
        <v>7</v>
      </c>
      <c r="L2135" s="296" t="s">
        <v>538</v>
      </c>
    </row>
    <row r="2136" spans="2:22">
      <c r="B2136" s="312">
        <v>1017</v>
      </c>
      <c r="C2136" s="295">
        <v>305017</v>
      </c>
      <c r="D2136" s="10" t="s">
        <v>737</v>
      </c>
      <c r="I2136" s="295">
        <v>305017</v>
      </c>
      <c r="J2136" s="295" t="s">
        <v>1255</v>
      </c>
      <c r="K2136" s="295">
        <v>7</v>
      </c>
      <c r="L2136" s="296" t="s">
        <v>538</v>
      </c>
    </row>
    <row r="2137" spans="2:22">
      <c r="B2137" s="312">
        <v>1017</v>
      </c>
      <c r="C2137" s="295">
        <v>305700</v>
      </c>
      <c r="D2137" s="10" t="s">
        <v>737</v>
      </c>
      <c r="I2137" s="295">
        <v>305700</v>
      </c>
      <c r="J2137" s="295" t="s">
        <v>328</v>
      </c>
      <c r="K2137" s="295">
        <v>7</v>
      </c>
      <c r="L2137" s="296" t="s">
        <v>538</v>
      </c>
    </row>
    <row r="2138" spans="2:22">
      <c r="B2138" s="312">
        <v>1017</v>
      </c>
      <c r="C2138" s="288">
        <v>305719</v>
      </c>
      <c r="D2138" s="10" t="s">
        <v>737</v>
      </c>
      <c r="I2138" s="288">
        <v>305719</v>
      </c>
      <c r="J2138" s="10" t="s">
        <v>1874</v>
      </c>
      <c r="K2138" s="295">
        <v>7</v>
      </c>
      <c r="L2138" s="296" t="s">
        <v>538</v>
      </c>
    </row>
    <row r="2139" spans="2:22">
      <c r="B2139" s="312">
        <v>1017</v>
      </c>
      <c r="C2139" s="288">
        <v>305720</v>
      </c>
      <c r="D2139" s="10" t="s">
        <v>737</v>
      </c>
      <c r="I2139" s="288">
        <v>305720</v>
      </c>
      <c r="J2139" s="10" t="s">
        <v>1875</v>
      </c>
      <c r="K2139" s="295">
        <v>7</v>
      </c>
      <c r="L2139" s="296" t="s">
        <v>538</v>
      </c>
    </row>
    <row r="2140" spans="2:22">
      <c r="B2140" s="312">
        <v>1017</v>
      </c>
      <c r="C2140" s="288">
        <v>305721</v>
      </c>
      <c r="D2140" s="10" t="s">
        <v>737</v>
      </c>
      <c r="I2140" s="288">
        <v>305721</v>
      </c>
      <c r="J2140" s="10" t="s">
        <v>1876</v>
      </c>
      <c r="K2140" s="295">
        <v>7</v>
      </c>
      <c r="L2140" s="296" t="s">
        <v>538</v>
      </c>
    </row>
    <row r="2141" spans="2:22">
      <c r="B2141" s="312">
        <v>1017</v>
      </c>
      <c r="C2141" s="288">
        <v>305722</v>
      </c>
      <c r="D2141" s="10" t="s">
        <v>737</v>
      </c>
      <c r="I2141" s="288">
        <v>305722</v>
      </c>
      <c r="J2141" s="10" t="s">
        <v>1877</v>
      </c>
      <c r="K2141" s="295">
        <v>7</v>
      </c>
      <c r="L2141" s="296" t="s">
        <v>538</v>
      </c>
    </row>
    <row r="2142" spans="2:22">
      <c r="B2142" s="312">
        <v>1017</v>
      </c>
      <c r="C2142" s="288">
        <v>305723</v>
      </c>
      <c r="D2142" s="10" t="s">
        <v>737</v>
      </c>
      <c r="I2142" s="288">
        <v>305723</v>
      </c>
      <c r="J2142" s="10" t="s">
        <v>1878</v>
      </c>
      <c r="K2142" s="295">
        <v>7</v>
      </c>
      <c r="L2142" s="296" t="s">
        <v>538</v>
      </c>
    </row>
    <row r="2143" spans="2:22">
      <c r="B2143" s="312">
        <v>1017</v>
      </c>
      <c r="C2143" s="288">
        <v>305724</v>
      </c>
      <c r="D2143" s="10" t="s">
        <v>737</v>
      </c>
      <c r="I2143" s="288">
        <v>305724</v>
      </c>
      <c r="J2143" s="10" t="s">
        <v>1879</v>
      </c>
      <c r="K2143" s="295">
        <v>7</v>
      </c>
      <c r="L2143" s="296" t="s">
        <v>538</v>
      </c>
    </row>
    <row r="2144" spans="2:22">
      <c r="B2144" s="312">
        <v>1017</v>
      </c>
      <c r="C2144" s="297">
        <v>305011</v>
      </c>
      <c r="D2144" s="10" t="s">
        <v>737</v>
      </c>
      <c r="I2144" s="297">
        <v>305011</v>
      </c>
      <c r="J2144" s="297" t="s">
        <v>161</v>
      </c>
      <c r="K2144" s="297">
        <v>3</v>
      </c>
      <c r="L2144" s="298" t="s">
        <v>1831</v>
      </c>
    </row>
    <row r="2145" spans="1:22">
      <c r="B2145" s="312">
        <v>1017</v>
      </c>
      <c r="C2145" s="299">
        <v>305025</v>
      </c>
      <c r="D2145" s="10" t="s">
        <v>737</v>
      </c>
      <c r="I2145" s="299">
        <v>305025</v>
      </c>
      <c r="J2145" s="299" t="s">
        <v>200</v>
      </c>
      <c r="K2145" s="299">
        <v>4</v>
      </c>
      <c r="L2145" s="300" t="s">
        <v>1832</v>
      </c>
    </row>
    <row r="2146" spans="1:22" s="285" customFormat="1">
      <c r="A2146" s="10"/>
      <c r="B2146" s="312">
        <v>1017</v>
      </c>
      <c r="C2146" s="299">
        <v>305026</v>
      </c>
      <c r="D2146" s="10" t="s">
        <v>737</v>
      </c>
      <c r="E2146" s="10"/>
      <c r="F2146" s="10"/>
      <c r="G2146" s="10"/>
      <c r="H2146" s="10"/>
      <c r="I2146" s="299">
        <v>305026</v>
      </c>
      <c r="J2146" s="299" t="s">
        <v>204</v>
      </c>
      <c r="K2146" s="299">
        <v>4</v>
      </c>
      <c r="L2146" s="300" t="s">
        <v>1832</v>
      </c>
      <c r="M2146" s="10"/>
      <c r="N2146" s="10"/>
      <c r="O2146" s="10"/>
      <c r="P2146" s="10"/>
      <c r="Q2146" s="10"/>
      <c r="R2146" s="10"/>
      <c r="S2146" s="10"/>
      <c r="T2146" s="10"/>
      <c r="U2146" s="10"/>
      <c r="V2146" s="10"/>
    </row>
    <row r="2147" spans="1:22" s="285" customFormat="1">
      <c r="A2147" s="10"/>
      <c r="B2147" s="312">
        <v>1017</v>
      </c>
      <c r="C2147" s="299">
        <v>305050</v>
      </c>
      <c r="D2147" s="10" t="s">
        <v>737</v>
      </c>
      <c r="E2147" s="10"/>
      <c r="F2147" s="10"/>
      <c r="G2147" s="10"/>
      <c r="H2147" s="10"/>
      <c r="I2147" s="299">
        <v>305050</v>
      </c>
      <c r="J2147" s="299" t="s">
        <v>300</v>
      </c>
      <c r="K2147" s="299">
        <v>4</v>
      </c>
      <c r="L2147" s="300" t="s">
        <v>1832</v>
      </c>
      <c r="M2147" s="10"/>
      <c r="N2147" s="10"/>
      <c r="O2147" s="10"/>
      <c r="P2147" s="10"/>
      <c r="Q2147" s="10"/>
      <c r="R2147" s="10"/>
      <c r="S2147" s="10"/>
      <c r="T2147" s="10"/>
      <c r="U2147" s="10"/>
      <c r="V2147" s="10"/>
    </row>
    <row r="2148" spans="1:22" s="285" customFormat="1">
      <c r="A2148" s="10"/>
      <c r="B2148" s="312">
        <v>1017</v>
      </c>
      <c r="C2148" s="299">
        <v>305051</v>
      </c>
      <c r="D2148" s="10" t="s">
        <v>737</v>
      </c>
      <c r="E2148" s="10"/>
      <c r="F2148" s="10"/>
      <c r="G2148" s="10"/>
      <c r="H2148" s="10"/>
      <c r="I2148" s="299">
        <v>305051</v>
      </c>
      <c r="J2148" s="299" t="s">
        <v>340</v>
      </c>
      <c r="K2148" s="299">
        <v>4</v>
      </c>
      <c r="L2148" s="300" t="s">
        <v>1832</v>
      </c>
      <c r="M2148" s="10"/>
      <c r="N2148" s="10"/>
      <c r="O2148" s="10"/>
      <c r="P2148" s="10"/>
      <c r="Q2148" s="10"/>
      <c r="R2148" s="10"/>
      <c r="S2148" s="10"/>
      <c r="T2148" s="10"/>
      <c r="U2148" s="10"/>
      <c r="V2148" s="10"/>
    </row>
    <row r="2149" spans="1:22">
      <c r="B2149" s="312">
        <v>1017</v>
      </c>
      <c r="C2149" s="288">
        <v>305055</v>
      </c>
      <c r="D2149" s="10" t="s">
        <v>737</v>
      </c>
      <c r="I2149" s="288">
        <v>305055</v>
      </c>
      <c r="J2149" s="10" t="s">
        <v>1880</v>
      </c>
      <c r="K2149" s="299">
        <v>4</v>
      </c>
      <c r="L2149" s="300" t="s">
        <v>1832</v>
      </c>
    </row>
    <row r="2150" spans="1:22" s="285" customFormat="1">
      <c r="A2150" s="10"/>
      <c r="B2150" s="312">
        <v>1017</v>
      </c>
      <c r="C2150" s="288">
        <v>305056</v>
      </c>
      <c r="D2150" s="10" t="s">
        <v>737</v>
      </c>
      <c r="E2150" s="10"/>
      <c r="F2150" s="10"/>
      <c r="G2150" s="10"/>
      <c r="H2150" s="10"/>
      <c r="I2150" s="288">
        <v>305056</v>
      </c>
      <c r="J2150" s="10" t="s">
        <v>1881</v>
      </c>
      <c r="K2150" s="299">
        <v>4</v>
      </c>
      <c r="L2150" s="300" t="s">
        <v>1832</v>
      </c>
      <c r="M2150" s="10"/>
      <c r="N2150" s="10"/>
      <c r="O2150" s="10"/>
      <c r="P2150" s="10"/>
      <c r="Q2150" s="10"/>
      <c r="R2150" s="10"/>
      <c r="S2150" s="10"/>
      <c r="T2150" s="10"/>
      <c r="U2150" s="10"/>
      <c r="V2150" s="10"/>
    </row>
    <row r="2151" spans="1:22" s="285" customFormat="1">
      <c r="A2151" s="10"/>
      <c r="B2151" s="312">
        <v>1017</v>
      </c>
      <c r="C2151" s="288">
        <v>306104</v>
      </c>
      <c r="D2151" s="10" t="s">
        <v>737</v>
      </c>
      <c r="E2151" s="10"/>
      <c r="F2151" s="10"/>
      <c r="G2151" s="10"/>
      <c r="H2151" s="10"/>
      <c r="I2151" s="288">
        <v>306104</v>
      </c>
      <c r="J2151" s="10" t="s">
        <v>1882</v>
      </c>
      <c r="K2151" s="299">
        <v>4</v>
      </c>
      <c r="L2151" s="300" t="s">
        <v>1886</v>
      </c>
      <c r="M2151" s="10"/>
      <c r="N2151" s="10"/>
      <c r="O2151" s="10"/>
      <c r="P2151" s="10"/>
      <c r="Q2151" s="10"/>
      <c r="R2151" s="10"/>
      <c r="S2151" s="10"/>
      <c r="T2151" s="10"/>
      <c r="U2151" s="10"/>
      <c r="V2151" s="10"/>
    </row>
    <row r="2152" spans="1:22" s="285" customFormat="1">
      <c r="A2152" s="10"/>
      <c r="B2152" s="312">
        <v>1017</v>
      </c>
      <c r="C2152" s="288">
        <v>306105</v>
      </c>
      <c r="D2152" s="10" t="s">
        <v>737</v>
      </c>
      <c r="E2152" s="10"/>
      <c r="F2152" s="10"/>
      <c r="G2152" s="10"/>
      <c r="H2152" s="10"/>
      <c r="I2152" s="288">
        <v>306105</v>
      </c>
      <c r="J2152" s="10" t="s">
        <v>1883</v>
      </c>
      <c r="K2152" s="299">
        <v>4</v>
      </c>
      <c r="L2152" s="300" t="s">
        <v>1886</v>
      </c>
      <c r="M2152" s="10"/>
      <c r="N2152" s="10"/>
      <c r="O2152" s="10"/>
      <c r="P2152" s="10"/>
      <c r="Q2152" s="10"/>
      <c r="R2152" s="10"/>
      <c r="S2152" s="10"/>
      <c r="T2152" s="10"/>
      <c r="U2152" s="10"/>
      <c r="V2152" s="10"/>
    </row>
    <row r="2153" spans="1:22" s="285" customFormat="1">
      <c r="A2153" s="10"/>
      <c r="B2153" s="312">
        <v>1017</v>
      </c>
      <c r="C2153" s="288">
        <v>306106</v>
      </c>
      <c r="D2153" s="10" t="s">
        <v>737</v>
      </c>
      <c r="E2153" s="10"/>
      <c r="F2153" s="10"/>
      <c r="G2153" s="10"/>
      <c r="H2153" s="10"/>
      <c r="I2153" s="288">
        <v>306106</v>
      </c>
      <c r="J2153" s="10" t="s">
        <v>1884</v>
      </c>
      <c r="K2153" s="299">
        <v>4</v>
      </c>
      <c r="L2153" s="300" t="s">
        <v>1886</v>
      </c>
      <c r="M2153" s="10"/>
      <c r="N2153" s="10"/>
      <c r="O2153" s="10"/>
      <c r="P2153" s="10"/>
      <c r="Q2153" s="10"/>
      <c r="R2153" s="10"/>
      <c r="S2153" s="10"/>
      <c r="T2153" s="10"/>
      <c r="U2153" s="10"/>
      <c r="V2153" s="10"/>
    </row>
    <row r="2154" spans="1:22" s="285" customFormat="1">
      <c r="A2154" s="10"/>
      <c r="B2154" s="312">
        <v>1017</v>
      </c>
      <c r="C2154" s="288">
        <v>306107</v>
      </c>
      <c r="D2154" s="10" t="s">
        <v>737</v>
      </c>
      <c r="E2154" s="10"/>
      <c r="F2154" s="10"/>
      <c r="G2154" s="10"/>
      <c r="H2154" s="10"/>
      <c r="I2154" s="288">
        <v>306107</v>
      </c>
      <c r="J2154" s="10" t="s">
        <v>1885</v>
      </c>
      <c r="K2154" s="299">
        <v>4</v>
      </c>
      <c r="L2154" s="300" t="s">
        <v>1886</v>
      </c>
      <c r="M2154" s="10"/>
      <c r="N2154" s="10"/>
      <c r="O2154" s="10"/>
      <c r="P2154" s="10"/>
      <c r="Q2154" s="10"/>
      <c r="R2154" s="10"/>
      <c r="S2154" s="10"/>
      <c r="T2154" s="10"/>
      <c r="U2154" s="10"/>
      <c r="V2154" s="10"/>
    </row>
    <row r="2155" spans="1:22">
      <c r="B2155" s="313">
        <v>1017</v>
      </c>
      <c r="C2155" s="282">
        <v>303012</v>
      </c>
      <c r="D2155" s="301" t="s">
        <v>38</v>
      </c>
    </row>
    <row r="2156" spans="1:22">
      <c r="B2156" s="313">
        <v>1017</v>
      </c>
      <c r="C2156" s="282">
        <v>303013</v>
      </c>
      <c r="D2156" s="301" t="s">
        <v>38</v>
      </c>
    </row>
    <row r="2157" spans="1:22" ht="13.5" customHeight="1">
      <c r="B2157" s="313">
        <v>1017</v>
      </c>
      <c r="C2157" s="282">
        <v>303022</v>
      </c>
      <c r="D2157" s="301" t="s">
        <v>38</v>
      </c>
    </row>
    <row r="2158" spans="1:22" ht="13.5" customHeight="1">
      <c r="B2158" s="313">
        <v>1017</v>
      </c>
      <c r="C2158" s="282">
        <v>303023</v>
      </c>
      <c r="D2158" s="301" t="s">
        <v>38</v>
      </c>
    </row>
    <row r="2159" spans="1:22" ht="13.5" customHeight="1">
      <c r="B2159" s="313">
        <v>1017</v>
      </c>
      <c r="C2159" s="282">
        <v>303032</v>
      </c>
      <c r="D2159" s="301" t="s">
        <v>38</v>
      </c>
    </row>
    <row r="2160" spans="1:22" ht="13.5" customHeight="1">
      <c r="B2160" s="313">
        <v>1017</v>
      </c>
      <c r="C2160" s="282">
        <v>303033</v>
      </c>
      <c r="D2160" s="301" t="s">
        <v>38</v>
      </c>
    </row>
    <row r="2161" spans="1:7" s="303" customFormat="1">
      <c r="A2161" s="10"/>
      <c r="B2161" s="313">
        <v>1017</v>
      </c>
      <c r="C2161" s="282">
        <v>303042</v>
      </c>
      <c r="D2161" s="301" t="s">
        <v>38</v>
      </c>
      <c r="E2161" s="10"/>
      <c r="G2161" s="10"/>
    </row>
    <row r="2162" spans="1:7" s="303" customFormat="1">
      <c r="A2162" s="10"/>
      <c r="B2162" s="313">
        <v>1017</v>
      </c>
      <c r="C2162" s="282">
        <v>303043</v>
      </c>
      <c r="D2162" s="301" t="s">
        <v>38</v>
      </c>
      <c r="E2162" s="10"/>
      <c r="G2162" s="10"/>
    </row>
    <row r="2163" spans="1:7" s="303" customFormat="1">
      <c r="A2163" s="10"/>
      <c r="B2163" s="313">
        <v>1017</v>
      </c>
      <c r="C2163" s="282">
        <v>303052</v>
      </c>
      <c r="D2163" s="301" t="s">
        <v>38</v>
      </c>
      <c r="E2163" s="10"/>
      <c r="G2163" s="10"/>
    </row>
    <row r="2164" spans="1:7">
      <c r="B2164" s="313">
        <v>1017</v>
      </c>
      <c r="C2164" s="282">
        <v>303053</v>
      </c>
      <c r="D2164" s="301" t="s">
        <v>38</v>
      </c>
    </row>
    <row r="2165" spans="1:7">
      <c r="B2165" s="313">
        <v>1017</v>
      </c>
      <c r="C2165" s="282">
        <v>303062</v>
      </c>
      <c r="D2165" s="301" t="s">
        <v>38</v>
      </c>
    </row>
    <row r="2166" spans="1:7">
      <c r="B2166" s="313">
        <v>1017</v>
      </c>
      <c r="C2166" s="282">
        <v>303063</v>
      </c>
      <c r="D2166" s="301" t="s">
        <v>38</v>
      </c>
    </row>
    <row r="2167" spans="1:7">
      <c r="B2167" s="313">
        <v>1017</v>
      </c>
      <c r="C2167" s="282">
        <v>303072</v>
      </c>
      <c r="D2167" s="301" t="s">
        <v>38</v>
      </c>
    </row>
    <row r="2168" spans="1:7">
      <c r="B2168" s="313">
        <v>1017</v>
      </c>
      <c r="C2168" s="282">
        <v>303073</v>
      </c>
      <c r="D2168" s="301" t="s">
        <v>38</v>
      </c>
    </row>
    <row r="2169" spans="1:7">
      <c r="B2169" s="313">
        <v>1017</v>
      </c>
      <c r="C2169" s="282">
        <v>303082</v>
      </c>
      <c r="D2169" s="301" t="s">
        <v>38</v>
      </c>
    </row>
    <row r="2170" spans="1:7">
      <c r="B2170" s="313">
        <v>1017</v>
      </c>
      <c r="C2170" s="282">
        <v>303083</v>
      </c>
      <c r="D2170" s="301" t="s">
        <v>38</v>
      </c>
    </row>
    <row r="2171" spans="1:7">
      <c r="B2171" s="309">
        <v>1018</v>
      </c>
      <c r="C2171" s="43">
        <v>200011</v>
      </c>
      <c r="D2171" s="10" t="s">
        <v>736</v>
      </c>
    </row>
    <row r="2172" spans="1:7">
      <c r="B2172" s="309">
        <v>1018</v>
      </c>
      <c r="C2172" s="43">
        <v>200012</v>
      </c>
      <c r="D2172" s="10" t="s">
        <v>736</v>
      </c>
    </row>
    <row r="2173" spans="1:7">
      <c r="B2173" s="309">
        <v>1018</v>
      </c>
      <c r="C2173" s="43">
        <v>200013</v>
      </c>
      <c r="D2173" s="10" t="s">
        <v>736</v>
      </c>
    </row>
    <row r="2174" spans="1:7">
      <c r="B2174" s="309">
        <v>1018</v>
      </c>
      <c r="C2174" s="43">
        <v>200014</v>
      </c>
      <c r="D2174" s="10" t="s">
        <v>736</v>
      </c>
    </row>
    <row r="2175" spans="1:7">
      <c r="B2175" s="309">
        <v>1018</v>
      </c>
      <c r="C2175" s="43">
        <v>200022</v>
      </c>
      <c r="D2175" s="10" t="s">
        <v>736</v>
      </c>
    </row>
    <row r="2176" spans="1:7">
      <c r="B2176" s="309">
        <v>1018</v>
      </c>
      <c r="C2176" s="43">
        <v>200023</v>
      </c>
      <c r="D2176" s="10" t="s">
        <v>736</v>
      </c>
    </row>
    <row r="2177" spans="1:8">
      <c r="B2177" s="309">
        <v>1018</v>
      </c>
      <c r="C2177" s="43">
        <v>200025</v>
      </c>
      <c r="D2177" s="10" t="s">
        <v>736</v>
      </c>
    </row>
    <row r="2178" spans="1:8">
      <c r="B2178" s="309">
        <v>1018</v>
      </c>
      <c r="C2178" s="43">
        <v>200027</v>
      </c>
      <c r="D2178" s="10" t="s">
        <v>736</v>
      </c>
    </row>
    <row r="2179" spans="1:8">
      <c r="B2179" s="309">
        <v>1018</v>
      </c>
      <c r="C2179" s="43">
        <v>200030</v>
      </c>
      <c r="D2179" s="10" t="s">
        <v>736</v>
      </c>
    </row>
    <row r="2180" spans="1:8">
      <c r="B2180" s="309">
        <v>1018</v>
      </c>
      <c r="C2180" s="43">
        <v>200031</v>
      </c>
      <c r="D2180" s="10" t="s">
        <v>736</v>
      </c>
    </row>
    <row r="2181" spans="1:8">
      <c r="B2181" s="309">
        <v>1018</v>
      </c>
      <c r="C2181" s="43">
        <v>200039</v>
      </c>
      <c r="D2181" s="10" t="s">
        <v>736</v>
      </c>
    </row>
    <row r="2182" spans="1:8">
      <c r="B2182" s="309">
        <v>1018</v>
      </c>
      <c r="C2182" s="43">
        <v>200045</v>
      </c>
      <c r="D2182" s="10" t="s">
        <v>736</v>
      </c>
    </row>
    <row r="2183" spans="1:8">
      <c r="B2183" s="309">
        <v>1018</v>
      </c>
      <c r="C2183" s="43">
        <v>200047</v>
      </c>
      <c r="D2183" s="10" t="s">
        <v>736</v>
      </c>
    </row>
    <row r="2184" spans="1:8">
      <c r="B2184" s="309">
        <v>1018</v>
      </c>
      <c r="C2184" s="43">
        <v>200049</v>
      </c>
      <c r="D2184" s="10" t="s">
        <v>736</v>
      </c>
    </row>
    <row r="2185" spans="1:8">
      <c r="B2185" s="309">
        <v>1018</v>
      </c>
      <c r="C2185" s="43">
        <v>200054</v>
      </c>
      <c r="D2185" s="10" t="s">
        <v>736</v>
      </c>
    </row>
    <row r="2186" spans="1:8">
      <c r="B2186" s="309">
        <v>1018</v>
      </c>
      <c r="C2186" s="43">
        <v>200060</v>
      </c>
      <c r="D2186" s="10" t="s">
        <v>736</v>
      </c>
      <c r="H2186" s="43"/>
    </row>
    <row r="2187" spans="1:8" ht="13.5" customHeight="1" thickBot="1">
      <c r="B2187" s="309">
        <v>1018</v>
      </c>
      <c r="C2187" s="43">
        <v>200075</v>
      </c>
      <c r="D2187" s="10" t="s">
        <v>736</v>
      </c>
    </row>
    <row r="2188" spans="1:8" ht="13.5" customHeight="1" thickBot="1">
      <c r="A2188" s="307" t="s">
        <v>2038</v>
      </c>
      <c r="B2188" s="309">
        <v>1018</v>
      </c>
      <c r="C2188" s="43">
        <v>200078</v>
      </c>
      <c r="D2188" s="270" t="s">
        <v>1842</v>
      </c>
    </row>
    <row r="2189" spans="1:8" ht="13.5" customHeight="1" thickBot="1">
      <c r="A2189" s="307" t="s">
        <v>2036</v>
      </c>
      <c r="B2189" s="309">
        <v>1018</v>
      </c>
      <c r="C2189" s="10">
        <v>200090</v>
      </c>
      <c r="D2189" s="270" t="s">
        <v>1842</v>
      </c>
    </row>
    <row r="2190" spans="1:8" ht="13.5" customHeight="1" thickBot="1">
      <c r="A2190" s="307" t="s">
        <v>2034</v>
      </c>
      <c r="B2190" s="309">
        <v>1018</v>
      </c>
      <c r="C2190" s="10">
        <v>200085</v>
      </c>
      <c r="D2190" s="270" t="s">
        <v>1842</v>
      </c>
    </row>
    <row r="2191" spans="1:8" ht="13.5" customHeight="1" thickBot="1">
      <c r="A2191" s="307" t="s">
        <v>2032</v>
      </c>
      <c r="B2191" s="309">
        <v>1018</v>
      </c>
      <c r="C2191" s="43">
        <v>200092</v>
      </c>
      <c r="D2191" s="270" t="s">
        <v>1842</v>
      </c>
    </row>
    <row r="2192" spans="1:8" ht="13.5" customHeight="1">
      <c r="A2192" s="81" t="s">
        <v>2042</v>
      </c>
      <c r="B2192" s="309">
        <v>1018</v>
      </c>
      <c r="C2192" s="43">
        <v>200096</v>
      </c>
      <c r="D2192" s="270" t="s">
        <v>1842</v>
      </c>
    </row>
    <row r="2193" spans="1:12" ht="13.5" customHeight="1">
      <c r="A2193" s="315" t="s">
        <v>2094</v>
      </c>
      <c r="B2193" s="309">
        <v>1018</v>
      </c>
      <c r="C2193" s="315">
        <v>200097</v>
      </c>
      <c r="D2193" s="315" t="s">
        <v>736</v>
      </c>
    </row>
    <row r="2194" spans="1:12">
      <c r="B2194" s="311">
        <v>1018</v>
      </c>
      <c r="C2194" s="302">
        <v>30580015</v>
      </c>
      <c r="D2194" s="303" t="s">
        <v>737</v>
      </c>
      <c r="E2194" s="303">
        <v>250121</v>
      </c>
    </row>
    <row r="2195" spans="1:12">
      <c r="B2195" s="311">
        <v>1018</v>
      </c>
      <c r="C2195" s="302">
        <v>30570009</v>
      </c>
      <c r="D2195" s="303" t="s">
        <v>737</v>
      </c>
      <c r="E2195" s="303">
        <v>250121</v>
      </c>
    </row>
    <row r="2196" spans="1:12">
      <c r="B2196" s="311">
        <v>1018</v>
      </c>
      <c r="C2196" s="302">
        <v>30560007</v>
      </c>
      <c r="D2196" s="303" t="s">
        <v>737</v>
      </c>
      <c r="E2196" s="303">
        <v>250121</v>
      </c>
    </row>
    <row r="2197" spans="1:12">
      <c r="B2197" s="311">
        <v>1018</v>
      </c>
      <c r="C2197" s="302">
        <v>30505005</v>
      </c>
      <c r="D2197" s="303" t="s">
        <v>737</v>
      </c>
      <c r="E2197" s="303">
        <v>250121</v>
      </c>
    </row>
    <row r="2198" spans="1:12">
      <c r="B2198" s="311">
        <v>1018</v>
      </c>
      <c r="C2198" s="302">
        <v>30550022</v>
      </c>
      <c r="D2198" s="303" t="s">
        <v>737</v>
      </c>
      <c r="E2198" s="303">
        <v>250121</v>
      </c>
    </row>
    <row r="2199" spans="1:12">
      <c r="B2199" s="312">
        <v>1018</v>
      </c>
      <c r="C2199" s="286">
        <v>305007</v>
      </c>
      <c r="D2199" s="10" t="s">
        <v>737</v>
      </c>
      <c r="I2199" s="286">
        <v>305007</v>
      </c>
      <c r="J2199" s="286" t="s">
        <v>1213</v>
      </c>
      <c r="K2199" s="286">
        <v>1</v>
      </c>
      <c r="L2199" s="287" t="s">
        <v>1828</v>
      </c>
    </row>
    <row r="2200" spans="1:12">
      <c r="B2200" s="312">
        <v>1018</v>
      </c>
      <c r="C2200" s="286">
        <v>305008</v>
      </c>
      <c r="D2200" s="10" t="s">
        <v>737</v>
      </c>
      <c r="I2200" s="286">
        <v>305008</v>
      </c>
      <c r="J2200" s="286" t="s">
        <v>1217</v>
      </c>
      <c r="K2200" s="286">
        <v>1</v>
      </c>
      <c r="L2200" s="287" t="s">
        <v>1828</v>
      </c>
    </row>
    <row r="2201" spans="1:12">
      <c r="B2201" s="312">
        <v>1018</v>
      </c>
      <c r="C2201" s="286">
        <v>305009</v>
      </c>
      <c r="D2201" s="10" t="s">
        <v>737</v>
      </c>
      <c r="I2201" s="286">
        <v>305009</v>
      </c>
      <c r="J2201" s="286" t="s">
        <v>1220</v>
      </c>
      <c r="K2201" s="286">
        <v>1</v>
      </c>
      <c r="L2201" s="287" t="s">
        <v>1828</v>
      </c>
    </row>
    <row r="2202" spans="1:12">
      <c r="B2202" s="312">
        <v>1018</v>
      </c>
      <c r="C2202" s="286">
        <v>305023</v>
      </c>
      <c r="D2202" s="10" t="s">
        <v>737</v>
      </c>
      <c r="I2202" s="286">
        <v>305023</v>
      </c>
      <c r="J2202" s="286" t="s">
        <v>1277</v>
      </c>
      <c r="K2202" s="286">
        <v>1</v>
      </c>
      <c r="L2202" s="287" t="s">
        <v>1828</v>
      </c>
    </row>
    <row r="2203" spans="1:12">
      <c r="B2203" s="312">
        <v>1018</v>
      </c>
      <c r="C2203" s="286">
        <v>305034</v>
      </c>
      <c r="D2203" s="10" t="s">
        <v>737</v>
      </c>
      <c r="I2203" s="286">
        <v>305034</v>
      </c>
      <c r="J2203" s="286" t="s">
        <v>222</v>
      </c>
      <c r="K2203" s="286">
        <v>1</v>
      </c>
      <c r="L2203" s="287" t="s">
        <v>1828</v>
      </c>
    </row>
    <row r="2204" spans="1:12">
      <c r="B2204" s="312">
        <v>1018</v>
      </c>
      <c r="C2204" s="286">
        <v>305035</v>
      </c>
      <c r="D2204" s="10" t="s">
        <v>737</v>
      </c>
      <c r="I2204" s="286">
        <v>305035</v>
      </c>
      <c r="J2204" s="286" t="s">
        <v>227</v>
      </c>
      <c r="K2204" s="286">
        <v>1</v>
      </c>
      <c r="L2204" s="287" t="s">
        <v>1828</v>
      </c>
    </row>
    <row r="2205" spans="1:12">
      <c r="B2205" s="312">
        <v>1018</v>
      </c>
      <c r="C2205" s="286">
        <v>305036</v>
      </c>
      <c r="D2205" s="10" t="s">
        <v>737</v>
      </c>
      <c r="I2205" s="286">
        <v>305036</v>
      </c>
      <c r="J2205" s="286" t="s">
        <v>232</v>
      </c>
      <c r="K2205" s="286">
        <v>1</v>
      </c>
      <c r="L2205" s="287" t="s">
        <v>1828</v>
      </c>
    </row>
    <row r="2206" spans="1:12">
      <c r="B2206" s="312">
        <v>1018</v>
      </c>
      <c r="C2206" s="286">
        <v>305039</v>
      </c>
      <c r="D2206" s="10" t="s">
        <v>737</v>
      </c>
      <c r="I2206" s="286">
        <v>305039</v>
      </c>
      <c r="J2206" s="286" t="s">
        <v>1829</v>
      </c>
      <c r="K2206" s="286">
        <v>1</v>
      </c>
      <c r="L2206" s="287" t="s">
        <v>1828</v>
      </c>
    </row>
    <row r="2207" spans="1:12">
      <c r="B2207" s="312">
        <v>1018</v>
      </c>
      <c r="C2207" s="286">
        <v>305040</v>
      </c>
      <c r="D2207" s="10" t="s">
        <v>737</v>
      </c>
      <c r="I2207" s="286">
        <v>305040</v>
      </c>
      <c r="J2207" s="286" t="s">
        <v>277</v>
      </c>
      <c r="K2207" s="286">
        <v>1</v>
      </c>
      <c r="L2207" s="287" t="s">
        <v>1828</v>
      </c>
    </row>
    <row r="2208" spans="1:12">
      <c r="B2208" s="312">
        <v>1018</v>
      </c>
      <c r="C2208" s="286">
        <v>305200</v>
      </c>
      <c r="D2208" s="10" t="s">
        <v>737</v>
      </c>
      <c r="I2208" s="286">
        <v>305200</v>
      </c>
      <c r="J2208" s="286" t="s">
        <v>313</v>
      </c>
      <c r="K2208" s="286">
        <v>1</v>
      </c>
      <c r="L2208" s="287" t="s">
        <v>1828</v>
      </c>
    </row>
    <row r="2209" spans="2:12">
      <c r="B2209" s="312">
        <v>1018</v>
      </c>
      <c r="C2209" s="288">
        <v>305224</v>
      </c>
      <c r="D2209" s="10" t="s">
        <v>737</v>
      </c>
      <c r="I2209" s="288">
        <v>305224</v>
      </c>
      <c r="J2209" s="10" t="s">
        <v>1890</v>
      </c>
      <c r="K2209" s="286">
        <v>1</v>
      </c>
      <c r="L2209" s="287" t="s">
        <v>1828</v>
      </c>
    </row>
    <row r="2210" spans="2:12">
      <c r="B2210" s="312">
        <v>1018</v>
      </c>
      <c r="C2210" s="288">
        <v>305225</v>
      </c>
      <c r="D2210" s="10" t="s">
        <v>737</v>
      </c>
      <c r="I2210" s="288">
        <v>305225</v>
      </c>
      <c r="J2210" s="10" t="s">
        <v>1888</v>
      </c>
      <c r="K2210" s="286">
        <v>1</v>
      </c>
      <c r="L2210" s="287" t="s">
        <v>1828</v>
      </c>
    </row>
    <row r="2211" spans="2:12">
      <c r="B2211" s="312">
        <v>1018</v>
      </c>
      <c r="C2211" s="288">
        <v>305226</v>
      </c>
      <c r="D2211" s="10" t="s">
        <v>737</v>
      </c>
      <c r="I2211" s="288">
        <v>305226</v>
      </c>
      <c r="J2211" s="10" t="s">
        <v>1891</v>
      </c>
      <c r="K2211" s="286">
        <v>1</v>
      </c>
      <c r="L2211" s="287" t="s">
        <v>1828</v>
      </c>
    </row>
    <row r="2212" spans="2:12">
      <c r="B2212" s="312">
        <v>1018</v>
      </c>
      <c r="C2212" s="289">
        <v>305010</v>
      </c>
      <c r="D2212" s="10" t="s">
        <v>737</v>
      </c>
      <c r="I2212" s="289">
        <v>305010</v>
      </c>
      <c r="J2212" s="289" t="s">
        <v>1223</v>
      </c>
      <c r="K2212" s="289">
        <v>2</v>
      </c>
      <c r="L2212" s="290" t="s">
        <v>1830</v>
      </c>
    </row>
    <row r="2213" spans="2:12">
      <c r="B2213" s="312">
        <v>1018</v>
      </c>
      <c r="C2213" s="289">
        <v>305021</v>
      </c>
      <c r="D2213" s="10" t="s">
        <v>737</v>
      </c>
      <c r="I2213" s="289">
        <v>305021</v>
      </c>
      <c r="J2213" s="289" t="s">
        <v>1270</v>
      </c>
      <c r="K2213" s="289">
        <v>2</v>
      </c>
      <c r="L2213" s="290" t="s">
        <v>1830</v>
      </c>
    </row>
    <row r="2214" spans="2:12">
      <c r="B2214" s="312">
        <v>1018</v>
      </c>
      <c r="C2214" s="289">
        <v>305022</v>
      </c>
      <c r="D2214" s="10" t="s">
        <v>737</v>
      </c>
      <c r="I2214" s="289">
        <v>305022</v>
      </c>
      <c r="J2214" s="289" t="s">
        <v>1273</v>
      </c>
      <c r="K2214" s="289">
        <v>2</v>
      </c>
      <c r="L2214" s="290" t="s">
        <v>1830</v>
      </c>
    </row>
    <row r="2215" spans="2:12">
      <c r="B2215" s="312">
        <v>1018</v>
      </c>
      <c r="C2215" s="289">
        <v>305032</v>
      </c>
      <c r="D2215" s="10" t="s">
        <v>737</v>
      </c>
      <c r="I2215" s="289">
        <v>305032</v>
      </c>
      <c r="J2215" s="289" t="s">
        <v>213</v>
      </c>
      <c r="K2215" s="289">
        <v>2</v>
      </c>
      <c r="L2215" s="290" t="s">
        <v>1830</v>
      </c>
    </row>
    <row r="2216" spans="2:12">
      <c r="B2216" s="312">
        <v>1018</v>
      </c>
      <c r="C2216" s="289">
        <v>305033</v>
      </c>
      <c r="D2216" s="10" t="s">
        <v>737</v>
      </c>
      <c r="I2216" s="289">
        <v>305033</v>
      </c>
      <c r="J2216" s="289" t="s">
        <v>217</v>
      </c>
      <c r="K2216" s="289">
        <v>2</v>
      </c>
      <c r="L2216" s="290" t="s">
        <v>1830</v>
      </c>
    </row>
    <row r="2217" spans="2:12">
      <c r="B2217" s="312">
        <v>1018</v>
      </c>
      <c r="C2217" s="289">
        <v>305037</v>
      </c>
      <c r="D2217" s="10" t="s">
        <v>737</v>
      </c>
      <c r="I2217" s="289">
        <v>305037</v>
      </c>
      <c r="J2217" s="289" t="s">
        <v>264</v>
      </c>
      <c r="K2217" s="289">
        <v>2</v>
      </c>
      <c r="L2217" s="290" t="s">
        <v>1830</v>
      </c>
    </row>
    <row r="2218" spans="2:12">
      <c r="B2218" s="312">
        <v>1018</v>
      </c>
      <c r="C2218" s="289">
        <v>305038</v>
      </c>
      <c r="D2218" s="10" t="s">
        <v>737</v>
      </c>
      <c r="I2218" s="289">
        <v>305038</v>
      </c>
      <c r="J2218" s="289" t="s">
        <v>268</v>
      </c>
      <c r="K2218" s="289">
        <v>2</v>
      </c>
      <c r="L2218" s="290" t="s">
        <v>1830</v>
      </c>
    </row>
    <row r="2219" spans="2:12">
      <c r="B2219" s="312">
        <v>1018</v>
      </c>
      <c r="C2219" s="289">
        <v>305300</v>
      </c>
      <c r="D2219" s="10" t="s">
        <v>737</v>
      </c>
      <c r="I2219" s="289">
        <v>305300</v>
      </c>
      <c r="J2219" s="289" t="s">
        <v>318</v>
      </c>
      <c r="K2219" s="289">
        <v>2</v>
      </c>
      <c r="L2219" s="290" t="s">
        <v>1830</v>
      </c>
    </row>
    <row r="2220" spans="2:12">
      <c r="B2220" s="312">
        <v>1018</v>
      </c>
      <c r="C2220" s="288">
        <v>305324</v>
      </c>
      <c r="D2220" s="10" t="s">
        <v>737</v>
      </c>
      <c r="I2220" s="288">
        <v>305324</v>
      </c>
      <c r="J2220" s="10" t="s">
        <v>1887</v>
      </c>
      <c r="K2220" s="289">
        <v>2</v>
      </c>
      <c r="L2220" s="290" t="s">
        <v>1830</v>
      </c>
    </row>
    <row r="2221" spans="2:12">
      <c r="B2221" s="312">
        <v>1018</v>
      </c>
      <c r="C2221" s="288">
        <v>305325</v>
      </c>
      <c r="D2221" s="10" t="s">
        <v>737</v>
      </c>
      <c r="I2221" s="288">
        <v>305325</v>
      </c>
      <c r="J2221" s="10" t="s">
        <v>1888</v>
      </c>
      <c r="K2221" s="289">
        <v>2</v>
      </c>
      <c r="L2221" s="290" t="s">
        <v>1830</v>
      </c>
    </row>
    <row r="2222" spans="2:12">
      <c r="B2222" s="312">
        <v>1018</v>
      </c>
      <c r="C2222" s="288">
        <v>305326</v>
      </c>
      <c r="D2222" s="10" t="s">
        <v>737</v>
      </c>
      <c r="I2222" s="288">
        <v>305326</v>
      </c>
      <c r="J2222" s="10" t="s">
        <v>1889</v>
      </c>
      <c r="K2222" s="289">
        <v>2</v>
      </c>
      <c r="L2222" s="290" t="s">
        <v>1830</v>
      </c>
    </row>
    <row r="2223" spans="2:12">
      <c r="B2223" s="312">
        <v>1018</v>
      </c>
      <c r="C2223" s="291">
        <v>305001</v>
      </c>
      <c r="D2223" s="10" t="s">
        <v>737</v>
      </c>
      <c r="I2223" s="291">
        <v>305001</v>
      </c>
      <c r="J2223" s="291" t="s">
        <v>176</v>
      </c>
      <c r="K2223" s="291">
        <v>0</v>
      </c>
      <c r="L2223" s="292" t="s">
        <v>1827</v>
      </c>
    </row>
    <row r="2224" spans="2:12">
      <c r="B2224" s="312">
        <v>1018</v>
      </c>
      <c r="C2224" s="291">
        <v>305002</v>
      </c>
      <c r="D2224" s="10" t="s">
        <v>737</v>
      </c>
      <c r="I2224" s="291">
        <v>305002</v>
      </c>
      <c r="J2224" s="291" t="s">
        <v>181</v>
      </c>
      <c r="K2224" s="291">
        <v>0</v>
      </c>
      <c r="L2224" s="292" t="s">
        <v>1827</v>
      </c>
    </row>
    <row r="2225" spans="2:22">
      <c r="B2225" s="312">
        <v>1018</v>
      </c>
      <c r="C2225" s="291">
        <v>305003</v>
      </c>
      <c r="D2225" s="10" t="s">
        <v>737</v>
      </c>
      <c r="I2225" s="291">
        <v>305003</v>
      </c>
      <c r="J2225" s="291" t="s">
        <v>186</v>
      </c>
      <c r="K2225" s="291">
        <v>0</v>
      </c>
      <c r="L2225" s="292" t="s">
        <v>1827</v>
      </c>
    </row>
    <row r="2226" spans="2:22">
      <c r="B2226" s="312">
        <v>1018</v>
      </c>
      <c r="C2226" s="291">
        <v>305018</v>
      </c>
      <c r="D2226" s="10" t="s">
        <v>737</v>
      </c>
      <c r="I2226" s="291">
        <v>305018</v>
      </c>
      <c r="J2226" s="291" t="s">
        <v>191</v>
      </c>
      <c r="K2226" s="291">
        <v>0</v>
      </c>
      <c r="L2226" s="292" t="s">
        <v>1827</v>
      </c>
    </row>
    <row r="2227" spans="2:22">
      <c r="B2227" s="312">
        <v>1018</v>
      </c>
      <c r="C2227" s="291">
        <v>305019</v>
      </c>
      <c r="D2227" s="10" t="s">
        <v>737</v>
      </c>
      <c r="I2227" s="291">
        <v>305019</v>
      </c>
      <c r="J2227" s="291" t="s">
        <v>196</v>
      </c>
      <c r="K2227" s="291">
        <v>0</v>
      </c>
      <c r="L2227" s="292" t="s">
        <v>1827</v>
      </c>
    </row>
    <row r="2228" spans="2:22">
      <c r="B2228" s="312">
        <v>1018</v>
      </c>
      <c r="C2228" s="291">
        <v>305041</v>
      </c>
      <c r="D2228" s="10" t="s">
        <v>737</v>
      </c>
      <c r="I2228" s="291">
        <v>305041</v>
      </c>
      <c r="J2228" s="291" t="s">
        <v>282</v>
      </c>
      <c r="K2228" s="291">
        <v>0</v>
      </c>
      <c r="L2228" s="292" t="s">
        <v>1827</v>
      </c>
    </row>
    <row r="2229" spans="2:22">
      <c r="B2229" s="312">
        <v>1018</v>
      </c>
      <c r="C2229" s="291">
        <v>305042</v>
      </c>
      <c r="D2229" s="10" t="s">
        <v>737</v>
      </c>
      <c r="I2229" s="291">
        <v>305042</v>
      </c>
      <c r="J2229" s="291" t="s">
        <v>287</v>
      </c>
      <c r="K2229" s="291">
        <v>0</v>
      </c>
      <c r="L2229" s="292" t="s">
        <v>1827</v>
      </c>
    </row>
    <row r="2230" spans="2:22">
      <c r="B2230" s="312">
        <v>1018</v>
      </c>
      <c r="C2230" s="291">
        <v>305600</v>
      </c>
      <c r="D2230" s="10" t="s">
        <v>737</v>
      </c>
      <c r="I2230" s="291">
        <v>305600</v>
      </c>
      <c r="J2230" s="291" t="s">
        <v>323</v>
      </c>
      <c r="K2230" s="291">
        <v>0</v>
      </c>
      <c r="L2230" s="292" t="s">
        <v>1827</v>
      </c>
    </row>
    <row r="2231" spans="2:22">
      <c r="B2231" s="312">
        <v>1018</v>
      </c>
      <c r="C2231" s="288">
        <v>305623</v>
      </c>
      <c r="D2231" s="10" t="s">
        <v>737</v>
      </c>
      <c r="I2231" s="288">
        <v>305623</v>
      </c>
      <c r="J2231" s="10" t="s">
        <v>1864</v>
      </c>
      <c r="K2231" s="291">
        <v>0</v>
      </c>
      <c r="L2231" s="292" t="s">
        <v>1827</v>
      </c>
    </row>
    <row r="2232" spans="2:22">
      <c r="B2232" s="312">
        <v>1018</v>
      </c>
      <c r="C2232" s="288">
        <v>305624</v>
      </c>
      <c r="D2232" s="10" t="s">
        <v>737</v>
      </c>
      <c r="I2232" s="288">
        <v>305624</v>
      </c>
      <c r="J2232" s="10" t="s">
        <v>1865</v>
      </c>
      <c r="K2232" s="291">
        <v>0</v>
      </c>
      <c r="L2232" s="292" t="s">
        <v>1827</v>
      </c>
    </row>
    <row r="2233" spans="2:22">
      <c r="B2233" s="312">
        <v>1018</v>
      </c>
      <c r="C2233" s="288">
        <v>305625</v>
      </c>
      <c r="D2233" s="10" t="s">
        <v>737</v>
      </c>
      <c r="I2233" s="288">
        <v>305625</v>
      </c>
      <c r="J2233" s="10" t="s">
        <v>1866</v>
      </c>
      <c r="K2233" s="291">
        <v>0</v>
      </c>
      <c r="L2233" s="292" t="s">
        <v>1827</v>
      </c>
    </row>
    <row r="2234" spans="2:22">
      <c r="B2234" s="312">
        <v>1018</v>
      </c>
      <c r="C2234" s="288">
        <v>305626</v>
      </c>
      <c r="D2234" s="10" t="s">
        <v>737</v>
      </c>
      <c r="I2234" s="288">
        <v>305626</v>
      </c>
      <c r="J2234" s="10" t="s">
        <v>1867</v>
      </c>
      <c r="K2234" s="291">
        <v>0</v>
      </c>
      <c r="L2234" s="292" t="s">
        <v>1827</v>
      </c>
    </row>
    <row r="2235" spans="2:22">
      <c r="B2235" s="312">
        <v>1018</v>
      </c>
      <c r="C2235" s="293">
        <v>305012</v>
      </c>
      <c r="D2235" s="10" t="s">
        <v>737</v>
      </c>
      <c r="I2235" s="293">
        <v>305012</v>
      </c>
      <c r="J2235" s="293" t="s">
        <v>1230</v>
      </c>
      <c r="K2235" s="293">
        <v>6</v>
      </c>
      <c r="L2235" s="294" t="s">
        <v>1833</v>
      </c>
    </row>
    <row r="2236" spans="2:22">
      <c r="B2236" s="312">
        <v>1018</v>
      </c>
      <c r="C2236" s="293">
        <v>305013</v>
      </c>
      <c r="D2236" s="10" t="s">
        <v>737</v>
      </c>
      <c r="I2236" s="293">
        <v>305013</v>
      </c>
      <c r="J2236" s="293" t="s">
        <v>1237</v>
      </c>
      <c r="K2236" s="293">
        <v>6</v>
      </c>
      <c r="L2236" s="294" t="s">
        <v>1833</v>
      </c>
    </row>
    <row r="2237" spans="2:22">
      <c r="B2237" s="312">
        <v>1018</v>
      </c>
      <c r="C2237" s="293">
        <v>305014</v>
      </c>
      <c r="D2237" s="10" t="s">
        <v>737</v>
      </c>
      <c r="I2237" s="293">
        <v>305014</v>
      </c>
      <c r="J2237" s="293" t="s">
        <v>1241</v>
      </c>
      <c r="K2237" s="293">
        <v>6</v>
      </c>
      <c r="L2237" s="294" t="s">
        <v>1833</v>
      </c>
    </row>
    <row r="2238" spans="2:22" s="285" customFormat="1">
      <c r="B2238" s="312">
        <v>1018</v>
      </c>
      <c r="C2238" s="293">
        <v>305046</v>
      </c>
      <c r="D2238" s="285" t="s">
        <v>737</v>
      </c>
      <c r="G2238" s="10"/>
      <c r="H2238" s="10"/>
      <c r="I2238" s="293">
        <v>305046</v>
      </c>
      <c r="J2238" s="293" t="s">
        <v>309</v>
      </c>
      <c r="K2238" s="293">
        <v>6</v>
      </c>
      <c r="L2238" s="294" t="s">
        <v>1833</v>
      </c>
      <c r="M2238" s="10"/>
      <c r="R2238" s="10"/>
      <c r="S2238" s="10"/>
      <c r="T2238" s="10"/>
      <c r="U2238" s="10"/>
      <c r="V2238" s="10"/>
    </row>
    <row r="2239" spans="2:22">
      <c r="B2239" s="312">
        <v>1018</v>
      </c>
      <c r="C2239" s="288">
        <v>305815</v>
      </c>
      <c r="D2239" s="10" t="s">
        <v>737</v>
      </c>
      <c r="I2239" s="288">
        <v>305815</v>
      </c>
      <c r="J2239" s="10" t="s">
        <v>1868</v>
      </c>
      <c r="K2239" s="293">
        <v>6</v>
      </c>
      <c r="L2239" s="294" t="s">
        <v>1833</v>
      </c>
    </row>
    <row r="2240" spans="2:22">
      <c r="B2240" s="312">
        <v>1018</v>
      </c>
      <c r="C2240" s="288">
        <v>305816</v>
      </c>
      <c r="D2240" s="10" t="s">
        <v>737</v>
      </c>
      <c r="I2240" s="288">
        <v>305816</v>
      </c>
      <c r="J2240" s="10" t="s">
        <v>1869</v>
      </c>
      <c r="K2240" s="293">
        <v>6</v>
      </c>
      <c r="L2240" s="294" t="s">
        <v>1833</v>
      </c>
    </row>
    <row r="2241" spans="2:22">
      <c r="B2241" s="312">
        <v>1018</v>
      </c>
      <c r="C2241" s="288">
        <v>305817</v>
      </c>
      <c r="D2241" s="10" t="s">
        <v>737</v>
      </c>
      <c r="I2241" s="288">
        <v>305817</v>
      </c>
      <c r="J2241" s="10" t="s">
        <v>1870</v>
      </c>
      <c r="K2241" s="293">
        <v>6</v>
      </c>
      <c r="L2241" s="294" t="s">
        <v>1833</v>
      </c>
    </row>
    <row r="2242" spans="2:22" s="285" customFormat="1">
      <c r="B2242" s="312">
        <v>1018</v>
      </c>
      <c r="C2242" s="288">
        <v>305818</v>
      </c>
      <c r="D2242" s="285" t="s">
        <v>737</v>
      </c>
      <c r="G2242" s="10"/>
      <c r="H2242" s="10"/>
      <c r="I2242" s="288">
        <v>305818</v>
      </c>
      <c r="J2242" s="10" t="s">
        <v>1871</v>
      </c>
      <c r="K2242" s="293">
        <v>6</v>
      </c>
      <c r="L2242" s="294" t="s">
        <v>1833</v>
      </c>
      <c r="M2242" s="10"/>
      <c r="R2242" s="10"/>
      <c r="S2242" s="10"/>
      <c r="T2242" s="10"/>
      <c r="U2242" s="10"/>
      <c r="V2242" s="10"/>
    </row>
    <row r="2243" spans="2:22">
      <c r="B2243" s="312">
        <v>1018</v>
      </c>
      <c r="C2243" s="288">
        <v>305819</v>
      </c>
      <c r="D2243" s="10" t="s">
        <v>737</v>
      </c>
      <c r="I2243" s="288">
        <v>305819</v>
      </c>
      <c r="J2243" s="10" t="s">
        <v>1872</v>
      </c>
      <c r="K2243" s="293">
        <v>6</v>
      </c>
      <c r="L2243" s="294" t="s">
        <v>1833</v>
      </c>
    </row>
    <row r="2244" spans="2:22" s="285" customFormat="1">
      <c r="B2244" s="312">
        <v>1018</v>
      </c>
      <c r="C2244" s="288">
        <v>305820</v>
      </c>
      <c r="D2244" s="285" t="s">
        <v>737</v>
      </c>
      <c r="G2244" s="10"/>
      <c r="H2244" s="10"/>
      <c r="I2244" s="288">
        <v>305820</v>
      </c>
      <c r="J2244" s="10" t="s">
        <v>1873</v>
      </c>
      <c r="K2244" s="293">
        <v>6</v>
      </c>
      <c r="L2244" s="294" t="s">
        <v>1833</v>
      </c>
      <c r="M2244" s="10"/>
      <c r="R2244" s="10"/>
      <c r="S2244" s="10"/>
      <c r="T2244" s="10"/>
      <c r="U2244" s="10"/>
      <c r="V2244" s="10"/>
    </row>
    <row r="2245" spans="2:22">
      <c r="B2245" s="312">
        <v>1018</v>
      </c>
      <c r="C2245" s="295">
        <v>305015</v>
      </c>
      <c r="D2245" s="10" t="s">
        <v>737</v>
      </c>
      <c r="I2245" s="295">
        <v>305015</v>
      </c>
      <c r="J2245" s="295" t="s">
        <v>1245</v>
      </c>
      <c r="K2245" s="295">
        <v>7</v>
      </c>
      <c r="L2245" s="296" t="s">
        <v>538</v>
      </c>
    </row>
    <row r="2246" spans="2:22">
      <c r="B2246" s="312">
        <v>1018</v>
      </c>
      <c r="C2246" s="295">
        <v>305016</v>
      </c>
      <c r="D2246" s="10" t="s">
        <v>737</v>
      </c>
      <c r="I2246" s="295">
        <v>305016</v>
      </c>
      <c r="J2246" s="295" t="s">
        <v>1251</v>
      </c>
      <c r="K2246" s="295">
        <v>7</v>
      </c>
      <c r="L2246" s="296" t="s">
        <v>538</v>
      </c>
    </row>
    <row r="2247" spans="2:22">
      <c r="B2247" s="312">
        <v>1018</v>
      </c>
      <c r="C2247" s="295">
        <v>305017</v>
      </c>
      <c r="D2247" s="10" t="s">
        <v>737</v>
      </c>
      <c r="I2247" s="295">
        <v>305017</v>
      </c>
      <c r="J2247" s="295" t="s">
        <v>1255</v>
      </c>
      <c r="K2247" s="295">
        <v>7</v>
      </c>
      <c r="L2247" s="296" t="s">
        <v>538</v>
      </c>
    </row>
    <row r="2248" spans="2:22">
      <c r="B2248" s="312">
        <v>1018</v>
      </c>
      <c r="C2248" s="295">
        <v>305700</v>
      </c>
      <c r="D2248" s="10" t="s">
        <v>737</v>
      </c>
      <c r="I2248" s="295">
        <v>305700</v>
      </c>
      <c r="J2248" s="295" t="s">
        <v>328</v>
      </c>
      <c r="K2248" s="295">
        <v>7</v>
      </c>
      <c r="L2248" s="296" t="s">
        <v>538</v>
      </c>
    </row>
    <row r="2249" spans="2:22">
      <c r="B2249" s="312">
        <v>1018</v>
      </c>
      <c r="C2249" s="288">
        <v>305719</v>
      </c>
      <c r="D2249" s="10" t="s">
        <v>737</v>
      </c>
      <c r="I2249" s="288">
        <v>305719</v>
      </c>
      <c r="J2249" s="10" t="s">
        <v>1874</v>
      </c>
      <c r="K2249" s="295">
        <v>7</v>
      </c>
      <c r="L2249" s="296" t="s">
        <v>538</v>
      </c>
    </row>
    <row r="2250" spans="2:22">
      <c r="B2250" s="312">
        <v>1018</v>
      </c>
      <c r="C2250" s="288">
        <v>305720</v>
      </c>
      <c r="D2250" s="10" t="s">
        <v>737</v>
      </c>
      <c r="I2250" s="288">
        <v>305720</v>
      </c>
      <c r="J2250" s="10" t="s">
        <v>1875</v>
      </c>
      <c r="K2250" s="295">
        <v>7</v>
      </c>
      <c r="L2250" s="296" t="s">
        <v>538</v>
      </c>
    </row>
    <row r="2251" spans="2:22">
      <c r="B2251" s="312">
        <v>1018</v>
      </c>
      <c r="C2251" s="288">
        <v>305721</v>
      </c>
      <c r="D2251" s="10" t="s">
        <v>737</v>
      </c>
      <c r="I2251" s="288">
        <v>305721</v>
      </c>
      <c r="J2251" s="10" t="s">
        <v>1876</v>
      </c>
      <c r="K2251" s="295">
        <v>7</v>
      </c>
      <c r="L2251" s="296" t="s">
        <v>538</v>
      </c>
    </row>
    <row r="2252" spans="2:22">
      <c r="B2252" s="312">
        <v>1018</v>
      </c>
      <c r="C2252" s="288">
        <v>305722</v>
      </c>
      <c r="D2252" s="10" t="s">
        <v>737</v>
      </c>
      <c r="I2252" s="288">
        <v>305722</v>
      </c>
      <c r="J2252" s="10" t="s">
        <v>1877</v>
      </c>
      <c r="K2252" s="295">
        <v>7</v>
      </c>
      <c r="L2252" s="296" t="s">
        <v>538</v>
      </c>
    </row>
    <row r="2253" spans="2:22">
      <c r="B2253" s="312">
        <v>1018</v>
      </c>
      <c r="C2253" s="288">
        <v>305723</v>
      </c>
      <c r="D2253" s="10" t="s">
        <v>737</v>
      </c>
      <c r="I2253" s="288">
        <v>305723</v>
      </c>
      <c r="J2253" s="10" t="s">
        <v>1878</v>
      </c>
      <c r="K2253" s="295">
        <v>7</v>
      </c>
      <c r="L2253" s="296" t="s">
        <v>538</v>
      </c>
    </row>
    <row r="2254" spans="2:22">
      <c r="B2254" s="312">
        <v>1018</v>
      </c>
      <c r="C2254" s="288">
        <v>305724</v>
      </c>
      <c r="D2254" s="10" t="s">
        <v>737</v>
      </c>
      <c r="I2254" s="288">
        <v>305724</v>
      </c>
      <c r="J2254" s="10" t="s">
        <v>1879</v>
      </c>
      <c r="K2254" s="295">
        <v>7</v>
      </c>
      <c r="L2254" s="296" t="s">
        <v>538</v>
      </c>
    </row>
    <row r="2255" spans="2:22">
      <c r="B2255" s="312">
        <v>1018</v>
      </c>
      <c r="C2255" s="297">
        <v>305011</v>
      </c>
      <c r="D2255" s="10" t="s">
        <v>737</v>
      </c>
      <c r="I2255" s="297">
        <v>305011</v>
      </c>
      <c r="J2255" s="297" t="s">
        <v>161</v>
      </c>
      <c r="K2255" s="297">
        <v>3</v>
      </c>
      <c r="L2255" s="298" t="s">
        <v>1831</v>
      </c>
    </row>
    <row r="2256" spans="2:22">
      <c r="B2256" s="312">
        <v>1018</v>
      </c>
      <c r="C2256" s="299">
        <v>305025</v>
      </c>
      <c r="D2256" s="10" t="s">
        <v>737</v>
      </c>
      <c r="I2256" s="299">
        <v>305025</v>
      </c>
      <c r="J2256" s="299" t="s">
        <v>200</v>
      </c>
      <c r="K2256" s="299">
        <v>4</v>
      </c>
      <c r="L2256" s="300" t="s">
        <v>1832</v>
      </c>
    </row>
    <row r="2257" spans="1:22" s="285" customFormat="1">
      <c r="A2257" s="10"/>
      <c r="B2257" s="312">
        <v>1018</v>
      </c>
      <c r="C2257" s="299">
        <v>305026</v>
      </c>
      <c r="D2257" s="10" t="s">
        <v>737</v>
      </c>
      <c r="E2257" s="10"/>
      <c r="F2257" s="10"/>
      <c r="G2257" s="10"/>
      <c r="H2257" s="10"/>
      <c r="I2257" s="299">
        <v>305026</v>
      </c>
      <c r="J2257" s="299" t="s">
        <v>204</v>
      </c>
      <c r="K2257" s="299">
        <v>4</v>
      </c>
      <c r="L2257" s="300" t="s">
        <v>1832</v>
      </c>
      <c r="M2257" s="10"/>
      <c r="N2257" s="10"/>
      <c r="O2257" s="10"/>
      <c r="P2257" s="10"/>
      <c r="Q2257" s="10"/>
      <c r="R2257" s="10"/>
      <c r="S2257" s="10"/>
      <c r="T2257" s="10"/>
      <c r="U2257" s="10"/>
      <c r="V2257" s="10"/>
    </row>
    <row r="2258" spans="1:22" s="285" customFormat="1">
      <c r="A2258" s="10"/>
      <c r="B2258" s="312">
        <v>1018</v>
      </c>
      <c r="C2258" s="299">
        <v>305050</v>
      </c>
      <c r="D2258" s="10" t="s">
        <v>737</v>
      </c>
      <c r="E2258" s="10"/>
      <c r="F2258" s="10"/>
      <c r="G2258" s="10"/>
      <c r="H2258" s="10"/>
      <c r="I2258" s="299">
        <v>305050</v>
      </c>
      <c r="J2258" s="299" t="s">
        <v>300</v>
      </c>
      <c r="K2258" s="299">
        <v>4</v>
      </c>
      <c r="L2258" s="300" t="s">
        <v>1832</v>
      </c>
      <c r="M2258" s="10"/>
      <c r="N2258" s="10"/>
      <c r="O2258" s="10"/>
      <c r="P2258" s="10"/>
      <c r="Q2258" s="10"/>
      <c r="R2258" s="10"/>
      <c r="S2258" s="10"/>
      <c r="T2258" s="10"/>
      <c r="U2258" s="10"/>
      <c r="V2258" s="10"/>
    </row>
    <row r="2259" spans="1:22" s="285" customFormat="1">
      <c r="A2259" s="10"/>
      <c r="B2259" s="312">
        <v>1018</v>
      </c>
      <c r="C2259" s="299">
        <v>305051</v>
      </c>
      <c r="D2259" s="10" t="s">
        <v>737</v>
      </c>
      <c r="E2259" s="10"/>
      <c r="F2259" s="10"/>
      <c r="G2259" s="10"/>
      <c r="H2259" s="10"/>
      <c r="I2259" s="299">
        <v>305051</v>
      </c>
      <c r="J2259" s="299" t="s">
        <v>340</v>
      </c>
      <c r="K2259" s="299">
        <v>4</v>
      </c>
      <c r="L2259" s="300" t="s">
        <v>1832</v>
      </c>
      <c r="M2259" s="10"/>
      <c r="N2259" s="10"/>
      <c r="O2259" s="10"/>
      <c r="P2259" s="10"/>
      <c r="Q2259" s="10"/>
      <c r="R2259" s="10"/>
      <c r="S2259" s="10"/>
      <c r="T2259" s="10"/>
      <c r="U2259" s="10"/>
      <c r="V2259" s="10"/>
    </row>
    <row r="2260" spans="1:22">
      <c r="B2260" s="312">
        <v>1018</v>
      </c>
      <c r="C2260" s="288">
        <v>305055</v>
      </c>
      <c r="D2260" s="10" t="s">
        <v>737</v>
      </c>
      <c r="I2260" s="288">
        <v>305055</v>
      </c>
      <c r="J2260" s="10" t="s">
        <v>1880</v>
      </c>
      <c r="K2260" s="299">
        <v>4</v>
      </c>
      <c r="L2260" s="300" t="s">
        <v>1832</v>
      </c>
    </row>
    <row r="2261" spans="1:22" s="285" customFormat="1">
      <c r="A2261" s="10"/>
      <c r="B2261" s="312">
        <v>1018</v>
      </c>
      <c r="C2261" s="288">
        <v>305056</v>
      </c>
      <c r="D2261" s="10" t="s">
        <v>737</v>
      </c>
      <c r="E2261" s="10"/>
      <c r="F2261" s="10"/>
      <c r="G2261" s="10"/>
      <c r="H2261" s="10"/>
      <c r="I2261" s="288">
        <v>305056</v>
      </c>
      <c r="J2261" s="10" t="s">
        <v>1881</v>
      </c>
      <c r="K2261" s="299">
        <v>4</v>
      </c>
      <c r="L2261" s="300" t="s">
        <v>1832</v>
      </c>
      <c r="M2261" s="10"/>
      <c r="N2261" s="10"/>
      <c r="O2261" s="10"/>
      <c r="P2261" s="10"/>
      <c r="Q2261" s="10"/>
      <c r="R2261" s="10"/>
      <c r="S2261" s="10"/>
      <c r="T2261" s="10"/>
      <c r="U2261" s="10"/>
      <c r="V2261" s="10"/>
    </row>
    <row r="2262" spans="1:22" s="285" customFormat="1">
      <c r="A2262" s="10"/>
      <c r="B2262" s="312">
        <v>1018</v>
      </c>
      <c r="C2262" s="288">
        <v>306104</v>
      </c>
      <c r="D2262" s="10" t="s">
        <v>737</v>
      </c>
      <c r="E2262" s="10"/>
      <c r="F2262" s="10"/>
      <c r="G2262" s="10"/>
      <c r="H2262" s="10"/>
      <c r="I2262" s="288">
        <v>306104</v>
      </c>
      <c r="J2262" s="10" t="s">
        <v>1882</v>
      </c>
      <c r="K2262" s="299">
        <v>4</v>
      </c>
      <c r="L2262" s="300" t="s">
        <v>1886</v>
      </c>
      <c r="M2262" s="10"/>
      <c r="N2262" s="10"/>
      <c r="O2262" s="10"/>
      <c r="P2262" s="10"/>
      <c r="Q2262" s="10"/>
      <c r="R2262" s="10"/>
      <c r="S2262" s="10"/>
      <c r="T2262" s="10"/>
      <c r="U2262" s="10"/>
      <c r="V2262" s="10"/>
    </row>
    <row r="2263" spans="1:22" s="285" customFormat="1">
      <c r="A2263" s="10"/>
      <c r="B2263" s="312">
        <v>1018</v>
      </c>
      <c r="C2263" s="288">
        <v>306105</v>
      </c>
      <c r="D2263" s="10" t="s">
        <v>737</v>
      </c>
      <c r="E2263" s="10"/>
      <c r="F2263" s="10"/>
      <c r="G2263" s="10"/>
      <c r="H2263" s="10"/>
      <c r="I2263" s="288">
        <v>306105</v>
      </c>
      <c r="J2263" s="10" t="s">
        <v>1883</v>
      </c>
      <c r="K2263" s="299">
        <v>4</v>
      </c>
      <c r="L2263" s="300" t="s">
        <v>1886</v>
      </c>
      <c r="M2263" s="10"/>
      <c r="N2263" s="10"/>
      <c r="O2263" s="10"/>
      <c r="P2263" s="10"/>
      <c r="Q2263" s="10"/>
      <c r="R2263" s="10"/>
      <c r="S2263" s="10"/>
      <c r="T2263" s="10"/>
      <c r="U2263" s="10"/>
      <c r="V2263" s="10"/>
    </row>
    <row r="2264" spans="1:22" s="285" customFormat="1">
      <c r="A2264" s="10"/>
      <c r="B2264" s="312">
        <v>1018</v>
      </c>
      <c r="C2264" s="288">
        <v>306106</v>
      </c>
      <c r="D2264" s="10" t="s">
        <v>737</v>
      </c>
      <c r="E2264" s="10"/>
      <c r="F2264" s="10"/>
      <c r="G2264" s="10"/>
      <c r="H2264" s="10"/>
      <c r="I2264" s="288">
        <v>306106</v>
      </c>
      <c r="J2264" s="10" t="s">
        <v>1884</v>
      </c>
      <c r="K2264" s="299">
        <v>4</v>
      </c>
      <c r="L2264" s="300" t="s">
        <v>1886</v>
      </c>
      <c r="M2264" s="10"/>
      <c r="N2264" s="10"/>
      <c r="O2264" s="10"/>
      <c r="P2264" s="10"/>
      <c r="Q2264" s="10"/>
      <c r="R2264" s="10"/>
      <c r="S2264" s="10"/>
      <c r="T2264" s="10"/>
      <c r="U2264" s="10"/>
      <c r="V2264" s="10"/>
    </row>
    <row r="2265" spans="1:22" s="285" customFormat="1">
      <c r="A2265" s="10"/>
      <c r="B2265" s="312">
        <v>1018</v>
      </c>
      <c r="C2265" s="288">
        <v>306107</v>
      </c>
      <c r="D2265" s="10" t="s">
        <v>737</v>
      </c>
      <c r="E2265" s="10"/>
      <c r="F2265" s="10"/>
      <c r="G2265" s="10"/>
      <c r="H2265" s="10"/>
      <c r="I2265" s="288">
        <v>306107</v>
      </c>
      <c r="J2265" s="10" t="s">
        <v>1885</v>
      </c>
      <c r="K2265" s="299">
        <v>4</v>
      </c>
      <c r="L2265" s="300" t="s">
        <v>1886</v>
      </c>
      <c r="M2265" s="10"/>
      <c r="N2265" s="10"/>
      <c r="O2265" s="10"/>
      <c r="P2265" s="10"/>
      <c r="Q2265" s="10"/>
      <c r="R2265" s="10"/>
      <c r="S2265" s="10"/>
      <c r="T2265" s="10"/>
      <c r="U2265" s="10"/>
      <c r="V2265" s="10"/>
    </row>
    <row r="2266" spans="1:22" ht="13.5" customHeight="1">
      <c r="B2266" s="313">
        <v>1018</v>
      </c>
      <c r="C2266" s="282">
        <v>303012</v>
      </c>
      <c r="D2266" s="301" t="s">
        <v>38</v>
      </c>
    </row>
    <row r="2267" spans="1:22" ht="13.5" customHeight="1">
      <c r="B2267" s="313">
        <v>1018</v>
      </c>
      <c r="C2267" s="282">
        <v>303013</v>
      </c>
      <c r="D2267" s="301" t="s">
        <v>38</v>
      </c>
    </row>
    <row r="2268" spans="1:22" s="303" customFormat="1">
      <c r="A2268" s="10"/>
      <c r="B2268" s="313">
        <v>1018</v>
      </c>
      <c r="C2268" s="282">
        <v>303022</v>
      </c>
      <c r="D2268" s="301" t="s">
        <v>38</v>
      </c>
      <c r="E2268" s="10"/>
      <c r="G2268" s="10"/>
    </row>
    <row r="2269" spans="1:22" s="303" customFormat="1">
      <c r="A2269" s="10"/>
      <c r="B2269" s="313">
        <v>1018</v>
      </c>
      <c r="C2269" s="282">
        <v>303023</v>
      </c>
      <c r="D2269" s="301" t="s">
        <v>38</v>
      </c>
      <c r="E2269" s="10"/>
      <c r="G2269" s="10"/>
    </row>
    <row r="2270" spans="1:22" s="303" customFormat="1">
      <c r="A2270" s="10"/>
      <c r="B2270" s="313">
        <v>1018</v>
      </c>
      <c r="C2270" s="282">
        <v>303032</v>
      </c>
      <c r="D2270" s="301" t="s">
        <v>38</v>
      </c>
      <c r="E2270" s="10"/>
      <c r="G2270" s="10"/>
    </row>
    <row r="2271" spans="1:22">
      <c r="B2271" s="313">
        <v>1018</v>
      </c>
      <c r="C2271" s="282">
        <v>303033</v>
      </c>
      <c r="D2271" s="301" t="s">
        <v>38</v>
      </c>
    </row>
    <row r="2272" spans="1:22">
      <c r="B2272" s="313">
        <v>1018</v>
      </c>
      <c r="C2272" s="282">
        <v>303042</v>
      </c>
      <c r="D2272" s="301" t="s">
        <v>38</v>
      </c>
    </row>
    <row r="2273" spans="2:4">
      <c r="B2273" s="313">
        <v>1018</v>
      </c>
      <c r="C2273" s="282">
        <v>303043</v>
      </c>
      <c r="D2273" s="301" t="s">
        <v>38</v>
      </c>
    </row>
    <row r="2274" spans="2:4">
      <c r="B2274" s="313">
        <v>1018</v>
      </c>
      <c r="C2274" s="282">
        <v>303052</v>
      </c>
      <c r="D2274" s="301" t="s">
        <v>38</v>
      </c>
    </row>
    <row r="2275" spans="2:4">
      <c r="B2275" s="313">
        <v>1018</v>
      </c>
      <c r="C2275" s="282">
        <v>303053</v>
      </c>
      <c r="D2275" s="301" t="s">
        <v>38</v>
      </c>
    </row>
    <row r="2276" spans="2:4">
      <c r="B2276" s="313">
        <v>1018</v>
      </c>
      <c r="C2276" s="282">
        <v>303062</v>
      </c>
      <c r="D2276" s="301" t="s">
        <v>38</v>
      </c>
    </row>
    <row r="2277" spans="2:4">
      <c r="B2277" s="313">
        <v>1018</v>
      </c>
      <c r="C2277" s="282">
        <v>303063</v>
      </c>
      <c r="D2277" s="301" t="s">
        <v>38</v>
      </c>
    </row>
    <row r="2278" spans="2:4">
      <c r="B2278" s="313">
        <v>1018</v>
      </c>
      <c r="C2278" s="282">
        <v>303072</v>
      </c>
      <c r="D2278" s="301" t="s">
        <v>38</v>
      </c>
    </row>
    <row r="2279" spans="2:4">
      <c r="B2279" s="313">
        <v>1018</v>
      </c>
      <c r="C2279" s="282">
        <v>303073</v>
      </c>
      <c r="D2279" s="301" t="s">
        <v>38</v>
      </c>
    </row>
    <row r="2280" spans="2:4">
      <c r="B2280" s="313">
        <v>1018</v>
      </c>
      <c r="C2280" s="282">
        <v>303082</v>
      </c>
      <c r="D2280" s="301" t="s">
        <v>38</v>
      </c>
    </row>
    <row r="2281" spans="2:4">
      <c r="B2281" s="313">
        <v>1018</v>
      </c>
      <c r="C2281" s="282">
        <v>303083</v>
      </c>
      <c r="D2281" s="301" t="s">
        <v>38</v>
      </c>
    </row>
    <row r="2282" spans="2:4">
      <c r="B2282" s="309">
        <v>1019</v>
      </c>
      <c r="C2282" s="43">
        <v>200011</v>
      </c>
      <c r="D2282" s="10" t="s">
        <v>736</v>
      </c>
    </row>
    <row r="2283" spans="2:4">
      <c r="B2283" s="309">
        <v>1019</v>
      </c>
      <c r="C2283" s="43">
        <v>200012</v>
      </c>
      <c r="D2283" s="10" t="s">
        <v>736</v>
      </c>
    </row>
    <row r="2284" spans="2:4">
      <c r="B2284" s="309">
        <v>1019</v>
      </c>
      <c r="C2284" s="43">
        <v>200013</v>
      </c>
      <c r="D2284" s="10" t="s">
        <v>736</v>
      </c>
    </row>
    <row r="2285" spans="2:4">
      <c r="B2285" s="309">
        <v>1019</v>
      </c>
      <c r="C2285" s="43">
        <v>200014</v>
      </c>
      <c r="D2285" s="10" t="s">
        <v>736</v>
      </c>
    </row>
    <row r="2286" spans="2:4">
      <c r="B2286" s="309">
        <v>1019</v>
      </c>
      <c r="C2286" s="43">
        <v>200022</v>
      </c>
      <c r="D2286" s="10" t="s">
        <v>736</v>
      </c>
    </row>
    <row r="2287" spans="2:4">
      <c r="B2287" s="309">
        <v>1019</v>
      </c>
      <c r="C2287" s="43">
        <v>200023</v>
      </c>
      <c r="D2287" s="10" t="s">
        <v>736</v>
      </c>
    </row>
    <row r="2288" spans="2:4">
      <c r="B2288" s="309">
        <v>1019</v>
      </c>
      <c r="C2288" s="43">
        <v>200025</v>
      </c>
      <c r="D2288" s="10" t="s">
        <v>736</v>
      </c>
    </row>
    <row r="2289" spans="1:8">
      <c r="B2289" s="309">
        <v>1019</v>
      </c>
      <c r="C2289" s="43">
        <v>200027</v>
      </c>
      <c r="D2289" s="10" t="s">
        <v>736</v>
      </c>
    </row>
    <row r="2290" spans="1:8">
      <c r="B2290" s="309">
        <v>1019</v>
      </c>
      <c r="C2290" s="43">
        <v>200030</v>
      </c>
      <c r="D2290" s="10" t="s">
        <v>736</v>
      </c>
    </row>
    <row r="2291" spans="1:8">
      <c r="B2291" s="309">
        <v>1019</v>
      </c>
      <c r="C2291" s="43">
        <v>200031</v>
      </c>
      <c r="D2291" s="10" t="s">
        <v>736</v>
      </c>
    </row>
    <row r="2292" spans="1:8">
      <c r="B2292" s="309">
        <v>1019</v>
      </c>
      <c r="C2292" s="43">
        <v>200039</v>
      </c>
      <c r="D2292" s="10" t="s">
        <v>736</v>
      </c>
    </row>
    <row r="2293" spans="1:8">
      <c r="B2293" s="309">
        <v>1019</v>
      </c>
      <c r="C2293" s="43">
        <v>200045</v>
      </c>
      <c r="D2293" s="10" t="s">
        <v>736</v>
      </c>
      <c r="H2293" s="43"/>
    </row>
    <row r="2294" spans="1:8">
      <c r="B2294" s="309">
        <v>1019</v>
      </c>
      <c r="C2294" s="43">
        <v>200047</v>
      </c>
      <c r="D2294" s="10" t="s">
        <v>736</v>
      </c>
      <c r="H2294" s="43"/>
    </row>
    <row r="2295" spans="1:8">
      <c r="B2295" s="309">
        <v>1019</v>
      </c>
      <c r="C2295" s="43">
        <v>200049</v>
      </c>
      <c r="D2295" s="10" t="s">
        <v>736</v>
      </c>
      <c r="H2295" s="43"/>
    </row>
    <row r="2296" spans="1:8">
      <c r="B2296" s="309">
        <v>1019</v>
      </c>
      <c r="C2296" s="43">
        <v>200054</v>
      </c>
      <c r="D2296" s="10" t="s">
        <v>736</v>
      </c>
      <c r="H2296" s="43"/>
    </row>
    <row r="2297" spans="1:8">
      <c r="B2297" s="309">
        <v>1019</v>
      </c>
      <c r="C2297" s="43">
        <v>200060</v>
      </c>
      <c r="D2297" s="10" t="s">
        <v>736</v>
      </c>
      <c r="H2297" s="43"/>
    </row>
    <row r="2298" spans="1:8" ht="13.5" customHeight="1" thickBot="1">
      <c r="B2298" s="309">
        <v>1019</v>
      </c>
      <c r="C2298" s="43">
        <v>200075</v>
      </c>
      <c r="D2298" s="10" t="s">
        <v>736</v>
      </c>
    </row>
    <row r="2299" spans="1:8" ht="13.5" customHeight="1" thickBot="1">
      <c r="A2299" s="307" t="s">
        <v>2038</v>
      </c>
      <c r="B2299" s="309">
        <v>1019</v>
      </c>
      <c r="C2299" s="43">
        <v>200078</v>
      </c>
      <c r="D2299" s="270" t="s">
        <v>1842</v>
      </c>
    </row>
    <row r="2300" spans="1:8" ht="13.5" customHeight="1" thickBot="1">
      <c r="A2300" s="307" t="s">
        <v>2036</v>
      </c>
      <c r="B2300" s="309">
        <v>1019</v>
      </c>
      <c r="C2300" s="10">
        <v>200090</v>
      </c>
      <c r="D2300" s="270" t="s">
        <v>1842</v>
      </c>
    </row>
    <row r="2301" spans="1:8" ht="13.5" customHeight="1" thickBot="1">
      <c r="A2301" s="307" t="s">
        <v>2034</v>
      </c>
      <c r="B2301" s="309">
        <v>1019</v>
      </c>
      <c r="C2301" s="10">
        <v>200085</v>
      </c>
      <c r="D2301" s="270" t="s">
        <v>1842</v>
      </c>
    </row>
    <row r="2302" spans="1:8" ht="13.5" customHeight="1" thickBot="1">
      <c r="A2302" s="307" t="s">
        <v>2032</v>
      </c>
      <c r="B2302" s="309">
        <v>1019</v>
      </c>
      <c r="C2302" s="43">
        <v>200092</v>
      </c>
      <c r="D2302" s="270" t="s">
        <v>1842</v>
      </c>
    </row>
    <row r="2303" spans="1:8" ht="13.5" customHeight="1">
      <c r="A2303" s="81" t="s">
        <v>2042</v>
      </c>
      <c r="B2303" s="309">
        <v>1019</v>
      </c>
      <c r="C2303" s="43">
        <v>200096</v>
      </c>
      <c r="D2303" s="270" t="s">
        <v>1842</v>
      </c>
    </row>
    <row r="2304" spans="1:8" ht="13.5" customHeight="1">
      <c r="A2304" s="315" t="s">
        <v>2094</v>
      </c>
      <c r="B2304" s="309">
        <v>1019</v>
      </c>
      <c r="C2304" s="315">
        <v>200097</v>
      </c>
      <c r="D2304" s="315" t="s">
        <v>736</v>
      </c>
    </row>
    <row r="2305" spans="2:12">
      <c r="B2305" s="311">
        <v>1019</v>
      </c>
      <c r="C2305" s="302">
        <v>30580015</v>
      </c>
      <c r="D2305" s="303" t="s">
        <v>737</v>
      </c>
      <c r="E2305" s="303">
        <v>250121</v>
      </c>
    </row>
    <row r="2306" spans="2:12">
      <c r="B2306" s="311">
        <v>1019</v>
      </c>
      <c r="C2306" s="302">
        <v>30570009</v>
      </c>
      <c r="D2306" s="303" t="s">
        <v>737</v>
      </c>
      <c r="E2306" s="303">
        <v>250121</v>
      </c>
    </row>
    <row r="2307" spans="2:12">
      <c r="B2307" s="311">
        <v>1019</v>
      </c>
      <c r="C2307" s="302">
        <v>30560007</v>
      </c>
      <c r="D2307" s="303" t="s">
        <v>737</v>
      </c>
      <c r="E2307" s="303">
        <v>250121</v>
      </c>
    </row>
    <row r="2308" spans="2:12">
      <c r="B2308" s="311">
        <v>1019</v>
      </c>
      <c r="C2308" s="302">
        <v>30505005</v>
      </c>
      <c r="D2308" s="303" t="s">
        <v>737</v>
      </c>
      <c r="E2308" s="303">
        <v>250121</v>
      </c>
    </row>
    <row r="2309" spans="2:12">
      <c r="B2309" s="311">
        <v>1019</v>
      </c>
      <c r="C2309" s="302">
        <v>30550022</v>
      </c>
      <c r="D2309" s="303" t="s">
        <v>737</v>
      </c>
      <c r="E2309" s="303">
        <v>250121</v>
      </c>
    </row>
    <row r="2310" spans="2:12">
      <c r="B2310" s="312">
        <v>1019</v>
      </c>
      <c r="C2310" s="286">
        <v>305007</v>
      </c>
      <c r="D2310" s="10" t="s">
        <v>737</v>
      </c>
      <c r="I2310" s="286">
        <v>305007</v>
      </c>
      <c r="J2310" s="286" t="s">
        <v>1213</v>
      </c>
      <c r="K2310" s="286">
        <v>1</v>
      </c>
      <c r="L2310" s="287" t="s">
        <v>1828</v>
      </c>
    </row>
    <row r="2311" spans="2:12">
      <c r="B2311" s="312">
        <v>1019</v>
      </c>
      <c r="C2311" s="286">
        <v>305008</v>
      </c>
      <c r="D2311" s="10" t="s">
        <v>737</v>
      </c>
      <c r="I2311" s="286">
        <v>305008</v>
      </c>
      <c r="J2311" s="286" t="s">
        <v>1217</v>
      </c>
      <c r="K2311" s="286">
        <v>1</v>
      </c>
      <c r="L2311" s="287" t="s">
        <v>1828</v>
      </c>
    </row>
    <row r="2312" spans="2:12">
      <c r="B2312" s="312">
        <v>1019</v>
      </c>
      <c r="C2312" s="286">
        <v>305009</v>
      </c>
      <c r="D2312" s="10" t="s">
        <v>737</v>
      </c>
      <c r="I2312" s="286">
        <v>305009</v>
      </c>
      <c r="J2312" s="286" t="s">
        <v>1220</v>
      </c>
      <c r="K2312" s="286">
        <v>1</v>
      </c>
      <c r="L2312" s="287" t="s">
        <v>1828</v>
      </c>
    </row>
    <row r="2313" spans="2:12">
      <c r="B2313" s="312">
        <v>1019</v>
      </c>
      <c r="C2313" s="286">
        <v>305023</v>
      </c>
      <c r="D2313" s="10" t="s">
        <v>737</v>
      </c>
      <c r="I2313" s="286">
        <v>305023</v>
      </c>
      <c r="J2313" s="286" t="s">
        <v>1277</v>
      </c>
      <c r="K2313" s="286">
        <v>1</v>
      </c>
      <c r="L2313" s="287" t="s">
        <v>1828</v>
      </c>
    </row>
    <row r="2314" spans="2:12">
      <c r="B2314" s="312">
        <v>1019</v>
      </c>
      <c r="C2314" s="286">
        <v>305034</v>
      </c>
      <c r="D2314" s="10" t="s">
        <v>737</v>
      </c>
      <c r="I2314" s="286">
        <v>305034</v>
      </c>
      <c r="J2314" s="286" t="s">
        <v>222</v>
      </c>
      <c r="K2314" s="286">
        <v>1</v>
      </c>
      <c r="L2314" s="287" t="s">
        <v>1828</v>
      </c>
    </row>
    <row r="2315" spans="2:12">
      <c r="B2315" s="312">
        <v>1019</v>
      </c>
      <c r="C2315" s="286">
        <v>305035</v>
      </c>
      <c r="D2315" s="10" t="s">
        <v>737</v>
      </c>
      <c r="I2315" s="286">
        <v>305035</v>
      </c>
      <c r="J2315" s="286" t="s">
        <v>227</v>
      </c>
      <c r="K2315" s="286">
        <v>1</v>
      </c>
      <c r="L2315" s="287" t="s">
        <v>1828</v>
      </c>
    </row>
    <row r="2316" spans="2:12">
      <c r="B2316" s="312">
        <v>1019</v>
      </c>
      <c r="C2316" s="286">
        <v>305036</v>
      </c>
      <c r="D2316" s="10" t="s">
        <v>737</v>
      </c>
      <c r="I2316" s="286">
        <v>305036</v>
      </c>
      <c r="J2316" s="286" t="s">
        <v>232</v>
      </c>
      <c r="K2316" s="286">
        <v>1</v>
      </c>
      <c r="L2316" s="287" t="s">
        <v>1828</v>
      </c>
    </row>
    <row r="2317" spans="2:12">
      <c r="B2317" s="312">
        <v>1019</v>
      </c>
      <c r="C2317" s="286">
        <v>305039</v>
      </c>
      <c r="D2317" s="10" t="s">
        <v>737</v>
      </c>
      <c r="I2317" s="286">
        <v>305039</v>
      </c>
      <c r="J2317" s="286" t="s">
        <v>1829</v>
      </c>
      <c r="K2317" s="286">
        <v>1</v>
      </c>
      <c r="L2317" s="287" t="s">
        <v>1828</v>
      </c>
    </row>
    <row r="2318" spans="2:12">
      <c r="B2318" s="312">
        <v>1019</v>
      </c>
      <c r="C2318" s="286">
        <v>305040</v>
      </c>
      <c r="D2318" s="10" t="s">
        <v>737</v>
      </c>
      <c r="I2318" s="286">
        <v>305040</v>
      </c>
      <c r="J2318" s="286" t="s">
        <v>277</v>
      </c>
      <c r="K2318" s="286">
        <v>1</v>
      </c>
      <c r="L2318" s="287" t="s">
        <v>1828</v>
      </c>
    </row>
    <row r="2319" spans="2:12">
      <c r="B2319" s="312">
        <v>1019</v>
      </c>
      <c r="C2319" s="286">
        <v>305200</v>
      </c>
      <c r="D2319" s="10" t="s">
        <v>737</v>
      </c>
      <c r="I2319" s="286">
        <v>305200</v>
      </c>
      <c r="J2319" s="286" t="s">
        <v>313</v>
      </c>
      <c r="K2319" s="286">
        <v>1</v>
      </c>
      <c r="L2319" s="287" t="s">
        <v>1828</v>
      </c>
    </row>
    <row r="2320" spans="2:12">
      <c r="B2320" s="312">
        <v>1019</v>
      </c>
      <c r="C2320" s="288">
        <v>305224</v>
      </c>
      <c r="D2320" s="10" t="s">
        <v>737</v>
      </c>
      <c r="I2320" s="288">
        <v>305224</v>
      </c>
      <c r="J2320" s="10" t="s">
        <v>1890</v>
      </c>
      <c r="K2320" s="286">
        <v>1</v>
      </c>
      <c r="L2320" s="287" t="s">
        <v>1828</v>
      </c>
    </row>
    <row r="2321" spans="2:12">
      <c r="B2321" s="312">
        <v>1019</v>
      </c>
      <c r="C2321" s="288">
        <v>305225</v>
      </c>
      <c r="D2321" s="10" t="s">
        <v>737</v>
      </c>
      <c r="I2321" s="288">
        <v>305225</v>
      </c>
      <c r="J2321" s="10" t="s">
        <v>1888</v>
      </c>
      <c r="K2321" s="286">
        <v>1</v>
      </c>
      <c r="L2321" s="287" t="s">
        <v>1828</v>
      </c>
    </row>
    <row r="2322" spans="2:12">
      <c r="B2322" s="312">
        <v>1019</v>
      </c>
      <c r="C2322" s="288">
        <v>305226</v>
      </c>
      <c r="D2322" s="10" t="s">
        <v>737</v>
      </c>
      <c r="I2322" s="288">
        <v>305226</v>
      </c>
      <c r="J2322" s="10" t="s">
        <v>1891</v>
      </c>
      <c r="K2322" s="286">
        <v>1</v>
      </c>
      <c r="L2322" s="287" t="s">
        <v>1828</v>
      </c>
    </row>
    <row r="2323" spans="2:12">
      <c r="B2323" s="312">
        <v>1019</v>
      </c>
      <c r="C2323" s="289">
        <v>305010</v>
      </c>
      <c r="D2323" s="10" t="s">
        <v>737</v>
      </c>
      <c r="I2323" s="289">
        <v>305010</v>
      </c>
      <c r="J2323" s="289" t="s">
        <v>1223</v>
      </c>
      <c r="K2323" s="289">
        <v>2</v>
      </c>
      <c r="L2323" s="290" t="s">
        <v>1830</v>
      </c>
    </row>
    <row r="2324" spans="2:12">
      <c r="B2324" s="312">
        <v>1019</v>
      </c>
      <c r="C2324" s="289">
        <v>305021</v>
      </c>
      <c r="D2324" s="10" t="s">
        <v>737</v>
      </c>
      <c r="I2324" s="289">
        <v>305021</v>
      </c>
      <c r="J2324" s="289" t="s">
        <v>1270</v>
      </c>
      <c r="K2324" s="289">
        <v>2</v>
      </c>
      <c r="L2324" s="290" t="s">
        <v>1830</v>
      </c>
    </row>
    <row r="2325" spans="2:12">
      <c r="B2325" s="312">
        <v>1019</v>
      </c>
      <c r="C2325" s="289">
        <v>305022</v>
      </c>
      <c r="D2325" s="10" t="s">
        <v>737</v>
      </c>
      <c r="I2325" s="289">
        <v>305022</v>
      </c>
      <c r="J2325" s="289" t="s">
        <v>1273</v>
      </c>
      <c r="K2325" s="289">
        <v>2</v>
      </c>
      <c r="L2325" s="290" t="s">
        <v>1830</v>
      </c>
    </row>
    <row r="2326" spans="2:12">
      <c r="B2326" s="312">
        <v>1019</v>
      </c>
      <c r="C2326" s="289">
        <v>305032</v>
      </c>
      <c r="D2326" s="10" t="s">
        <v>737</v>
      </c>
      <c r="I2326" s="289">
        <v>305032</v>
      </c>
      <c r="J2326" s="289" t="s">
        <v>213</v>
      </c>
      <c r="K2326" s="289">
        <v>2</v>
      </c>
      <c r="L2326" s="290" t="s">
        <v>1830</v>
      </c>
    </row>
    <row r="2327" spans="2:12">
      <c r="B2327" s="312">
        <v>1019</v>
      </c>
      <c r="C2327" s="289">
        <v>305033</v>
      </c>
      <c r="D2327" s="10" t="s">
        <v>737</v>
      </c>
      <c r="I2327" s="289">
        <v>305033</v>
      </c>
      <c r="J2327" s="289" t="s">
        <v>217</v>
      </c>
      <c r="K2327" s="289">
        <v>2</v>
      </c>
      <c r="L2327" s="290" t="s">
        <v>1830</v>
      </c>
    </row>
    <row r="2328" spans="2:12">
      <c r="B2328" s="312">
        <v>1019</v>
      </c>
      <c r="C2328" s="289">
        <v>305037</v>
      </c>
      <c r="D2328" s="10" t="s">
        <v>737</v>
      </c>
      <c r="I2328" s="289">
        <v>305037</v>
      </c>
      <c r="J2328" s="289" t="s">
        <v>264</v>
      </c>
      <c r="K2328" s="289">
        <v>2</v>
      </c>
      <c r="L2328" s="290" t="s">
        <v>1830</v>
      </c>
    </row>
    <row r="2329" spans="2:12">
      <c r="B2329" s="312">
        <v>1019</v>
      </c>
      <c r="C2329" s="289">
        <v>305038</v>
      </c>
      <c r="D2329" s="10" t="s">
        <v>737</v>
      </c>
      <c r="I2329" s="289">
        <v>305038</v>
      </c>
      <c r="J2329" s="289" t="s">
        <v>268</v>
      </c>
      <c r="K2329" s="289">
        <v>2</v>
      </c>
      <c r="L2329" s="290" t="s">
        <v>1830</v>
      </c>
    </row>
    <row r="2330" spans="2:12">
      <c r="B2330" s="312">
        <v>1019</v>
      </c>
      <c r="C2330" s="289">
        <v>305300</v>
      </c>
      <c r="D2330" s="10" t="s">
        <v>737</v>
      </c>
      <c r="I2330" s="289">
        <v>305300</v>
      </c>
      <c r="J2330" s="289" t="s">
        <v>318</v>
      </c>
      <c r="K2330" s="289">
        <v>2</v>
      </c>
      <c r="L2330" s="290" t="s">
        <v>1830</v>
      </c>
    </row>
    <row r="2331" spans="2:12">
      <c r="B2331" s="312">
        <v>1019</v>
      </c>
      <c r="C2331" s="288">
        <v>305324</v>
      </c>
      <c r="D2331" s="10" t="s">
        <v>737</v>
      </c>
      <c r="I2331" s="288">
        <v>305324</v>
      </c>
      <c r="J2331" s="10" t="s">
        <v>1887</v>
      </c>
      <c r="K2331" s="289">
        <v>2</v>
      </c>
      <c r="L2331" s="290" t="s">
        <v>1830</v>
      </c>
    </row>
    <row r="2332" spans="2:12">
      <c r="B2332" s="312">
        <v>1019</v>
      </c>
      <c r="C2332" s="288">
        <v>305325</v>
      </c>
      <c r="D2332" s="10" t="s">
        <v>737</v>
      </c>
      <c r="I2332" s="288">
        <v>305325</v>
      </c>
      <c r="J2332" s="10" t="s">
        <v>1888</v>
      </c>
      <c r="K2332" s="289">
        <v>2</v>
      </c>
      <c r="L2332" s="290" t="s">
        <v>1830</v>
      </c>
    </row>
    <row r="2333" spans="2:12">
      <c r="B2333" s="312">
        <v>1019</v>
      </c>
      <c r="C2333" s="288">
        <v>305326</v>
      </c>
      <c r="D2333" s="10" t="s">
        <v>737</v>
      </c>
      <c r="I2333" s="288">
        <v>305326</v>
      </c>
      <c r="J2333" s="10" t="s">
        <v>1889</v>
      </c>
      <c r="K2333" s="289">
        <v>2</v>
      </c>
      <c r="L2333" s="290" t="s">
        <v>1830</v>
      </c>
    </row>
    <row r="2334" spans="2:12">
      <c r="B2334" s="312">
        <v>1019</v>
      </c>
      <c r="C2334" s="291">
        <v>305001</v>
      </c>
      <c r="D2334" s="10" t="s">
        <v>737</v>
      </c>
      <c r="I2334" s="291">
        <v>305001</v>
      </c>
      <c r="J2334" s="291" t="s">
        <v>176</v>
      </c>
      <c r="K2334" s="291">
        <v>0</v>
      </c>
      <c r="L2334" s="292" t="s">
        <v>1827</v>
      </c>
    </row>
    <row r="2335" spans="2:12">
      <c r="B2335" s="312">
        <v>1019</v>
      </c>
      <c r="C2335" s="291">
        <v>305002</v>
      </c>
      <c r="D2335" s="10" t="s">
        <v>737</v>
      </c>
      <c r="I2335" s="291">
        <v>305002</v>
      </c>
      <c r="J2335" s="291" t="s">
        <v>181</v>
      </c>
      <c r="K2335" s="291">
        <v>0</v>
      </c>
      <c r="L2335" s="292" t="s">
        <v>1827</v>
      </c>
    </row>
    <row r="2336" spans="2:12">
      <c r="B2336" s="312">
        <v>1019</v>
      </c>
      <c r="C2336" s="291">
        <v>305003</v>
      </c>
      <c r="D2336" s="10" t="s">
        <v>737</v>
      </c>
      <c r="I2336" s="291">
        <v>305003</v>
      </c>
      <c r="J2336" s="291" t="s">
        <v>186</v>
      </c>
      <c r="K2336" s="291">
        <v>0</v>
      </c>
      <c r="L2336" s="292" t="s">
        <v>1827</v>
      </c>
    </row>
    <row r="2337" spans="2:22">
      <c r="B2337" s="312">
        <v>1019</v>
      </c>
      <c r="C2337" s="291">
        <v>305018</v>
      </c>
      <c r="D2337" s="10" t="s">
        <v>737</v>
      </c>
      <c r="I2337" s="291">
        <v>305018</v>
      </c>
      <c r="J2337" s="291" t="s">
        <v>191</v>
      </c>
      <c r="K2337" s="291">
        <v>0</v>
      </c>
      <c r="L2337" s="292" t="s">
        <v>1827</v>
      </c>
    </row>
    <row r="2338" spans="2:22">
      <c r="B2338" s="312">
        <v>1019</v>
      </c>
      <c r="C2338" s="291">
        <v>305019</v>
      </c>
      <c r="D2338" s="10" t="s">
        <v>737</v>
      </c>
      <c r="I2338" s="291">
        <v>305019</v>
      </c>
      <c r="J2338" s="291" t="s">
        <v>196</v>
      </c>
      <c r="K2338" s="291">
        <v>0</v>
      </c>
      <c r="L2338" s="292" t="s">
        <v>1827</v>
      </c>
    </row>
    <row r="2339" spans="2:22">
      <c r="B2339" s="312">
        <v>1019</v>
      </c>
      <c r="C2339" s="291">
        <v>305041</v>
      </c>
      <c r="D2339" s="10" t="s">
        <v>737</v>
      </c>
      <c r="I2339" s="291">
        <v>305041</v>
      </c>
      <c r="J2339" s="291" t="s">
        <v>282</v>
      </c>
      <c r="K2339" s="291">
        <v>0</v>
      </c>
      <c r="L2339" s="292" t="s">
        <v>1827</v>
      </c>
    </row>
    <row r="2340" spans="2:22">
      <c r="B2340" s="312">
        <v>1019</v>
      </c>
      <c r="C2340" s="291">
        <v>305042</v>
      </c>
      <c r="D2340" s="10" t="s">
        <v>737</v>
      </c>
      <c r="I2340" s="291">
        <v>305042</v>
      </c>
      <c r="J2340" s="291" t="s">
        <v>287</v>
      </c>
      <c r="K2340" s="291">
        <v>0</v>
      </c>
      <c r="L2340" s="292" t="s">
        <v>1827</v>
      </c>
    </row>
    <row r="2341" spans="2:22">
      <c r="B2341" s="312">
        <v>1019</v>
      </c>
      <c r="C2341" s="291">
        <v>305600</v>
      </c>
      <c r="D2341" s="10" t="s">
        <v>737</v>
      </c>
      <c r="I2341" s="291">
        <v>305600</v>
      </c>
      <c r="J2341" s="291" t="s">
        <v>323</v>
      </c>
      <c r="K2341" s="291">
        <v>0</v>
      </c>
      <c r="L2341" s="292" t="s">
        <v>1827</v>
      </c>
    </row>
    <row r="2342" spans="2:22">
      <c r="B2342" s="312">
        <v>1019</v>
      </c>
      <c r="C2342" s="288">
        <v>305623</v>
      </c>
      <c r="D2342" s="10" t="s">
        <v>737</v>
      </c>
      <c r="I2342" s="288">
        <v>305623</v>
      </c>
      <c r="J2342" s="10" t="s">
        <v>1864</v>
      </c>
      <c r="K2342" s="291">
        <v>0</v>
      </c>
      <c r="L2342" s="292" t="s">
        <v>1827</v>
      </c>
    </row>
    <row r="2343" spans="2:22">
      <c r="B2343" s="312">
        <v>1019</v>
      </c>
      <c r="C2343" s="288">
        <v>305624</v>
      </c>
      <c r="D2343" s="10" t="s">
        <v>737</v>
      </c>
      <c r="I2343" s="288">
        <v>305624</v>
      </c>
      <c r="J2343" s="10" t="s">
        <v>1865</v>
      </c>
      <c r="K2343" s="291">
        <v>0</v>
      </c>
      <c r="L2343" s="292" t="s">
        <v>1827</v>
      </c>
    </row>
    <row r="2344" spans="2:22">
      <c r="B2344" s="312">
        <v>1019</v>
      </c>
      <c r="C2344" s="288">
        <v>305625</v>
      </c>
      <c r="D2344" s="10" t="s">
        <v>737</v>
      </c>
      <c r="I2344" s="288">
        <v>305625</v>
      </c>
      <c r="J2344" s="10" t="s">
        <v>1866</v>
      </c>
      <c r="K2344" s="291">
        <v>0</v>
      </c>
      <c r="L2344" s="292" t="s">
        <v>1827</v>
      </c>
    </row>
    <row r="2345" spans="2:22">
      <c r="B2345" s="312">
        <v>1019</v>
      </c>
      <c r="C2345" s="288">
        <v>305626</v>
      </c>
      <c r="D2345" s="10" t="s">
        <v>737</v>
      </c>
      <c r="I2345" s="288">
        <v>305626</v>
      </c>
      <c r="J2345" s="10" t="s">
        <v>1867</v>
      </c>
      <c r="K2345" s="291">
        <v>0</v>
      </c>
      <c r="L2345" s="292" t="s">
        <v>1827</v>
      </c>
    </row>
    <row r="2346" spans="2:22">
      <c r="B2346" s="312">
        <v>1019</v>
      </c>
      <c r="C2346" s="293">
        <v>305012</v>
      </c>
      <c r="D2346" s="10" t="s">
        <v>737</v>
      </c>
      <c r="I2346" s="293">
        <v>305012</v>
      </c>
      <c r="J2346" s="293" t="s">
        <v>1230</v>
      </c>
      <c r="K2346" s="293">
        <v>6</v>
      </c>
      <c r="L2346" s="294" t="s">
        <v>1833</v>
      </c>
    </row>
    <row r="2347" spans="2:22">
      <c r="B2347" s="312">
        <v>1019</v>
      </c>
      <c r="C2347" s="293">
        <v>305013</v>
      </c>
      <c r="D2347" s="10" t="s">
        <v>737</v>
      </c>
      <c r="I2347" s="293">
        <v>305013</v>
      </c>
      <c r="J2347" s="293" t="s">
        <v>1237</v>
      </c>
      <c r="K2347" s="293">
        <v>6</v>
      </c>
      <c r="L2347" s="294" t="s">
        <v>1833</v>
      </c>
    </row>
    <row r="2348" spans="2:22">
      <c r="B2348" s="312">
        <v>1019</v>
      </c>
      <c r="C2348" s="293">
        <v>305014</v>
      </c>
      <c r="D2348" s="10" t="s">
        <v>737</v>
      </c>
      <c r="I2348" s="293">
        <v>305014</v>
      </c>
      <c r="J2348" s="293" t="s">
        <v>1241</v>
      </c>
      <c r="K2348" s="293">
        <v>6</v>
      </c>
      <c r="L2348" s="294" t="s">
        <v>1833</v>
      </c>
    </row>
    <row r="2349" spans="2:22" s="285" customFormat="1">
      <c r="B2349" s="312">
        <v>1019</v>
      </c>
      <c r="C2349" s="293">
        <v>305046</v>
      </c>
      <c r="D2349" s="285" t="s">
        <v>737</v>
      </c>
      <c r="G2349" s="10"/>
      <c r="H2349" s="10"/>
      <c r="I2349" s="293">
        <v>305046</v>
      </c>
      <c r="J2349" s="293" t="s">
        <v>309</v>
      </c>
      <c r="K2349" s="293">
        <v>6</v>
      </c>
      <c r="L2349" s="294" t="s">
        <v>1833</v>
      </c>
      <c r="M2349" s="10"/>
      <c r="R2349" s="10"/>
      <c r="S2349" s="10"/>
      <c r="T2349" s="10"/>
      <c r="U2349" s="10"/>
      <c r="V2349" s="10"/>
    </row>
    <row r="2350" spans="2:22">
      <c r="B2350" s="312">
        <v>1019</v>
      </c>
      <c r="C2350" s="288">
        <v>305815</v>
      </c>
      <c r="D2350" s="10" t="s">
        <v>737</v>
      </c>
      <c r="I2350" s="288">
        <v>305815</v>
      </c>
      <c r="J2350" s="10" t="s">
        <v>1868</v>
      </c>
      <c r="K2350" s="293">
        <v>6</v>
      </c>
      <c r="L2350" s="294" t="s">
        <v>1833</v>
      </c>
    </row>
    <row r="2351" spans="2:22">
      <c r="B2351" s="312">
        <v>1019</v>
      </c>
      <c r="C2351" s="288">
        <v>305816</v>
      </c>
      <c r="D2351" s="10" t="s">
        <v>737</v>
      </c>
      <c r="I2351" s="288">
        <v>305816</v>
      </c>
      <c r="J2351" s="10" t="s">
        <v>1869</v>
      </c>
      <c r="K2351" s="293">
        <v>6</v>
      </c>
      <c r="L2351" s="294" t="s">
        <v>1833</v>
      </c>
    </row>
    <row r="2352" spans="2:22">
      <c r="B2352" s="312">
        <v>1019</v>
      </c>
      <c r="C2352" s="288">
        <v>305817</v>
      </c>
      <c r="D2352" s="10" t="s">
        <v>737</v>
      </c>
      <c r="I2352" s="288">
        <v>305817</v>
      </c>
      <c r="J2352" s="10" t="s">
        <v>1870</v>
      </c>
      <c r="K2352" s="293">
        <v>6</v>
      </c>
      <c r="L2352" s="294" t="s">
        <v>1833</v>
      </c>
    </row>
    <row r="2353" spans="1:22" s="285" customFormat="1">
      <c r="B2353" s="312">
        <v>1019</v>
      </c>
      <c r="C2353" s="288">
        <v>305818</v>
      </c>
      <c r="D2353" s="285" t="s">
        <v>737</v>
      </c>
      <c r="G2353" s="10"/>
      <c r="H2353" s="10"/>
      <c r="I2353" s="288">
        <v>305818</v>
      </c>
      <c r="J2353" s="10" t="s">
        <v>1871</v>
      </c>
      <c r="K2353" s="293">
        <v>6</v>
      </c>
      <c r="L2353" s="294" t="s">
        <v>1833</v>
      </c>
      <c r="M2353" s="10"/>
      <c r="R2353" s="10"/>
      <c r="S2353" s="10"/>
      <c r="T2353" s="10"/>
      <c r="U2353" s="10"/>
      <c r="V2353" s="10"/>
    </row>
    <row r="2354" spans="1:22">
      <c r="B2354" s="312">
        <v>1019</v>
      </c>
      <c r="C2354" s="288">
        <v>305819</v>
      </c>
      <c r="D2354" s="10" t="s">
        <v>737</v>
      </c>
      <c r="I2354" s="288">
        <v>305819</v>
      </c>
      <c r="J2354" s="10" t="s">
        <v>1872</v>
      </c>
      <c r="K2354" s="293">
        <v>6</v>
      </c>
      <c r="L2354" s="294" t="s">
        <v>1833</v>
      </c>
    </row>
    <row r="2355" spans="1:22" s="285" customFormat="1">
      <c r="B2355" s="312">
        <v>1019</v>
      </c>
      <c r="C2355" s="288">
        <v>305820</v>
      </c>
      <c r="D2355" s="285" t="s">
        <v>737</v>
      </c>
      <c r="G2355" s="10"/>
      <c r="H2355" s="10"/>
      <c r="I2355" s="288">
        <v>305820</v>
      </c>
      <c r="J2355" s="10" t="s">
        <v>1873</v>
      </c>
      <c r="K2355" s="293">
        <v>6</v>
      </c>
      <c r="L2355" s="294" t="s">
        <v>1833</v>
      </c>
      <c r="M2355" s="10"/>
      <c r="R2355" s="10"/>
      <c r="S2355" s="10"/>
      <c r="T2355" s="10"/>
      <c r="U2355" s="10"/>
      <c r="V2355" s="10"/>
    </row>
    <row r="2356" spans="1:22">
      <c r="B2356" s="312">
        <v>1019</v>
      </c>
      <c r="C2356" s="295">
        <v>305015</v>
      </c>
      <c r="D2356" s="10" t="s">
        <v>737</v>
      </c>
      <c r="I2356" s="295">
        <v>305015</v>
      </c>
      <c r="J2356" s="295" t="s">
        <v>1245</v>
      </c>
      <c r="K2356" s="295">
        <v>7</v>
      </c>
      <c r="L2356" s="296" t="s">
        <v>538</v>
      </c>
    </row>
    <row r="2357" spans="1:22">
      <c r="B2357" s="312">
        <v>1019</v>
      </c>
      <c r="C2357" s="295">
        <v>305016</v>
      </c>
      <c r="D2357" s="10" t="s">
        <v>737</v>
      </c>
      <c r="I2357" s="295">
        <v>305016</v>
      </c>
      <c r="J2357" s="295" t="s">
        <v>1251</v>
      </c>
      <c r="K2357" s="295">
        <v>7</v>
      </c>
      <c r="L2357" s="296" t="s">
        <v>538</v>
      </c>
    </row>
    <row r="2358" spans="1:22">
      <c r="B2358" s="312">
        <v>1019</v>
      </c>
      <c r="C2358" s="295">
        <v>305017</v>
      </c>
      <c r="D2358" s="10" t="s">
        <v>737</v>
      </c>
      <c r="I2358" s="295">
        <v>305017</v>
      </c>
      <c r="J2358" s="295" t="s">
        <v>1255</v>
      </c>
      <c r="K2358" s="295">
        <v>7</v>
      </c>
      <c r="L2358" s="296" t="s">
        <v>538</v>
      </c>
    </row>
    <row r="2359" spans="1:22">
      <c r="B2359" s="312">
        <v>1019</v>
      </c>
      <c r="C2359" s="295">
        <v>305700</v>
      </c>
      <c r="D2359" s="10" t="s">
        <v>737</v>
      </c>
      <c r="I2359" s="295">
        <v>305700</v>
      </c>
      <c r="J2359" s="295" t="s">
        <v>328</v>
      </c>
      <c r="K2359" s="295">
        <v>7</v>
      </c>
      <c r="L2359" s="296" t="s">
        <v>538</v>
      </c>
    </row>
    <row r="2360" spans="1:22">
      <c r="B2360" s="312">
        <v>1019</v>
      </c>
      <c r="C2360" s="288">
        <v>305719</v>
      </c>
      <c r="D2360" s="10" t="s">
        <v>737</v>
      </c>
      <c r="I2360" s="288">
        <v>305719</v>
      </c>
      <c r="J2360" s="10" t="s">
        <v>1874</v>
      </c>
      <c r="K2360" s="295">
        <v>7</v>
      </c>
      <c r="L2360" s="296" t="s">
        <v>538</v>
      </c>
    </row>
    <row r="2361" spans="1:22">
      <c r="B2361" s="312">
        <v>1019</v>
      </c>
      <c r="C2361" s="288">
        <v>305720</v>
      </c>
      <c r="D2361" s="10" t="s">
        <v>737</v>
      </c>
      <c r="I2361" s="288">
        <v>305720</v>
      </c>
      <c r="J2361" s="10" t="s">
        <v>1875</v>
      </c>
      <c r="K2361" s="295">
        <v>7</v>
      </c>
      <c r="L2361" s="296" t="s">
        <v>538</v>
      </c>
    </row>
    <row r="2362" spans="1:22">
      <c r="B2362" s="312">
        <v>1019</v>
      </c>
      <c r="C2362" s="288">
        <v>305721</v>
      </c>
      <c r="D2362" s="10" t="s">
        <v>737</v>
      </c>
      <c r="I2362" s="288">
        <v>305721</v>
      </c>
      <c r="J2362" s="10" t="s">
        <v>1876</v>
      </c>
      <c r="K2362" s="295">
        <v>7</v>
      </c>
      <c r="L2362" s="296" t="s">
        <v>538</v>
      </c>
    </row>
    <row r="2363" spans="1:22">
      <c r="B2363" s="312">
        <v>1019</v>
      </c>
      <c r="C2363" s="288">
        <v>305722</v>
      </c>
      <c r="D2363" s="10" t="s">
        <v>737</v>
      </c>
      <c r="I2363" s="288">
        <v>305722</v>
      </c>
      <c r="J2363" s="10" t="s">
        <v>1877</v>
      </c>
      <c r="K2363" s="295">
        <v>7</v>
      </c>
      <c r="L2363" s="296" t="s">
        <v>538</v>
      </c>
    </row>
    <row r="2364" spans="1:22">
      <c r="B2364" s="312">
        <v>1019</v>
      </c>
      <c r="C2364" s="288">
        <v>305723</v>
      </c>
      <c r="D2364" s="10" t="s">
        <v>737</v>
      </c>
      <c r="I2364" s="288">
        <v>305723</v>
      </c>
      <c r="J2364" s="10" t="s">
        <v>1878</v>
      </c>
      <c r="K2364" s="295">
        <v>7</v>
      </c>
      <c r="L2364" s="296" t="s">
        <v>538</v>
      </c>
    </row>
    <row r="2365" spans="1:22">
      <c r="B2365" s="312">
        <v>1019</v>
      </c>
      <c r="C2365" s="288">
        <v>305724</v>
      </c>
      <c r="D2365" s="10" t="s">
        <v>737</v>
      </c>
      <c r="I2365" s="288">
        <v>305724</v>
      </c>
      <c r="J2365" s="10" t="s">
        <v>1879</v>
      </c>
      <c r="K2365" s="295">
        <v>7</v>
      </c>
      <c r="L2365" s="296" t="s">
        <v>538</v>
      </c>
    </row>
    <row r="2366" spans="1:22">
      <c r="B2366" s="312">
        <v>1019</v>
      </c>
      <c r="C2366" s="297">
        <v>305011</v>
      </c>
      <c r="D2366" s="10" t="s">
        <v>737</v>
      </c>
      <c r="I2366" s="297">
        <v>305011</v>
      </c>
      <c r="J2366" s="297" t="s">
        <v>161</v>
      </c>
      <c r="K2366" s="297">
        <v>3</v>
      </c>
      <c r="L2366" s="298" t="s">
        <v>1831</v>
      </c>
    </row>
    <row r="2367" spans="1:22">
      <c r="B2367" s="312">
        <v>1019</v>
      </c>
      <c r="C2367" s="299">
        <v>305025</v>
      </c>
      <c r="D2367" s="10" t="s">
        <v>737</v>
      </c>
      <c r="I2367" s="299">
        <v>305025</v>
      </c>
      <c r="J2367" s="299" t="s">
        <v>200</v>
      </c>
      <c r="K2367" s="299">
        <v>4</v>
      </c>
      <c r="L2367" s="300" t="s">
        <v>1832</v>
      </c>
    </row>
    <row r="2368" spans="1:22" s="285" customFormat="1">
      <c r="A2368" s="10"/>
      <c r="B2368" s="312">
        <v>1019</v>
      </c>
      <c r="C2368" s="299">
        <v>305026</v>
      </c>
      <c r="D2368" s="10" t="s">
        <v>737</v>
      </c>
      <c r="E2368" s="10"/>
      <c r="F2368" s="10"/>
      <c r="G2368" s="10"/>
      <c r="H2368" s="10"/>
      <c r="I2368" s="299">
        <v>305026</v>
      </c>
      <c r="J2368" s="299" t="s">
        <v>204</v>
      </c>
      <c r="K2368" s="299">
        <v>4</v>
      </c>
      <c r="L2368" s="300" t="s">
        <v>1832</v>
      </c>
      <c r="M2368" s="10"/>
      <c r="N2368" s="10"/>
      <c r="O2368" s="10"/>
      <c r="P2368" s="10"/>
      <c r="Q2368" s="10"/>
      <c r="R2368" s="10"/>
      <c r="S2368" s="10"/>
      <c r="T2368" s="10"/>
      <c r="U2368" s="10"/>
      <c r="V2368" s="10"/>
    </row>
    <row r="2369" spans="1:22" s="285" customFormat="1">
      <c r="A2369" s="10"/>
      <c r="B2369" s="312">
        <v>1019</v>
      </c>
      <c r="C2369" s="299">
        <v>305050</v>
      </c>
      <c r="D2369" s="10" t="s">
        <v>737</v>
      </c>
      <c r="E2369" s="10"/>
      <c r="F2369" s="10"/>
      <c r="G2369" s="10"/>
      <c r="H2369" s="10"/>
      <c r="I2369" s="299">
        <v>305050</v>
      </c>
      <c r="J2369" s="299" t="s">
        <v>300</v>
      </c>
      <c r="K2369" s="299">
        <v>4</v>
      </c>
      <c r="L2369" s="300" t="s">
        <v>1832</v>
      </c>
      <c r="M2369" s="10"/>
      <c r="N2369" s="10"/>
      <c r="O2369" s="10"/>
      <c r="P2369" s="10"/>
      <c r="Q2369" s="10"/>
      <c r="R2369" s="10"/>
      <c r="S2369" s="10"/>
      <c r="T2369" s="10"/>
      <c r="U2369" s="10"/>
      <c r="V2369" s="10"/>
    </row>
    <row r="2370" spans="1:22" s="285" customFormat="1">
      <c r="A2370" s="10"/>
      <c r="B2370" s="312">
        <v>1019</v>
      </c>
      <c r="C2370" s="299">
        <v>305051</v>
      </c>
      <c r="D2370" s="10" t="s">
        <v>737</v>
      </c>
      <c r="E2370" s="10"/>
      <c r="F2370" s="10"/>
      <c r="G2370" s="10"/>
      <c r="H2370" s="10"/>
      <c r="I2370" s="299">
        <v>305051</v>
      </c>
      <c r="J2370" s="299" t="s">
        <v>340</v>
      </c>
      <c r="K2370" s="299">
        <v>4</v>
      </c>
      <c r="L2370" s="300" t="s">
        <v>1832</v>
      </c>
      <c r="M2370" s="10"/>
      <c r="N2370" s="10"/>
      <c r="O2370" s="10"/>
      <c r="P2370" s="10"/>
      <c r="Q2370" s="10"/>
      <c r="R2370" s="10"/>
      <c r="S2370" s="10"/>
      <c r="T2370" s="10"/>
      <c r="U2370" s="10"/>
      <c r="V2370" s="10"/>
    </row>
    <row r="2371" spans="1:22">
      <c r="B2371" s="312">
        <v>1019</v>
      </c>
      <c r="C2371" s="288">
        <v>305055</v>
      </c>
      <c r="D2371" s="10" t="s">
        <v>737</v>
      </c>
      <c r="I2371" s="288">
        <v>305055</v>
      </c>
      <c r="J2371" s="10" t="s">
        <v>1880</v>
      </c>
      <c r="K2371" s="299">
        <v>4</v>
      </c>
      <c r="L2371" s="300" t="s">
        <v>1832</v>
      </c>
    </row>
    <row r="2372" spans="1:22" s="285" customFormat="1">
      <c r="A2372" s="10"/>
      <c r="B2372" s="312">
        <v>1019</v>
      </c>
      <c r="C2372" s="288">
        <v>305056</v>
      </c>
      <c r="D2372" s="10" t="s">
        <v>737</v>
      </c>
      <c r="E2372" s="10"/>
      <c r="F2372" s="10"/>
      <c r="G2372" s="10"/>
      <c r="H2372" s="10"/>
      <c r="I2372" s="288">
        <v>305056</v>
      </c>
      <c r="J2372" s="10" t="s">
        <v>1881</v>
      </c>
      <c r="K2372" s="299">
        <v>4</v>
      </c>
      <c r="L2372" s="300" t="s">
        <v>1832</v>
      </c>
      <c r="M2372" s="10"/>
      <c r="N2372" s="10"/>
      <c r="O2372" s="10"/>
      <c r="P2372" s="10"/>
      <c r="Q2372" s="10"/>
      <c r="R2372" s="10"/>
      <c r="S2372" s="10"/>
      <c r="T2372" s="10"/>
      <c r="U2372" s="10"/>
      <c r="V2372" s="10"/>
    </row>
    <row r="2373" spans="1:22" s="285" customFormat="1">
      <c r="A2373" s="10"/>
      <c r="B2373" s="312">
        <v>1019</v>
      </c>
      <c r="C2373" s="288">
        <v>306104</v>
      </c>
      <c r="D2373" s="10" t="s">
        <v>737</v>
      </c>
      <c r="E2373" s="10"/>
      <c r="F2373" s="10"/>
      <c r="G2373" s="10"/>
      <c r="H2373" s="10"/>
      <c r="I2373" s="288">
        <v>306104</v>
      </c>
      <c r="J2373" s="10" t="s">
        <v>1882</v>
      </c>
      <c r="K2373" s="299">
        <v>4</v>
      </c>
      <c r="L2373" s="300" t="s">
        <v>1886</v>
      </c>
      <c r="M2373" s="10"/>
      <c r="N2373" s="10"/>
      <c r="O2373" s="10"/>
      <c r="P2373" s="10"/>
      <c r="Q2373" s="10"/>
      <c r="R2373" s="10"/>
      <c r="S2373" s="10"/>
      <c r="T2373" s="10"/>
      <c r="U2373" s="10"/>
      <c r="V2373" s="10"/>
    </row>
    <row r="2374" spans="1:22" s="285" customFormat="1">
      <c r="A2374" s="10"/>
      <c r="B2374" s="312">
        <v>1019</v>
      </c>
      <c r="C2374" s="288">
        <v>306105</v>
      </c>
      <c r="D2374" s="10" t="s">
        <v>737</v>
      </c>
      <c r="E2374" s="10"/>
      <c r="F2374" s="10"/>
      <c r="G2374" s="10"/>
      <c r="H2374" s="10"/>
      <c r="I2374" s="288">
        <v>306105</v>
      </c>
      <c r="J2374" s="10" t="s">
        <v>1883</v>
      </c>
      <c r="K2374" s="299">
        <v>4</v>
      </c>
      <c r="L2374" s="300" t="s">
        <v>1886</v>
      </c>
      <c r="M2374" s="10"/>
      <c r="N2374" s="10"/>
      <c r="O2374" s="10"/>
      <c r="P2374" s="10"/>
      <c r="Q2374" s="10"/>
      <c r="R2374" s="10"/>
      <c r="S2374" s="10"/>
      <c r="T2374" s="10"/>
      <c r="U2374" s="10"/>
      <c r="V2374" s="10"/>
    </row>
    <row r="2375" spans="1:22" s="285" customFormat="1">
      <c r="A2375" s="10"/>
      <c r="B2375" s="312">
        <v>1019</v>
      </c>
      <c r="C2375" s="288">
        <v>306106</v>
      </c>
      <c r="D2375" s="10" t="s">
        <v>737</v>
      </c>
      <c r="E2375" s="10"/>
      <c r="F2375" s="10"/>
      <c r="G2375" s="10"/>
      <c r="H2375" s="10"/>
      <c r="I2375" s="288">
        <v>306106</v>
      </c>
      <c r="J2375" s="10" t="s">
        <v>1884</v>
      </c>
      <c r="K2375" s="299">
        <v>4</v>
      </c>
      <c r="L2375" s="300" t="s">
        <v>1886</v>
      </c>
      <c r="M2375" s="10"/>
      <c r="N2375" s="10"/>
      <c r="O2375" s="10"/>
      <c r="P2375" s="10"/>
      <c r="Q2375" s="10"/>
      <c r="R2375" s="10"/>
      <c r="S2375" s="10"/>
      <c r="T2375" s="10"/>
      <c r="U2375" s="10"/>
      <c r="V2375" s="10"/>
    </row>
    <row r="2376" spans="1:22" s="285" customFormat="1">
      <c r="A2376" s="10"/>
      <c r="B2376" s="312">
        <v>1019</v>
      </c>
      <c r="C2376" s="288">
        <v>306107</v>
      </c>
      <c r="D2376" s="10" t="s">
        <v>737</v>
      </c>
      <c r="E2376" s="10"/>
      <c r="F2376" s="10"/>
      <c r="G2376" s="10"/>
      <c r="H2376" s="10"/>
      <c r="I2376" s="288">
        <v>306107</v>
      </c>
      <c r="J2376" s="10" t="s">
        <v>1885</v>
      </c>
      <c r="K2376" s="299">
        <v>4</v>
      </c>
      <c r="L2376" s="300" t="s">
        <v>1886</v>
      </c>
      <c r="M2376" s="10"/>
      <c r="N2376" s="10"/>
      <c r="O2376" s="10"/>
      <c r="P2376" s="10"/>
      <c r="Q2376" s="10"/>
      <c r="R2376" s="10"/>
      <c r="S2376" s="10"/>
      <c r="T2376" s="10"/>
      <c r="U2376" s="10"/>
      <c r="V2376" s="10"/>
    </row>
    <row r="2377" spans="1:22">
      <c r="B2377" s="313">
        <v>1019</v>
      </c>
      <c r="C2377" s="282">
        <v>303012</v>
      </c>
      <c r="D2377" s="301" t="s">
        <v>38</v>
      </c>
    </row>
    <row r="2378" spans="1:22">
      <c r="B2378" s="313">
        <v>1019</v>
      </c>
      <c r="C2378" s="282">
        <v>303013</v>
      </c>
      <c r="D2378" s="301" t="s">
        <v>38</v>
      </c>
    </row>
    <row r="2379" spans="1:22">
      <c r="B2379" s="313">
        <v>1019</v>
      </c>
      <c r="C2379" s="282">
        <v>303022</v>
      </c>
      <c r="D2379" s="301" t="s">
        <v>38</v>
      </c>
    </row>
    <row r="2380" spans="1:22">
      <c r="B2380" s="313">
        <v>1019</v>
      </c>
      <c r="C2380" s="282">
        <v>303023</v>
      </c>
      <c r="D2380" s="301" t="s">
        <v>38</v>
      </c>
    </row>
    <row r="2381" spans="1:22">
      <c r="B2381" s="313">
        <v>1019</v>
      </c>
      <c r="C2381" s="282">
        <v>303032</v>
      </c>
      <c r="D2381" s="301" t="s">
        <v>38</v>
      </c>
    </row>
    <row r="2382" spans="1:22">
      <c r="B2382" s="313">
        <v>1019</v>
      </c>
      <c r="C2382" s="282">
        <v>303033</v>
      </c>
      <c r="D2382" s="301" t="s">
        <v>38</v>
      </c>
    </row>
    <row r="2383" spans="1:22">
      <c r="B2383" s="313">
        <v>1019</v>
      </c>
      <c r="C2383" s="282">
        <v>303042</v>
      </c>
      <c r="D2383" s="301" t="s">
        <v>38</v>
      </c>
    </row>
    <row r="2384" spans="1:22">
      <c r="B2384" s="313">
        <v>1019</v>
      </c>
      <c r="C2384" s="282">
        <v>303043</v>
      </c>
      <c r="D2384" s="301" t="s">
        <v>38</v>
      </c>
    </row>
    <row r="2385" spans="2:4">
      <c r="B2385" s="313">
        <v>1019</v>
      </c>
      <c r="C2385" s="282">
        <v>303052</v>
      </c>
      <c r="D2385" s="301" t="s">
        <v>38</v>
      </c>
    </row>
    <row r="2386" spans="2:4">
      <c r="B2386" s="313">
        <v>1019</v>
      </c>
      <c r="C2386" s="282">
        <v>303053</v>
      </c>
      <c r="D2386" s="301" t="s">
        <v>38</v>
      </c>
    </row>
    <row r="2387" spans="2:4">
      <c r="B2387" s="313">
        <v>1019</v>
      </c>
      <c r="C2387" s="282">
        <v>303062</v>
      </c>
      <c r="D2387" s="301" t="s">
        <v>38</v>
      </c>
    </row>
    <row r="2388" spans="2:4">
      <c r="B2388" s="313">
        <v>1019</v>
      </c>
      <c r="C2388" s="282">
        <v>303063</v>
      </c>
      <c r="D2388" s="301" t="s">
        <v>38</v>
      </c>
    </row>
    <row r="2389" spans="2:4">
      <c r="B2389" s="313">
        <v>1019</v>
      </c>
      <c r="C2389" s="282">
        <v>303072</v>
      </c>
      <c r="D2389" s="301" t="s">
        <v>38</v>
      </c>
    </row>
    <row r="2390" spans="2:4">
      <c r="B2390" s="313">
        <v>1019</v>
      </c>
      <c r="C2390" s="282">
        <v>303073</v>
      </c>
      <c r="D2390" s="301" t="s">
        <v>38</v>
      </c>
    </row>
    <row r="2391" spans="2:4">
      <c r="B2391" s="313">
        <v>1019</v>
      </c>
      <c r="C2391" s="282">
        <v>303082</v>
      </c>
      <c r="D2391" s="301" t="s">
        <v>38</v>
      </c>
    </row>
    <row r="2392" spans="2:4">
      <c r="B2392" s="313">
        <v>1019</v>
      </c>
      <c r="C2392" s="282">
        <v>303083</v>
      </c>
      <c r="D2392" s="301" t="s">
        <v>38</v>
      </c>
    </row>
    <row r="2393" spans="2:4">
      <c r="B2393" s="283">
        <v>8000</v>
      </c>
      <c r="C2393" s="43">
        <v>200004</v>
      </c>
      <c r="D2393" s="10" t="s">
        <v>736</v>
      </c>
    </row>
    <row r="2394" spans="2:4">
      <c r="B2394" s="283">
        <v>8000</v>
      </c>
      <c r="C2394" s="43">
        <v>200003</v>
      </c>
      <c r="D2394" s="10" t="s">
        <v>736</v>
      </c>
    </row>
    <row r="2395" spans="2:4">
      <c r="B2395" s="283">
        <v>8000</v>
      </c>
      <c r="C2395" s="43">
        <v>200005</v>
      </c>
      <c r="D2395" s="10" t="s">
        <v>736</v>
      </c>
    </row>
    <row r="2396" spans="2:4">
      <c r="B2396" s="283">
        <v>8000</v>
      </c>
      <c r="C2396" s="43">
        <v>200006</v>
      </c>
      <c r="D2396" s="10" t="s">
        <v>736</v>
      </c>
    </row>
    <row r="2397" spans="2:4">
      <c r="B2397" s="283">
        <v>8000</v>
      </c>
      <c r="C2397" s="43">
        <v>200007</v>
      </c>
      <c r="D2397" s="10" t="s">
        <v>736</v>
      </c>
    </row>
    <row r="2398" spans="2:4">
      <c r="B2398" s="283">
        <v>8000</v>
      </c>
      <c r="C2398" s="43">
        <v>200008</v>
      </c>
      <c r="D2398" s="10" t="s">
        <v>736</v>
      </c>
    </row>
    <row r="2399" spans="2:4">
      <c r="B2399" s="283">
        <v>8000</v>
      </c>
      <c r="C2399" s="43">
        <v>200009</v>
      </c>
      <c r="D2399" s="10" t="s">
        <v>736</v>
      </c>
    </row>
    <row r="2400" spans="2:4">
      <c r="B2400" s="283">
        <v>8000</v>
      </c>
      <c r="C2400" s="43">
        <v>200010</v>
      </c>
      <c r="D2400" s="10" t="s">
        <v>736</v>
      </c>
    </row>
    <row r="2401" spans="2:4">
      <c r="B2401" s="283">
        <v>8000</v>
      </c>
      <c r="C2401" s="43">
        <v>200016</v>
      </c>
      <c r="D2401" s="10" t="s">
        <v>736</v>
      </c>
    </row>
    <row r="2402" spans="2:4">
      <c r="B2402" s="283">
        <v>8000</v>
      </c>
      <c r="C2402" s="43">
        <v>200017</v>
      </c>
      <c r="D2402" s="10" t="s">
        <v>736</v>
      </c>
    </row>
    <row r="2403" spans="2:4">
      <c r="B2403" s="283">
        <v>8000</v>
      </c>
      <c r="C2403" s="43">
        <v>200018</v>
      </c>
      <c r="D2403" s="10" t="s">
        <v>736</v>
      </c>
    </row>
    <row r="2404" spans="2:4">
      <c r="B2404" s="283">
        <v>8000</v>
      </c>
      <c r="C2404" s="43">
        <v>200019</v>
      </c>
      <c r="D2404" s="10" t="s">
        <v>736</v>
      </c>
    </row>
    <row r="2405" spans="2:4">
      <c r="B2405" s="283">
        <v>8000</v>
      </c>
      <c r="C2405" s="43">
        <v>200020</v>
      </c>
      <c r="D2405" s="10" t="s">
        <v>736</v>
      </c>
    </row>
    <row r="2406" spans="2:4">
      <c r="B2406" s="283">
        <v>8000</v>
      </c>
      <c r="C2406" s="43">
        <v>200021</v>
      </c>
      <c r="D2406" s="10" t="s">
        <v>736</v>
      </c>
    </row>
    <row r="2407" spans="2:4">
      <c r="B2407" s="283">
        <v>8000</v>
      </c>
      <c r="C2407" s="43">
        <v>200024</v>
      </c>
      <c r="D2407" s="10" t="s">
        <v>736</v>
      </c>
    </row>
    <row r="2408" spans="2:4">
      <c r="B2408" s="283">
        <v>8000</v>
      </c>
      <c r="C2408" s="43">
        <v>200026</v>
      </c>
      <c r="D2408" s="10" t="s">
        <v>736</v>
      </c>
    </row>
    <row r="2409" spans="2:4">
      <c r="B2409" s="283">
        <v>8000</v>
      </c>
      <c r="C2409" s="43">
        <v>200029</v>
      </c>
      <c r="D2409" s="10" t="s">
        <v>736</v>
      </c>
    </row>
    <row r="2410" spans="2:4">
      <c r="B2410" s="283">
        <v>8000</v>
      </c>
      <c r="C2410" s="43">
        <v>200028</v>
      </c>
      <c r="D2410" s="10" t="s">
        <v>736</v>
      </c>
    </row>
    <row r="2411" spans="2:4">
      <c r="B2411" s="10">
        <v>8000</v>
      </c>
      <c r="C2411" s="43">
        <v>200032</v>
      </c>
      <c r="D2411" s="10" t="s">
        <v>736</v>
      </c>
    </row>
    <row r="2412" spans="2:4">
      <c r="B2412" s="10">
        <v>8000</v>
      </c>
      <c r="C2412" s="43">
        <v>200033</v>
      </c>
      <c r="D2412" s="10" t="s">
        <v>736</v>
      </c>
    </row>
    <row r="2413" spans="2:4" ht="13.5" customHeight="1">
      <c r="B2413" s="10">
        <v>8000</v>
      </c>
      <c r="C2413" s="43">
        <v>200038</v>
      </c>
      <c r="D2413" s="10" t="s">
        <v>736</v>
      </c>
    </row>
    <row r="2414" spans="2:4" ht="13.5" customHeight="1">
      <c r="B2414" s="10">
        <v>8000</v>
      </c>
      <c r="C2414" s="43">
        <v>200044</v>
      </c>
      <c r="D2414" s="10" t="s">
        <v>736</v>
      </c>
    </row>
    <row r="2415" spans="2:4" ht="13.5" customHeight="1">
      <c r="B2415" s="10">
        <v>8000</v>
      </c>
      <c r="C2415" s="43">
        <v>200046</v>
      </c>
      <c r="D2415" s="10" t="s">
        <v>736</v>
      </c>
    </row>
    <row r="2416" spans="2:4" ht="13.5" customHeight="1">
      <c r="B2416" s="10">
        <v>8000</v>
      </c>
      <c r="C2416" s="43">
        <v>200048</v>
      </c>
      <c r="D2416" s="10" t="s">
        <v>736</v>
      </c>
    </row>
    <row r="2417" spans="1:4" ht="13.5" customHeight="1">
      <c r="B2417" s="10">
        <v>8000</v>
      </c>
      <c r="C2417" s="10">
        <v>200053</v>
      </c>
      <c r="D2417" s="10" t="s">
        <v>736</v>
      </c>
    </row>
    <row r="2418" spans="1:4" ht="13.5" customHeight="1">
      <c r="B2418" s="10">
        <v>8000</v>
      </c>
      <c r="C2418" s="43">
        <v>200059</v>
      </c>
      <c r="D2418" s="10" t="s">
        <v>736</v>
      </c>
    </row>
    <row r="2419" spans="1:4" ht="13.5" customHeight="1">
      <c r="B2419" s="10">
        <v>8000</v>
      </c>
      <c r="C2419" s="43">
        <v>200066</v>
      </c>
      <c r="D2419" s="10" t="s">
        <v>736</v>
      </c>
    </row>
    <row r="2420" spans="1:4" ht="13.5" customHeight="1">
      <c r="B2420" s="10">
        <v>8000</v>
      </c>
      <c r="C2420" s="43">
        <v>200067</v>
      </c>
      <c r="D2420" s="10" t="s">
        <v>736</v>
      </c>
    </row>
    <row r="2421" spans="1:4" ht="13.5" customHeight="1">
      <c r="B2421" s="10">
        <v>8000</v>
      </c>
      <c r="C2421" s="43">
        <v>200068</v>
      </c>
      <c r="D2421" s="10" t="s">
        <v>736</v>
      </c>
    </row>
    <row r="2422" spans="1:4" ht="13.5" customHeight="1">
      <c r="B2422" s="10">
        <v>8000</v>
      </c>
      <c r="C2422" s="43">
        <v>200069</v>
      </c>
      <c r="D2422" s="10" t="s">
        <v>736</v>
      </c>
    </row>
    <row r="2423" spans="1:4" ht="13.5" customHeight="1">
      <c r="B2423" s="10">
        <v>8000</v>
      </c>
      <c r="C2423" s="43">
        <v>200074</v>
      </c>
      <c r="D2423" s="270" t="s">
        <v>1842</v>
      </c>
    </row>
    <row r="2424" spans="1:4" ht="13.5" customHeight="1" thickBot="1">
      <c r="B2424" s="10">
        <v>8000</v>
      </c>
      <c r="C2424" s="43">
        <v>200077</v>
      </c>
      <c r="D2424" s="270" t="s">
        <v>1842</v>
      </c>
    </row>
    <row r="2425" spans="1:4" ht="13.5" customHeight="1" thickBot="1">
      <c r="A2425" s="307" t="s">
        <v>2030</v>
      </c>
      <c r="B2425" s="10">
        <v>8000</v>
      </c>
      <c r="C2425" s="43">
        <v>200083</v>
      </c>
      <c r="D2425" s="270" t="s">
        <v>1842</v>
      </c>
    </row>
    <row r="2426" spans="1:4" ht="13.5" customHeight="1" thickBot="1">
      <c r="A2426" s="307" t="s">
        <v>2028</v>
      </c>
      <c r="B2426" s="10">
        <v>8000</v>
      </c>
      <c r="C2426" s="43">
        <v>200084</v>
      </c>
      <c r="D2426" s="270" t="s">
        <v>1842</v>
      </c>
    </row>
    <row r="2427" spans="1:4" ht="13.5" customHeight="1" thickBot="1">
      <c r="A2427" s="307" t="s">
        <v>2026</v>
      </c>
      <c r="B2427" s="10">
        <v>8000</v>
      </c>
      <c r="C2427" s="43">
        <v>200093</v>
      </c>
      <c r="D2427" s="270" t="s">
        <v>1842</v>
      </c>
    </row>
    <row r="2428" spans="1:4" ht="13.5" customHeight="1" thickBot="1">
      <c r="A2428" s="307" t="s">
        <v>2024</v>
      </c>
      <c r="B2428" s="10">
        <v>8000</v>
      </c>
      <c r="C2428" s="43">
        <v>200094</v>
      </c>
      <c r="D2428" s="270" t="s">
        <v>1842</v>
      </c>
    </row>
    <row r="2429" spans="1:4" ht="13.5" customHeight="1">
      <c r="A2429" s="270" t="s">
        <v>2000</v>
      </c>
      <c r="B2429" s="10">
        <v>8000</v>
      </c>
      <c r="C2429" s="270">
        <v>200091</v>
      </c>
      <c r="D2429" s="270" t="s">
        <v>1842</v>
      </c>
    </row>
    <row r="2430" spans="1:4" ht="13.5" customHeight="1">
      <c r="A2430" s="270" t="s">
        <v>2041</v>
      </c>
      <c r="B2430" s="10">
        <v>8000</v>
      </c>
      <c r="C2430" s="270">
        <v>20000107</v>
      </c>
      <c r="D2430" s="270" t="s">
        <v>1842</v>
      </c>
    </row>
    <row r="2431" spans="1:4" s="285" customFormat="1" ht="13.5" customHeight="1">
      <c r="A2431" s="269" t="s">
        <v>2064</v>
      </c>
      <c r="B2431" s="269">
        <v>8000</v>
      </c>
      <c r="C2431" s="269">
        <v>200099</v>
      </c>
      <c r="D2431" s="269" t="s">
        <v>1842</v>
      </c>
    </row>
    <row r="2432" spans="1:4" s="285" customFormat="1" ht="13.5" customHeight="1">
      <c r="A2432" s="269" t="s">
        <v>2065</v>
      </c>
      <c r="B2432" s="269">
        <v>8000</v>
      </c>
      <c r="C2432" s="269">
        <v>200098</v>
      </c>
      <c r="D2432" s="269" t="s">
        <v>1842</v>
      </c>
    </row>
    <row r="2433" spans="1:12" ht="13.5" customHeight="1">
      <c r="A2433" s="269" t="s">
        <v>2093</v>
      </c>
      <c r="B2433" s="269">
        <v>8000</v>
      </c>
      <c r="C2433" s="269">
        <v>20000106</v>
      </c>
      <c r="D2433" s="269" t="s">
        <v>1842</v>
      </c>
    </row>
    <row r="2434" spans="1:12">
      <c r="B2434" s="283">
        <v>8000</v>
      </c>
      <c r="C2434" s="286">
        <v>305007</v>
      </c>
      <c r="D2434" s="10" t="s">
        <v>737</v>
      </c>
      <c r="I2434" s="286">
        <v>305007</v>
      </c>
      <c r="J2434" s="286" t="s">
        <v>1213</v>
      </c>
      <c r="K2434" s="286">
        <v>1</v>
      </c>
      <c r="L2434" s="287" t="s">
        <v>1828</v>
      </c>
    </row>
    <row r="2435" spans="1:12">
      <c r="B2435" s="283">
        <v>8000</v>
      </c>
      <c r="C2435" s="286">
        <v>305008</v>
      </c>
      <c r="D2435" s="10" t="s">
        <v>737</v>
      </c>
      <c r="I2435" s="286">
        <v>305008</v>
      </c>
      <c r="J2435" s="286" t="s">
        <v>1217</v>
      </c>
      <c r="K2435" s="286">
        <v>1</v>
      </c>
      <c r="L2435" s="287" t="s">
        <v>1828</v>
      </c>
    </row>
    <row r="2436" spans="1:12">
      <c r="B2436" s="283">
        <v>8000</v>
      </c>
      <c r="C2436" s="286">
        <v>305009</v>
      </c>
      <c r="D2436" s="10" t="s">
        <v>737</v>
      </c>
      <c r="I2436" s="286">
        <v>305009</v>
      </c>
      <c r="J2436" s="286" t="s">
        <v>1220</v>
      </c>
      <c r="K2436" s="286">
        <v>1</v>
      </c>
      <c r="L2436" s="287" t="s">
        <v>1828</v>
      </c>
    </row>
    <row r="2437" spans="1:12">
      <c r="B2437" s="283">
        <v>8000</v>
      </c>
      <c r="C2437" s="286">
        <v>305023</v>
      </c>
      <c r="D2437" s="10" t="s">
        <v>737</v>
      </c>
      <c r="I2437" s="286">
        <v>305023</v>
      </c>
      <c r="J2437" s="286" t="s">
        <v>1277</v>
      </c>
      <c r="K2437" s="286">
        <v>1</v>
      </c>
      <c r="L2437" s="287" t="s">
        <v>1828</v>
      </c>
    </row>
    <row r="2438" spans="1:12">
      <c r="B2438" s="283">
        <v>8000</v>
      </c>
      <c r="C2438" s="286">
        <v>305034</v>
      </c>
      <c r="D2438" s="10" t="s">
        <v>737</v>
      </c>
      <c r="I2438" s="286">
        <v>305034</v>
      </c>
      <c r="J2438" s="286" t="s">
        <v>222</v>
      </c>
      <c r="K2438" s="286">
        <v>1</v>
      </c>
      <c r="L2438" s="287" t="s">
        <v>1828</v>
      </c>
    </row>
    <row r="2439" spans="1:12">
      <c r="B2439" s="283">
        <v>8000</v>
      </c>
      <c r="C2439" s="286">
        <v>305035</v>
      </c>
      <c r="D2439" s="10" t="s">
        <v>737</v>
      </c>
      <c r="I2439" s="286">
        <v>305035</v>
      </c>
      <c r="J2439" s="286" t="s">
        <v>227</v>
      </c>
      <c r="K2439" s="286">
        <v>1</v>
      </c>
      <c r="L2439" s="287" t="s">
        <v>1828</v>
      </c>
    </row>
    <row r="2440" spans="1:12">
      <c r="B2440" s="283">
        <v>8000</v>
      </c>
      <c r="C2440" s="286">
        <v>305036</v>
      </c>
      <c r="D2440" s="10" t="s">
        <v>737</v>
      </c>
      <c r="I2440" s="286">
        <v>305036</v>
      </c>
      <c r="J2440" s="286" t="s">
        <v>232</v>
      </c>
      <c r="K2440" s="286">
        <v>1</v>
      </c>
      <c r="L2440" s="287" t="s">
        <v>1828</v>
      </c>
    </row>
    <row r="2441" spans="1:12">
      <c r="B2441" s="283">
        <v>8000</v>
      </c>
      <c r="C2441" s="286">
        <v>305039</v>
      </c>
      <c r="D2441" s="10" t="s">
        <v>737</v>
      </c>
      <c r="I2441" s="286">
        <v>305039</v>
      </c>
      <c r="J2441" s="286" t="s">
        <v>1829</v>
      </c>
      <c r="K2441" s="286">
        <v>1</v>
      </c>
      <c r="L2441" s="287" t="s">
        <v>1828</v>
      </c>
    </row>
    <row r="2442" spans="1:12">
      <c r="B2442" s="283">
        <v>8000</v>
      </c>
      <c r="C2442" s="286">
        <v>305040</v>
      </c>
      <c r="D2442" s="10" t="s">
        <v>737</v>
      </c>
      <c r="I2442" s="286">
        <v>305040</v>
      </c>
      <c r="J2442" s="286" t="s">
        <v>277</v>
      </c>
      <c r="K2442" s="286">
        <v>1</v>
      </c>
      <c r="L2442" s="287" t="s">
        <v>1828</v>
      </c>
    </row>
    <row r="2443" spans="1:12">
      <c r="B2443" s="283">
        <v>8000</v>
      </c>
      <c r="C2443" s="286">
        <v>305200</v>
      </c>
      <c r="D2443" s="10" t="s">
        <v>737</v>
      </c>
      <c r="I2443" s="286">
        <v>305200</v>
      </c>
      <c r="J2443" s="286" t="s">
        <v>313</v>
      </c>
      <c r="K2443" s="286">
        <v>1</v>
      </c>
      <c r="L2443" s="287" t="s">
        <v>1828</v>
      </c>
    </row>
    <row r="2444" spans="1:12">
      <c r="B2444" s="283">
        <v>8000</v>
      </c>
      <c r="C2444" s="288">
        <v>305224</v>
      </c>
      <c r="D2444" s="10" t="s">
        <v>737</v>
      </c>
      <c r="I2444" s="288">
        <v>305224</v>
      </c>
      <c r="J2444" s="10" t="s">
        <v>1890</v>
      </c>
      <c r="K2444" s="286">
        <v>1</v>
      </c>
      <c r="L2444" s="287" t="s">
        <v>1828</v>
      </c>
    </row>
    <row r="2445" spans="1:12">
      <c r="B2445" s="283">
        <v>8000</v>
      </c>
      <c r="C2445" s="288">
        <v>305225</v>
      </c>
      <c r="D2445" s="10" t="s">
        <v>737</v>
      </c>
      <c r="I2445" s="288">
        <v>305225</v>
      </c>
      <c r="J2445" s="10" t="s">
        <v>1888</v>
      </c>
      <c r="K2445" s="286">
        <v>1</v>
      </c>
      <c r="L2445" s="287" t="s">
        <v>1828</v>
      </c>
    </row>
    <row r="2446" spans="1:12">
      <c r="B2446" s="283">
        <v>8000</v>
      </c>
      <c r="C2446" s="288">
        <v>305226</v>
      </c>
      <c r="D2446" s="10" t="s">
        <v>737</v>
      </c>
      <c r="I2446" s="288">
        <v>305226</v>
      </c>
      <c r="J2446" s="10" t="s">
        <v>1891</v>
      </c>
      <c r="K2446" s="286">
        <v>1</v>
      </c>
      <c r="L2446" s="287" t="s">
        <v>1828</v>
      </c>
    </row>
    <row r="2447" spans="1:12">
      <c r="B2447" s="283">
        <v>8000</v>
      </c>
      <c r="C2447" s="289">
        <v>305010</v>
      </c>
      <c r="D2447" s="10" t="s">
        <v>737</v>
      </c>
      <c r="I2447" s="289">
        <v>305010</v>
      </c>
      <c r="J2447" s="289" t="s">
        <v>1223</v>
      </c>
      <c r="K2447" s="289">
        <v>2</v>
      </c>
      <c r="L2447" s="290" t="s">
        <v>1830</v>
      </c>
    </row>
    <row r="2448" spans="1:12">
      <c r="B2448" s="283">
        <v>8000</v>
      </c>
      <c r="C2448" s="289">
        <v>305021</v>
      </c>
      <c r="D2448" s="10" t="s">
        <v>737</v>
      </c>
      <c r="I2448" s="289">
        <v>305021</v>
      </c>
      <c r="J2448" s="289" t="s">
        <v>1270</v>
      </c>
      <c r="K2448" s="289">
        <v>2</v>
      </c>
      <c r="L2448" s="290" t="s">
        <v>1830</v>
      </c>
    </row>
    <row r="2449" spans="2:12">
      <c r="B2449" s="283">
        <v>8000</v>
      </c>
      <c r="C2449" s="289">
        <v>305022</v>
      </c>
      <c r="D2449" s="10" t="s">
        <v>737</v>
      </c>
      <c r="I2449" s="289">
        <v>305022</v>
      </c>
      <c r="J2449" s="289" t="s">
        <v>1273</v>
      </c>
      <c r="K2449" s="289">
        <v>2</v>
      </c>
      <c r="L2449" s="290" t="s">
        <v>1830</v>
      </c>
    </row>
    <row r="2450" spans="2:12">
      <c r="B2450" s="283">
        <v>8000</v>
      </c>
      <c r="C2450" s="289">
        <v>305032</v>
      </c>
      <c r="D2450" s="10" t="s">
        <v>737</v>
      </c>
      <c r="I2450" s="289">
        <v>305032</v>
      </c>
      <c r="J2450" s="289" t="s">
        <v>213</v>
      </c>
      <c r="K2450" s="289">
        <v>2</v>
      </c>
      <c r="L2450" s="290" t="s">
        <v>1830</v>
      </c>
    </row>
    <row r="2451" spans="2:12">
      <c r="B2451" s="283">
        <v>8000</v>
      </c>
      <c r="C2451" s="289">
        <v>305033</v>
      </c>
      <c r="D2451" s="10" t="s">
        <v>737</v>
      </c>
      <c r="I2451" s="289">
        <v>305033</v>
      </c>
      <c r="J2451" s="289" t="s">
        <v>217</v>
      </c>
      <c r="K2451" s="289">
        <v>2</v>
      </c>
      <c r="L2451" s="290" t="s">
        <v>1830</v>
      </c>
    </row>
    <row r="2452" spans="2:12">
      <c r="B2452" s="283">
        <v>8000</v>
      </c>
      <c r="C2452" s="289">
        <v>305037</v>
      </c>
      <c r="D2452" s="10" t="s">
        <v>737</v>
      </c>
      <c r="I2452" s="289">
        <v>305037</v>
      </c>
      <c r="J2452" s="289" t="s">
        <v>264</v>
      </c>
      <c r="K2452" s="289">
        <v>2</v>
      </c>
      <c r="L2452" s="290" t="s">
        <v>1830</v>
      </c>
    </row>
    <row r="2453" spans="2:12">
      <c r="B2453" s="283">
        <v>8000</v>
      </c>
      <c r="C2453" s="289">
        <v>305038</v>
      </c>
      <c r="D2453" s="10" t="s">
        <v>737</v>
      </c>
      <c r="I2453" s="289">
        <v>305038</v>
      </c>
      <c r="J2453" s="289" t="s">
        <v>268</v>
      </c>
      <c r="K2453" s="289">
        <v>2</v>
      </c>
      <c r="L2453" s="290" t="s">
        <v>1830</v>
      </c>
    </row>
    <row r="2454" spans="2:12">
      <c r="B2454" s="283">
        <v>8000</v>
      </c>
      <c r="C2454" s="289">
        <v>305300</v>
      </c>
      <c r="D2454" s="10" t="s">
        <v>737</v>
      </c>
      <c r="I2454" s="289">
        <v>305300</v>
      </c>
      <c r="J2454" s="289" t="s">
        <v>318</v>
      </c>
      <c r="K2454" s="289">
        <v>2</v>
      </c>
      <c r="L2454" s="290" t="s">
        <v>1830</v>
      </c>
    </row>
    <row r="2455" spans="2:12">
      <c r="B2455" s="283">
        <v>8000</v>
      </c>
      <c r="C2455" s="288">
        <v>305324</v>
      </c>
      <c r="D2455" s="10" t="s">
        <v>737</v>
      </c>
      <c r="I2455" s="288">
        <v>305324</v>
      </c>
      <c r="J2455" s="10" t="s">
        <v>1887</v>
      </c>
      <c r="K2455" s="289">
        <v>2</v>
      </c>
      <c r="L2455" s="290" t="s">
        <v>1830</v>
      </c>
    </row>
    <row r="2456" spans="2:12">
      <c r="B2456" s="283">
        <v>8000</v>
      </c>
      <c r="C2456" s="288">
        <v>305325</v>
      </c>
      <c r="D2456" s="10" t="s">
        <v>737</v>
      </c>
      <c r="I2456" s="288">
        <v>305325</v>
      </c>
      <c r="J2456" s="10" t="s">
        <v>1888</v>
      </c>
      <c r="K2456" s="289">
        <v>2</v>
      </c>
      <c r="L2456" s="290" t="s">
        <v>1830</v>
      </c>
    </row>
    <row r="2457" spans="2:12">
      <c r="B2457" s="283">
        <v>8000</v>
      </c>
      <c r="C2457" s="288">
        <v>305326</v>
      </c>
      <c r="D2457" s="10" t="s">
        <v>737</v>
      </c>
      <c r="I2457" s="288">
        <v>305326</v>
      </c>
      <c r="J2457" s="10" t="s">
        <v>1889</v>
      </c>
      <c r="K2457" s="289">
        <v>2</v>
      </c>
      <c r="L2457" s="290" t="s">
        <v>1830</v>
      </c>
    </row>
    <row r="2458" spans="2:12">
      <c r="B2458" s="283">
        <v>8000</v>
      </c>
      <c r="C2458" s="291">
        <v>305001</v>
      </c>
      <c r="D2458" s="10" t="s">
        <v>737</v>
      </c>
      <c r="I2458" s="291">
        <v>305001</v>
      </c>
      <c r="J2458" s="291" t="s">
        <v>176</v>
      </c>
      <c r="K2458" s="291">
        <v>0</v>
      </c>
      <c r="L2458" s="292" t="s">
        <v>1827</v>
      </c>
    </row>
    <row r="2459" spans="2:12">
      <c r="B2459" s="283">
        <v>8000</v>
      </c>
      <c r="C2459" s="291">
        <v>305002</v>
      </c>
      <c r="D2459" s="10" t="s">
        <v>737</v>
      </c>
      <c r="I2459" s="291">
        <v>305002</v>
      </c>
      <c r="J2459" s="291" t="s">
        <v>181</v>
      </c>
      <c r="K2459" s="291">
        <v>0</v>
      </c>
      <c r="L2459" s="292" t="s">
        <v>1827</v>
      </c>
    </row>
    <row r="2460" spans="2:12">
      <c r="B2460" s="283">
        <v>8000</v>
      </c>
      <c r="C2460" s="291">
        <v>305003</v>
      </c>
      <c r="D2460" s="10" t="s">
        <v>737</v>
      </c>
      <c r="I2460" s="291">
        <v>305003</v>
      </c>
      <c r="J2460" s="291" t="s">
        <v>186</v>
      </c>
      <c r="K2460" s="291">
        <v>0</v>
      </c>
      <c r="L2460" s="292" t="s">
        <v>1827</v>
      </c>
    </row>
    <row r="2461" spans="2:12">
      <c r="B2461" s="283">
        <v>8000</v>
      </c>
      <c r="C2461" s="291">
        <v>305018</v>
      </c>
      <c r="D2461" s="10" t="s">
        <v>737</v>
      </c>
      <c r="I2461" s="291">
        <v>305018</v>
      </c>
      <c r="J2461" s="291" t="s">
        <v>191</v>
      </c>
      <c r="K2461" s="291">
        <v>0</v>
      </c>
      <c r="L2461" s="292" t="s">
        <v>1827</v>
      </c>
    </row>
    <row r="2462" spans="2:12">
      <c r="B2462" s="283">
        <v>8000</v>
      </c>
      <c r="C2462" s="291">
        <v>305019</v>
      </c>
      <c r="D2462" s="10" t="s">
        <v>737</v>
      </c>
      <c r="I2462" s="291">
        <v>305019</v>
      </c>
      <c r="J2462" s="291" t="s">
        <v>196</v>
      </c>
      <c r="K2462" s="291">
        <v>0</v>
      </c>
      <c r="L2462" s="292" t="s">
        <v>1827</v>
      </c>
    </row>
    <row r="2463" spans="2:12">
      <c r="B2463" s="283">
        <v>8000</v>
      </c>
      <c r="C2463" s="291">
        <v>305041</v>
      </c>
      <c r="D2463" s="10" t="s">
        <v>737</v>
      </c>
      <c r="I2463" s="291">
        <v>305041</v>
      </c>
      <c r="J2463" s="291" t="s">
        <v>282</v>
      </c>
      <c r="K2463" s="291">
        <v>0</v>
      </c>
      <c r="L2463" s="292" t="s">
        <v>1827</v>
      </c>
    </row>
    <row r="2464" spans="2:12">
      <c r="B2464" s="283">
        <v>8000</v>
      </c>
      <c r="C2464" s="291">
        <v>305042</v>
      </c>
      <c r="D2464" s="10" t="s">
        <v>737</v>
      </c>
      <c r="I2464" s="291">
        <v>305042</v>
      </c>
      <c r="J2464" s="291" t="s">
        <v>287</v>
      </c>
      <c r="K2464" s="291">
        <v>0</v>
      </c>
      <c r="L2464" s="292" t="s">
        <v>1827</v>
      </c>
    </row>
    <row r="2465" spans="2:22">
      <c r="B2465" s="283">
        <v>8000</v>
      </c>
      <c r="C2465" s="291">
        <v>305600</v>
      </c>
      <c r="D2465" s="10" t="s">
        <v>737</v>
      </c>
      <c r="I2465" s="291">
        <v>305600</v>
      </c>
      <c r="J2465" s="291" t="s">
        <v>323</v>
      </c>
      <c r="K2465" s="291">
        <v>0</v>
      </c>
      <c r="L2465" s="292" t="s">
        <v>1827</v>
      </c>
    </row>
    <row r="2466" spans="2:22">
      <c r="B2466" s="283">
        <v>8000</v>
      </c>
      <c r="C2466" s="288">
        <v>305623</v>
      </c>
      <c r="D2466" s="10" t="s">
        <v>737</v>
      </c>
      <c r="I2466" s="288">
        <v>305623</v>
      </c>
      <c r="J2466" s="10" t="s">
        <v>1864</v>
      </c>
      <c r="K2466" s="291">
        <v>0</v>
      </c>
      <c r="L2466" s="292" t="s">
        <v>1827</v>
      </c>
    </row>
    <row r="2467" spans="2:22">
      <c r="B2467" s="283">
        <v>8000</v>
      </c>
      <c r="C2467" s="288">
        <v>305624</v>
      </c>
      <c r="D2467" s="10" t="s">
        <v>737</v>
      </c>
      <c r="I2467" s="288">
        <v>305624</v>
      </c>
      <c r="J2467" s="10" t="s">
        <v>1865</v>
      </c>
      <c r="K2467" s="291">
        <v>0</v>
      </c>
      <c r="L2467" s="292" t="s">
        <v>1827</v>
      </c>
    </row>
    <row r="2468" spans="2:22">
      <c r="B2468" s="283">
        <v>8000</v>
      </c>
      <c r="C2468" s="288">
        <v>305625</v>
      </c>
      <c r="D2468" s="10" t="s">
        <v>737</v>
      </c>
      <c r="I2468" s="288">
        <v>305625</v>
      </c>
      <c r="J2468" s="10" t="s">
        <v>1866</v>
      </c>
      <c r="K2468" s="291">
        <v>0</v>
      </c>
      <c r="L2468" s="292" t="s">
        <v>1827</v>
      </c>
    </row>
    <row r="2469" spans="2:22">
      <c r="B2469" s="283">
        <v>8000</v>
      </c>
      <c r="C2469" s="288">
        <v>305626</v>
      </c>
      <c r="D2469" s="10" t="s">
        <v>737</v>
      </c>
      <c r="I2469" s="288">
        <v>305626</v>
      </c>
      <c r="J2469" s="10" t="s">
        <v>1867</v>
      </c>
      <c r="K2469" s="291">
        <v>0</v>
      </c>
      <c r="L2469" s="292" t="s">
        <v>1827</v>
      </c>
    </row>
    <row r="2470" spans="2:22">
      <c r="B2470" s="283">
        <v>8000</v>
      </c>
      <c r="C2470" s="293">
        <v>305012</v>
      </c>
      <c r="D2470" s="10" t="s">
        <v>737</v>
      </c>
      <c r="I2470" s="293">
        <v>305012</v>
      </c>
      <c r="J2470" s="293" t="s">
        <v>1230</v>
      </c>
      <c r="K2470" s="293">
        <v>6</v>
      </c>
      <c r="L2470" s="294" t="s">
        <v>1833</v>
      </c>
    </row>
    <row r="2471" spans="2:22">
      <c r="B2471" s="283">
        <v>8000</v>
      </c>
      <c r="C2471" s="293">
        <v>305013</v>
      </c>
      <c r="D2471" s="10" t="s">
        <v>737</v>
      </c>
      <c r="I2471" s="293">
        <v>305013</v>
      </c>
      <c r="J2471" s="293" t="s">
        <v>1237</v>
      </c>
      <c r="K2471" s="293">
        <v>6</v>
      </c>
      <c r="L2471" s="294" t="s">
        <v>1833</v>
      </c>
    </row>
    <row r="2472" spans="2:22">
      <c r="B2472" s="283">
        <v>8000</v>
      </c>
      <c r="C2472" s="293">
        <v>305014</v>
      </c>
      <c r="D2472" s="10" t="s">
        <v>737</v>
      </c>
      <c r="I2472" s="293">
        <v>305014</v>
      </c>
      <c r="J2472" s="293" t="s">
        <v>1241</v>
      </c>
      <c r="K2472" s="293">
        <v>6</v>
      </c>
      <c r="L2472" s="294" t="s">
        <v>1833</v>
      </c>
    </row>
    <row r="2473" spans="2:22" s="285" customFormat="1">
      <c r="B2473" s="283">
        <v>8000</v>
      </c>
      <c r="C2473" s="293">
        <v>305046</v>
      </c>
      <c r="D2473" s="285" t="s">
        <v>737</v>
      </c>
      <c r="G2473" s="10"/>
      <c r="H2473" s="10"/>
      <c r="I2473" s="293">
        <v>305046</v>
      </c>
      <c r="J2473" s="293" t="s">
        <v>309</v>
      </c>
      <c r="K2473" s="293">
        <v>6</v>
      </c>
      <c r="L2473" s="294" t="s">
        <v>1833</v>
      </c>
      <c r="M2473" s="10"/>
      <c r="R2473" s="10"/>
      <c r="S2473" s="10"/>
      <c r="T2473" s="10"/>
      <c r="U2473" s="10"/>
      <c r="V2473" s="10"/>
    </row>
    <row r="2474" spans="2:22">
      <c r="B2474" s="283">
        <v>8000</v>
      </c>
      <c r="C2474" s="288">
        <v>305815</v>
      </c>
      <c r="D2474" s="10" t="s">
        <v>737</v>
      </c>
      <c r="I2474" s="288">
        <v>305815</v>
      </c>
      <c r="J2474" s="10" t="s">
        <v>1868</v>
      </c>
      <c r="K2474" s="293">
        <v>6</v>
      </c>
      <c r="L2474" s="294" t="s">
        <v>1833</v>
      </c>
    </row>
    <row r="2475" spans="2:22">
      <c r="B2475" s="283">
        <v>8000</v>
      </c>
      <c r="C2475" s="288">
        <v>305816</v>
      </c>
      <c r="D2475" s="10" t="s">
        <v>737</v>
      </c>
      <c r="I2475" s="288">
        <v>305816</v>
      </c>
      <c r="J2475" s="10" t="s">
        <v>1869</v>
      </c>
      <c r="K2475" s="293">
        <v>6</v>
      </c>
      <c r="L2475" s="294" t="s">
        <v>1833</v>
      </c>
    </row>
    <row r="2476" spans="2:22">
      <c r="B2476" s="283">
        <v>8000</v>
      </c>
      <c r="C2476" s="288">
        <v>305817</v>
      </c>
      <c r="D2476" s="10" t="s">
        <v>737</v>
      </c>
      <c r="I2476" s="288">
        <v>305817</v>
      </c>
      <c r="J2476" s="10" t="s">
        <v>1870</v>
      </c>
      <c r="K2476" s="293">
        <v>6</v>
      </c>
      <c r="L2476" s="294" t="s">
        <v>1833</v>
      </c>
    </row>
    <row r="2477" spans="2:22" s="285" customFormat="1">
      <c r="B2477" s="283">
        <v>8000</v>
      </c>
      <c r="C2477" s="288">
        <v>305818</v>
      </c>
      <c r="D2477" s="285" t="s">
        <v>737</v>
      </c>
      <c r="G2477" s="10"/>
      <c r="H2477" s="10"/>
      <c r="I2477" s="288">
        <v>305818</v>
      </c>
      <c r="J2477" s="10" t="s">
        <v>1871</v>
      </c>
      <c r="K2477" s="293">
        <v>6</v>
      </c>
      <c r="L2477" s="294" t="s">
        <v>1833</v>
      </c>
      <c r="M2477" s="10"/>
      <c r="R2477" s="10"/>
      <c r="S2477" s="10"/>
      <c r="T2477" s="10"/>
      <c r="U2477" s="10"/>
      <c r="V2477" s="10"/>
    </row>
    <row r="2478" spans="2:22">
      <c r="B2478" s="283">
        <v>8000</v>
      </c>
      <c r="C2478" s="288">
        <v>305819</v>
      </c>
      <c r="D2478" s="10" t="s">
        <v>737</v>
      </c>
      <c r="I2478" s="288">
        <v>305819</v>
      </c>
      <c r="J2478" s="10" t="s">
        <v>1872</v>
      </c>
      <c r="K2478" s="293">
        <v>6</v>
      </c>
      <c r="L2478" s="294" t="s">
        <v>1833</v>
      </c>
    </row>
    <row r="2479" spans="2:22" s="285" customFormat="1">
      <c r="B2479" s="283">
        <v>8000</v>
      </c>
      <c r="C2479" s="288">
        <v>305820</v>
      </c>
      <c r="D2479" s="285" t="s">
        <v>737</v>
      </c>
      <c r="G2479" s="10"/>
      <c r="H2479" s="10"/>
      <c r="I2479" s="288">
        <v>305820</v>
      </c>
      <c r="J2479" s="10" t="s">
        <v>1873</v>
      </c>
      <c r="K2479" s="293">
        <v>6</v>
      </c>
      <c r="L2479" s="294" t="s">
        <v>1833</v>
      </c>
      <c r="M2479" s="10"/>
      <c r="R2479" s="10"/>
      <c r="S2479" s="10"/>
      <c r="T2479" s="10"/>
      <c r="U2479" s="10"/>
      <c r="V2479" s="10"/>
    </row>
    <row r="2480" spans="2:22">
      <c r="B2480" s="283">
        <v>8000</v>
      </c>
      <c r="C2480" s="295">
        <v>305015</v>
      </c>
      <c r="D2480" s="10" t="s">
        <v>737</v>
      </c>
      <c r="I2480" s="295">
        <v>305015</v>
      </c>
      <c r="J2480" s="295" t="s">
        <v>1245</v>
      </c>
      <c r="K2480" s="295">
        <v>7</v>
      </c>
      <c r="L2480" s="296" t="s">
        <v>538</v>
      </c>
    </row>
    <row r="2481" spans="1:22">
      <c r="B2481" s="283">
        <v>8000</v>
      </c>
      <c r="C2481" s="295">
        <v>305016</v>
      </c>
      <c r="D2481" s="10" t="s">
        <v>737</v>
      </c>
      <c r="I2481" s="295">
        <v>305016</v>
      </c>
      <c r="J2481" s="295" t="s">
        <v>1251</v>
      </c>
      <c r="K2481" s="295">
        <v>7</v>
      </c>
      <c r="L2481" s="296" t="s">
        <v>538</v>
      </c>
    </row>
    <row r="2482" spans="1:22">
      <c r="B2482" s="283">
        <v>8000</v>
      </c>
      <c r="C2482" s="295">
        <v>305017</v>
      </c>
      <c r="D2482" s="10" t="s">
        <v>737</v>
      </c>
      <c r="I2482" s="295">
        <v>305017</v>
      </c>
      <c r="J2482" s="295" t="s">
        <v>1255</v>
      </c>
      <c r="K2482" s="295">
        <v>7</v>
      </c>
      <c r="L2482" s="296" t="s">
        <v>538</v>
      </c>
    </row>
    <row r="2483" spans="1:22">
      <c r="B2483" s="283">
        <v>8000</v>
      </c>
      <c r="C2483" s="295">
        <v>305700</v>
      </c>
      <c r="D2483" s="10" t="s">
        <v>737</v>
      </c>
      <c r="I2483" s="295">
        <v>305700</v>
      </c>
      <c r="J2483" s="295" t="s">
        <v>328</v>
      </c>
      <c r="K2483" s="295">
        <v>7</v>
      </c>
      <c r="L2483" s="296" t="s">
        <v>538</v>
      </c>
    </row>
    <row r="2484" spans="1:22">
      <c r="B2484" s="283">
        <v>8000</v>
      </c>
      <c r="C2484" s="288">
        <v>305719</v>
      </c>
      <c r="D2484" s="10" t="s">
        <v>737</v>
      </c>
      <c r="I2484" s="288">
        <v>305719</v>
      </c>
      <c r="J2484" s="10" t="s">
        <v>1874</v>
      </c>
      <c r="K2484" s="295">
        <v>7</v>
      </c>
      <c r="L2484" s="296" t="s">
        <v>538</v>
      </c>
    </row>
    <row r="2485" spans="1:22">
      <c r="B2485" s="283">
        <v>8000</v>
      </c>
      <c r="C2485" s="288">
        <v>305720</v>
      </c>
      <c r="D2485" s="10" t="s">
        <v>737</v>
      </c>
      <c r="I2485" s="288">
        <v>305720</v>
      </c>
      <c r="J2485" s="10" t="s">
        <v>1875</v>
      </c>
      <c r="K2485" s="295">
        <v>7</v>
      </c>
      <c r="L2485" s="296" t="s">
        <v>538</v>
      </c>
    </row>
    <row r="2486" spans="1:22">
      <c r="B2486" s="283">
        <v>8000</v>
      </c>
      <c r="C2486" s="288">
        <v>305721</v>
      </c>
      <c r="D2486" s="10" t="s">
        <v>737</v>
      </c>
      <c r="I2486" s="288">
        <v>305721</v>
      </c>
      <c r="J2486" s="10" t="s">
        <v>1876</v>
      </c>
      <c r="K2486" s="295">
        <v>7</v>
      </c>
      <c r="L2486" s="296" t="s">
        <v>538</v>
      </c>
    </row>
    <row r="2487" spans="1:22">
      <c r="B2487" s="283">
        <v>8000</v>
      </c>
      <c r="C2487" s="288">
        <v>305722</v>
      </c>
      <c r="D2487" s="10" t="s">
        <v>737</v>
      </c>
      <c r="I2487" s="288">
        <v>305722</v>
      </c>
      <c r="J2487" s="10" t="s">
        <v>1877</v>
      </c>
      <c r="K2487" s="295">
        <v>7</v>
      </c>
      <c r="L2487" s="296" t="s">
        <v>538</v>
      </c>
    </row>
    <row r="2488" spans="1:22">
      <c r="B2488" s="283">
        <v>8000</v>
      </c>
      <c r="C2488" s="288">
        <v>305723</v>
      </c>
      <c r="D2488" s="10" t="s">
        <v>737</v>
      </c>
      <c r="I2488" s="288">
        <v>305723</v>
      </c>
      <c r="J2488" s="10" t="s">
        <v>1878</v>
      </c>
      <c r="K2488" s="295">
        <v>7</v>
      </c>
      <c r="L2488" s="296" t="s">
        <v>538</v>
      </c>
    </row>
    <row r="2489" spans="1:22">
      <c r="B2489" s="283">
        <v>8000</v>
      </c>
      <c r="C2489" s="288">
        <v>305724</v>
      </c>
      <c r="D2489" s="10" t="s">
        <v>737</v>
      </c>
      <c r="I2489" s="288">
        <v>305724</v>
      </c>
      <c r="J2489" s="10" t="s">
        <v>1879</v>
      </c>
      <c r="K2489" s="295">
        <v>7</v>
      </c>
      <c r="L2489" s="296" t="s">
        <v>538</v>
      </c>
    </row>
    <row r="2490" spans="1:22">
      <c r="B2490" s="283">
        <v>8000</v>
      </c>
      <c r="C2490" s="297">
        <v>305011</v>
      </c>
      <c r="D2490" s="10" t="s">
        <v>737</v>
      </c>
      <c r="I2490" s="297">
        <v>305011</v>
      </c>
      <c r="J2490" s="297" t="s">
        <v>161</v>
      </c>
      <c r="K2490" s="297">
        <v>3</v>
      </c>
      <c r="L2490" s="298" t="s">
        <v>1831</v>
      </c>
    </row>
    <row r="2491" spans="1:22">
      <c r="B2491" s="283">
        <v>8000</v>
      </c>
      <c r="C2491" s="299">
        <v>305025</v>
      </c>
      <c r="D2491" s="10" t="s">
        <v>737</v>
      </c>
      <c r="I2491" s="299">
        <v>305025</v>
      </c>
      <c r="J2491" s="299" t="s">
        <v>200</v>
      </c>
      <c r="K2491" s="299">
        <v>4</v>
      </c>
      <c r="L2491" s="300" t="s">
        <v>1832</v>
      </c>
    </row>
    <row r="2492" spans="1:22" s="285" customFormat="1">
      <c r="A2492" s="10"/>
      <c r="B2492" s="283">
        <v>8000</v>
      </c>
      <c r="C2492" s="299">
        <v>305026</v>
      </c>
      <c r="D2492" s="10" t="s">
        <v>737</v>
      </c>
      <c r="E2492" s="10"/>
      <c r="F2492" s="10"/>
      <c r="G2492" s="10"/>
      <c r="H2492" s="10"/>
      <c r="I2492" s="299">
        <v>305026</v>
      </c>
      <c r="J2492" s="299" t="s">
        <v>204</v>
      </c>
      <c r="K2492" s="299">
        <v>4</v>
      </c>
      <c r="L2492" s="300" t="s">
        <v>1832</v>
      </c>
      <c r="M2492" s="10"/>
      <c r="N2492" s="10"/>
      <c r="O2492" s="10"/>
      <c r="P2492" s="10"/>
      <c r="Q2492" s="10"/>
      <c r="R2492" s="10"/>
      <c r="S2492" s="10"/>
      <c r="T2492" s="10"/>
      <c r="U2492" s="10"/>
      <c r="V2492" s="10"/>
    </row>
    <row r="2493" spans="1:22" s="285" customFormat="1">
      <c r="A2493" s="10"/>
      <c r="B2493" s="283">
        <v>8000</v>
      </c>
      <c r="C2493" s="299">
        <v>305050</v>
      </c>
      <c r="D2493" s="10" t="s">
        <v>737</v>
      </c>
      <c r="E2493" s="10"/>
      <c r="F2493" s="10"/>
      <c r="G2493" s="10"/>
      <c r="H2493" s="10"/>
      <c r="I2493" s="299">
        <v>305050</v>
      </c>
      <c r="J2493" s="299" t="s">
        <v>300</v>
      </c>
      <c r="K2493" s="299">
        <v>4</v>
      </c>
      <c r="L2493" s="300" t="s">
        <v>1832</v>
      </c>
      <c r="M2493" s="10"/>
      <c r="N2493" s="10"/>
      <c r="O2493" s="10"/>
      <c r="P2493" s="10"/>
      <c r="Q2493" s="10"/>
      <c r="R2493" s="10"/>
      <c r="S2493" s="10"/>
      <c r="T2493" s="10"/>
      <c r="U2493" s="10"/>
      <c r="V2493" s="10"/>
    </row>
    <row r="2494" spans="1:22" s="285" customFormat="1">
      <c r="A2494" s="10"/>
      <c r="B2494" s="283">
        <v>8000</v>
      </c>
      <c r="C2494" s="299">
        <v>305051</v>
      </c>
      <c r="D2494" s="10" t="s">
        <v>737</v>
      </c>
      <c r="E2494" s="10"/>
      <c r="F2494" s="10"/>
      <c r="G2494" s="10"/>
      <c r="H2494" s="10"/>
      <c r="I2494" s="299">
        <v>305051</v>
      </c>
      <c r="J2494" s="299" t="s">
        <v>340</v>
      </c>
      <c r="K2494" s="299">
        <v>4</v>
      </c>
      <c r="L2494" s="300" t="s">
        <v>1832</v>
      </c>
      <c r="M2494" s="10"/>
      <c r="N2494" s="10"/>
      <c r="O2494" s="10"/>
      <c r="P2494" s="10"/>
      <c r="Q2494" s="10"/>
      <c r="R2494" s="10"/>
      <c r="S2494" s="10"/>
      <c r="T2494" s="10"/>
      <c r="U2494" s="10"/>
      <c r="V2494" s="10"/>
    </row>
    <row r="2495" spans="1:22">
      <c r="B2495" s="283">
        <v>8000</v>
      </c>
      <c r="C2495" s="288">
        <v>305055</v>
      </c>
      <c r="D2495" s="10" t="s">
        <v>737</v>
      </c>
      <c r="I2495" s="288">
        <v>305055</v>
      </c>
      <c r="J2495" s="10" t="s">
        <v>1880</v>
      </c>
      <c r="K2495" s="299">
        <v>4</v>
      </c>
      <c r="L2495" s="300" t="s">
        <v>1832</v>
      </c>
    </row>
    <row r="2496" spans="1:22" s="285" customFormat="1">
      <c r="A2496" s="10"/>
      <c r="B2496" s="283">
        <v>8000</v>
      </c>
      <c r="C2496" s="288">
        <v>305056</v>
      </c>
      <c r="D2496" s="10" t="s">
        <v>737</v>
      </c>
      <c r="E2496" s="10"/>
      <c r="F2496" s="10"/>
      <c r="G2496" s="10"/>
      <c r="H2496" s="10"/>
      <c r="I2496" s="288">
        <v>305056</v>
      </c>
      <c r="J2496" s="10" t="s">
        <v>1881</v>
      </c>
      <c r="K2496" s="299">
        <v>4</v>
      </c>
      <c r="L2496" s="300" t="s">
        <v>1832</v>
      </c>
      <c r="M2496" s="10"/>
      <c r="N2496" s="10"/>
      <c r="O2496" s="10"/>
      <c r="P2496" s="10"/>
      <c r="Q2496" s="10"/>
      <c r="R2496" s="10"/>
      <c r="S2496" s="10"/>
      <c r="T2496" s="10"/>
      <c r="U2496" s="10"/>
      <c r="V2496" s="10"/>
    </row>
    <row r="2497" spans="1:22" s="285" customFormat="1">
      <c r="A2497" s="10"/>
      <c r="B2497" s="283">
        <v>8000</v>
      </c>
      <c r="C2497" s="288">
        <v>306104</v>
      </c>
      <c r="D2497" s="10" t="s">
        <v>737</v>
      </c>
      <c r="E2497" s="10"/>
      <c r="F2497" s="10"/>
      <c r="G2497" s="10"/>
      <c r="H2497" s="10"/>
      <c r="I2497" s="288">
        <v>306104</v>
      </c>
      <c r="J2497" s="10" t="s">
        <v>1882</v>
      </c>
      <c r="K2497" s="299">
        <v>4</v>
      </c>
      <c r="L2497" s="300" t="s">
        <v>1886</v>
      </c>
      <c r="M2497" s="10"/>
      <c r="N2497" s="10"/>
      <c r="O2497" s="10"/>
      <c r="P2497" s="10"/>
      <c r="Q2497" s="10"/>
      <c r="R2497" s="10"/>
      <c r="S2497" s="10"/>
      <c r="T2497" s="10"/>
      <c r="U2497" s="10"/>
      <c r="V2497" s="10"/>
    </row>
    <row r="2498" spans="1:22" s="285" customFormat="1">
      <c r="A2498" s="10"/>
      <c r="B2498" s="283">
        <v>8000</v>
      </c>
      <c r="C2498" s="288">
        <v>306105</v>
      </c>
      <c r="D2498" s="10" t="s">
        <v>737</v>
      </c>
      <c r="E2498" s="10"/>
      <c r="F2498" s="10"/>
      <c r="G2498" s="10"/>
      <c r="H2498" s="10"/>
      <c r="I2498" s="288">
        <v>306105</v>
      </c>
      <c r="J2498" s="10" t="s">
        <v>1883</v>
      </c>
      <c r="K2498" s="299">
        <v>4</v>
      </c>
      <c r="L2498" s="300" t="s">
        <v>1886</v>
      </c>
      <c r="M2498" s="10"/>
      <c r="N2498" s="10"/>
      <c r="O2498" s="10"/>
      <c r="P2498" s="10"/>
      <c r="Q2498" s="10"/>
      <c r="R2498" s="10"/>
      <c r="S2498" s="10"/>
      <c r="T2498" s="10"/>
      <c r="U2498" s="10"/>
      <c r="V2498" s="10"/>
    </row>
    <row r="2499" spans="1:22" s="285" customFormat="1">
      <c r="A2499" s="10"/>
      <c r="B2499" s="283">
        <v>8000</v>
      </c>
      <c r="C2499" s="288">
        <v>306106</v>
      </c>
      <c r="D2499" s="10" t="s">
        <v>737</v>
      </c>
      <c r="E2499" s="10"/>
      <c r="F2499" s="10"/>
      <c r="G2499" s="10"/>
      <c r="H2499" s="10"/>
      <c r="I2499" s="288">
        <v>306106</v>
      </c>
      <c r="J2499" s="10" t="s">
        <v>1884</v>
      </c>
      <c r="K2499" s="299">
        <v>4</v>
      </c>
      <c r="L2499" s="300" t="s">
        <v>1886</v>
      </c>
      <c r="M2499" s="10"/>
      <c r="N2499" s="10"/>
      <c r="O2499" s="10"/>
      <c r="P2499" s="10"/>
      <c r="Q2499" s="10"/>
      <c r="R2499" s="10"/>
      <c r="S2499" s="10"/>
      <c r="T2499" s="10"/>
      <c r="U2499" s="10"/>
      <c r="V2499" s="10"/>
    </row>
    <row r="2500" spans="1:22" s="285" customFormat="1">
      <c r="A2500" s="10"/>
      <c r="B2500" s="283">
        <v>8000</v>
      </c>
      <c r="C2500" s="288">
        <v>306107</v>
      </c>
      <c r="D2500" s="10" t="s">
        <v>737</v>
      </c>
      <c r="E2500" s="10"/>
      <c r="F2500" s="10"/>
      <c r="G2500" s="10"/>
      <c r="H2500" s="10"/>
      <c r="I2500" s="288">
        <v>306107</v>
      </c>
      <c r="J2500" s="10" t="s">
        <v>1885</v>
      </c>
      <c r="K2500" s="299">
        <v>4</v>
      </c>
      <c r="L2500" s="300" t="s">
        <v>1886</v>
      </c>
      <c r="M2500" s="10"/>
      <c r="N2500" s="10"/>
      <c r="O2500" s="10"/>
      <c r="P2500" s="10"/>
      <c r="Q2500" s="10"/>
      <c r="R2500" s="10"/>
      <c r="S2500" s="10"/>
      <c r="T2500" s="10"/>
      <c r="U2500" s="10"/>
      <c r="V2500" s="10"/>
    </row>
    <row r="2501" spans="1:22">
      <c r="B2501" s="283">
        <v>8000</v>
      </c>
      <c r="C2501" s="282">
        <v>303012</v>
      </c>
      <c r="D2501" s="301" t="s">
        <v>38</v>
      </c>
    </row>
    <row r="2502" spans="1:22">
      <c r="B2502" s="283">
        <v>8000</v>
      </c>
      <c r="C2502" s="282">
        <v>303013</v>
      </c>
      <c r="D2502" s="301" t="s">
        <v>38</v>
      </c>
    </row>
    <row r="2503" spans="1:22">
      <c r="B2503" s="283">
        <v>8000</v>
      </c>
      <c r="C2503" s="282">
        <v>303022</v>
      </c>
      <c r="D2503" s="301" t="s">
        <v>38</v>
      </c>
    </row>
    <row r="2504" spans="1:22">
      <c r="B2504" s="283">
        <v>8000</v>
      </c>
      <c r="C2504" s="282">
        <v>303023</v>
      </c>
      <c r="D2504" s="301" t="s">
        <v>38</v>
      </c>
    </row>
    <row r="2505" spans="1:22">
      <c r="B2505" s="283">
        <v>8000</v>
      </c>
      <c r="C2505" s="282">
        <v>303032</v>
      </c>
      <c r="D2505" s="301" t="s">
        <v>38</v>
      </c>
    </row>
    <row r="2506" spans="1:22">
      <c r="B2506" s="283">
        <v>8000</v>
      </c>
      <c r="C2506" s="282">
        <v>303033</v>
      </c>
      <c r="D2506" s="301" t="s">
        <v>38</v>
      </c>
    </row>
    <row r="2507" spans="1:22">
      <c r="B2507" s="283">
        <v>8000</v>
      </c>
      <c r="C2507" s="282">
        <v>303042</v>
      </c>
      <c r="D2507" s="301" t="s">
        <v>38</v>
      </c>
    </row>
    <row r="2508" spans="1:22">
      <c r="B2508" s="283">
        <v>8000</v>
      </c>
      <c r="C2508" s="282">
        <v>303043</v>
      </c>
      <c r="D2508" s="301" t="s">
        <v>38</v>
      </c>
    </row>
    <row r="2509" spans="1:22">
      <c r="B2509" s="283">
        <v>8000</v>
      </c>
      <c r="C2509" s="282">
        <v>303052</v>
      </c>
      <c r="D2509" s="301" t="s">
        <v>38</v>
      </c>
    </row>
    <row r="2510" spans="1:22">
      <c r="B2510" s="283">
        <v>8000</v>
      </c>
      <c r="C2510" s="282">
        <v>303053</v>
      </c>
      <c r="D2510" s="301" t="s">
        <v>38</v>
      </c>
    </row>
    <row r="2511" spans="1:22">
      <c r="B2511" s="283">
        <v>8000</v>
      </c>
      <c r="C2511" s="282">
        <v>303062</v>
      </c>
      <c r="D2511" s="301" t="s">
        <v>38</v>
      </c>
    </row>
    <row r="2512" spans="1:22">
      <c r="B2512" s="283">
        <v>8000</v>
      </c>
      <c r="C2512" s="282">
        <v>303063</v>
      </c>
      <c r="D2512" s="301" t="s">
        <v>38</v>
      </c>
    </row>
    <row r="2513" spans="2:4">
      <c r="B2513" s="283">
        <v>8000</v>
      </c>
      <c r="C2513" s="282">
        <v>303072</v>
      </c>
      <c r="D2513" s="301" t="s">
        <v>38</v>
      </c>
    </row>
    <row r="2514" spans="2:4">
      <c r="B2514" s="283">
        <v>8000</v>
      </c>
      <c r="C2514" s="282">
        <v>303073</v>
      </c>
      <c r="D2514" s="301" t="s">
        <v>38</v>
      </c>
    </row>
    <row r="2515" spans="2:4">
      <c r="B2515" s="283">
        <v>8000</v>
      </c>
      <c r="C2515" s="282">
        <v>303082</v>
      </c>
      <c r="D2515" s="301" t="s">
        <v>38</v>
      </c>
    </row>
    <row r="2516" spans="2:4">
      <c r="B2516" s="283">
        <v>8000</v>
      </c>
      <c r="C2516" s="282">
        <v>303083</v>
      </c>
      <c r="D2516" s="301" t="s">
        <v>38</v>
      </c>
    </row>
    <row r="2517" spans="2:4">
      <c r="B2517" s="283">
        <v>8001</v>
      </c>
      <c r="C2517" s="43">
        <v>200004</v>
      </c>
      <c r="D2517" s="10" t="s">
        <v>736</v>
      </c>
    </row>
    <row r="2518" spans="2:4">
      <c r="B2518" s="283">
        <v>8001</v>
      </c>
      <c r="C2518" s="43">
        <v>200003</v>
      </c>
      <c r="D2518" s="10" t="s">
        <v>736</v>
      </c>
    </row>
    <row r="2519" spans="2:4">
      <c r="B2519" s="283">
        <v>8001</v>
      </c>
      <c r="C2519" s="43">
        <v>200005</v>
      </c>
      <c r="D2519" s="10" t="s">
        <v>736</v>
      </c>
    </row>
    <row r="2520" spans="2:4">
      <c r="B2520" s="283">
        <v>8001</v>
      </c>
      <c r="C2520" s="43">
        <v>200006</v>
      </c>
      <c r="D2520" s="10" t="s">
        <v>736</v>
      </c>
    </row>
    <row r="2521" spans="2:4">
      <c r="B2521" s="283">
        <v>8001</v>
      </c>
      <c r="C2521" s="43">
        <v>200007</v>
      </c>
      <c r="D2521" s="10" t="s">
        <v>736</v>
      </c>
    </row>
    <row r="2522" spans="2:4">
      <c r="B2522" s="283">
        <v>8001</v>
      </c>
      <c r="C2522" s="43">
        <v>200008</v>
      </c>
      <c r="D2522" s="10" t="s">
        <v>736</v>
      </c>
    </row>
    <row r="2523" spans="2:4">
      <c r="B2523" s="283">
        <v>8001</v>
      </c>
      <c r="C2523" s="43">
        <v>200009</v>
      </c>
      <c r="D2523" s="10" t="s">
        <v>736</v>
      </c>
    </row>
    <row r="2524" spans="2:4">
      <c r="B2524" s="283">
        <v>8001</v>
      </c>
      <c r="C2524" s="43">
        <v>200010</v>
      </c>
      <c r="D2524" s="10" t="s">
        <v>736</v>
      </c>
    </row>
    <row r="2525" spans="2:4">
      <c r="B2525" s="283">
        <v>8001</v>
      </c>
      <c r="C2525" s="43">
        <v>200016</v>
      </c>
      <c r="D2525" s="10" t="s">
        <v>736</v>
      </c>
    </row>
    <row r="2526" spans="2:4">
      <c r="B2526" s="283">
        <v>8001</v>
      </c>
      <c r="C2526" s="43">
        <v>200017</v>
      </c>
      <c r="D2526" s="10" t="s">
        <v>736</v>
      </c>
    </row>
    <row r="2527" spans="2:4">
      <c r="B2527" s="283">
        <v>8001</v>
      </c>
      <c r="C2527" s="43">
        <v>200018</v>
      </c>
      <c r="D2527" s="10" t="s">
        <v>736</v>
      </c>
    </row>
    <row r="2528" spans="2:4">
      <c r="B2528" s="283">
        <v>8001</v>
      </c>
      <c r="C2528" s="43">
        <v>200019</v>
      </c>
      <c r="D2528" s="10" t="s">
        <v>736</v>
      </c>
    </row>
    <row r="2529" spans="2:4">
      <c r="B2529" s="283">
        <v>8001</v>
      </c>
      <c r="C2529" s="43">
        <v>200020</v>
      </c>
      <c r="D2529" s="10" t="s">
        <v>736</v>
      </c>
    </row>
    <row r="2530" spans="2:4">
      <c r="B2530" s="283">
        <v>8001</v>
      </c>
      <c r="C2530" s="43">
        <v>200021</v>
      </c>
      <c r="D2530" s="10" t="s">
        <v>736</v>
      </c>
    </row>
    <row r="2531" spans="2:4">
      <c r="B2531" s="283">
        <v>8001</v>
      </c>
      <c r="C2531" s="43">
        <v>200024</v>
      </c>
      <c r="D2531" s="10" t="s">
        <v>736</v>
      </c>
    </row>
    <row r="2532" spans="2:4">
      <c r="B2532" s="283">
        <v>8001</v>
      </c>
      <c r="C2532" s="43">
        <v>200026</v>
      </c>
      <c r="D2532" s="10" t="s">
        <v>736</v>
      </c>
    </row>
    <row r="2533" spans="2:4">
      <c r="B2533" s="283">
        <v>8001</v>
      </c>
      <c r="C2533" s="43">
        <v>200029</v>
      </c>
      <c r="D2533" s="10" t="s">
        <v>736</v>
      </c>
    </row>
    <row r="2534" spans="2:4">
      <c r="B2534" s="283">
        <v>8001</v>
      </c>
      <c r="C2534" s="43">
        <v>200028</v>
      </c>
      <c r="D2534" s="10" t="s">
        <v>736</v>
      </c>
    </row>
    <row r="2535" spans="2:4">
      <c r="B2535" s="10">
        <v>8001</v>
      </c>
      <c r="C2535" s="43">
        <v>200032</v>
      </c>
      <c r="D2535" s="10" t="s">
        <v>736</v>
      </c>
    </row>
    <row r="2536" spans="2:4">
      <c r="B2536" s="10">
        <v>8001</v>
      </c>
      <c r="C2536" s="43">
        <v>200033</v>
      </c>
      <c r="D2536" s="10" t="s">
        <v>736</v>
      </c>
    </row>
    <row r="2537" spans="2:4" ht="13.5" customHeight="1">
      <c r="B2537" s="10">
        <v>8001</v>
      </c>
      <c r="C2537" s="43">
        <v>200038</v>
      </c>
      <c r="D2537" s="10" t="s">
        <v>736</v>
      </c>
    </row>
    <row r="2538" spans="2:4" ht="13.5" customHeight="1">
      <c r="B2538" s="10">
        <v>8001</v>
      </c>
      <c r="C2538" s="43">
        <v>200044</v>
      </c>
      <c r="D2538" s="10" t="s">
        <v>736</v>
      </c>
    </row>
    <row r="2539" spans="2:4" ht="13.5" customHeight="1">
      <c r="B2539" s="10">
        <v>8001</v>
      </c>
      <c r="C2539" s="43">
        <v>200046</v>
      </c>
      <c r="D2539" s="10" t="s">
        <v>736</v>
      </c>
    </row>
    <row r="2540" spans="2:4" ht="13.5" customHeight="1">
      <c r="B2540" s="10">
        <v>8001</v>
      </c>
      <c r="C2540" s="43">
        <v>200048</v>
      </c>
      <c r="D2540" s="10" t="s">
        <v>736</v>
      </c>
    </row>
    <row r="2541" spans="2:4" ht="13.5" customHeight="1">
      <c r="B2541" s="10">
        <v>8001</v>
      </c>
      <c r="C2541" s="43">
        <v>200053</v>
      </c>
      <c r="D2541" s="10" t="s">
        <v>736</v>
      </c>
    </row>
    <row r="2542" spans="2:4" ht="13.5" customHeight="1">
      <c r="B2542" s="10">
        <v>8001</v>
      </c>
      <c r="C2542" s="43">
        <v>200059</v>
      </c>
      <c r="D2542" s="10" t="s">
        <v>736</v>
      </c>
    </row>
    <row r="2543" spans="2:4" ht="13.5" customHeight="1">
      <c r="B2543" s="10">
        <v>8001</v>
      </c>
      <c r="C2543" s="43">
        <v>200066</v>
      </c>
      <c r="D2543" s="10" t="s">
        <v>736</v>
      </c>
    </row>
    <row r="2544" spans="2:4" ht="13.5" customHeight="1">
      <c r="B2544" s="10">
        <v>8001</v>
      </c>
      <c r="C2544" s="43">
        <v>200067</v>
      </c>
      <c r="D2544" s="10" t="s">
        <v>736</v>
      </c>
    </row>
    <row r="2545" spans="1:12" ht="13.5" customHeight="1">
      <c r="B2545" s="10">
        <v>8001</v>
      </c>
      <c r="C2545" s="43">
        <v>200068</v>
      </c>
      <c r="D2545" s="10" t="s">
        <v>736</v>
      </c>
    </row>
    <row r="2546" spans="1:12" ht="13.5" customHeight="1">
      <c r="B2546" s="10">
        <v>8001</v>
      </c>
      <c r="C2546" s="43">
        <v>200069</v>
      </c>
      <c r="D2546" s="10" t="s">
        <v>736</v>
      </c>
    </row>
    <row r="2547" spans="1:12" ht="13.5" customHeight="1">
      <c r="B2547" s="10">
        <v>8001</v>
      </c>
      <c r="C2547" s="43">
        <v>200074</v>
      </c>
      <c r="D2547" s="270" t="s">
        <v>1842</v>
      </c>
    </row>
    <row r="2548" spans="1:12" ht="13.5" customHeight="1" thickBot="1">
      <c r="B2548" s="10">
        <v>8001</v>
      </c>
      <c r="C2548" s="43">
        <v>200077</v>
      </c>
      <c r="D2548" s="270" t="s">
        <v>1842</v>
      </c>
    </row>
    <row r="2549" spans="1:12" ht="13.5" customHeight="1" thickBot="1">
      <c r="A2549" s="307" t="s">
        <v>2030</v>
      </c>
      <c r="B2549" s="10">
        <v>8001</v>
      </c>
      <c r="C2549" s="43">
        <v>200083</v>
      </c>
      <c r="D2549" s="270" t="s">
        <v>1842</v>
      </c>
    </row>
    <row r="2550" spans="1:12" ht="13.5" customHeight="1" thickBot="1">
      <c r="A2550" s="307" t="s">
        <v>2028</v>
      </c>
      <c r="B2550" s="10">
        <v>8001</v>
      </c>
      <c r="C2550" s="43">
        <v>200084</v>
      </c>
      <c r="D2550" s="270" t="s">
        <v>1842</v>
      </c>
    </row>
    <row r="2551" spans="1:12" ht="13.5" customHeight="1" thickBot="1">
      <c r="A2551" s="307" t="s">
        <v>2026</v>
      </c>
      <c r="B2551" s="10">
        <v>8001</v>
      </c>
      <c r="C2551" s="43">
        <v>200093</v>
      </c>
      <c r="D2551" s="270" t="s">
        <v>1842</v>
      </c>
    </row>
    <row r="2552" spans="1:12" ht="13.5" customHeight="1" thickBot="1">
      <c r="A2552" s="307" t="s">
        <v>2024</v>
      </c>
      <c r="B2552" s="10">
        <v>8001</v>
      </c>
      <c r="C2552" s="43">
        <v>200094</v>
      </c>
      <c r="D2552" s="270" t="s">
        <v>1842</v>
      </c>
    </row>
    <row r="2553" spans="1:12" ht="13.5" customHeight="1">
      <c r="A2553" s="270" t="s">
        <v>2000</v>
      </c>
      <c r="B2553" s="10">
        <v>8001</v>
      </c>
      <c r="C2553" s="270">
        <v>200091</v>
      </c>
      <c r="D2553" s="270" t="s">
        <v>1842</v>
      </c>
    </row>
    <row r="2554" spans="1:12" ht="13.5" customHeight="1">
      <c r="A2554" s="270" t="s">
        <v>2041</v>
      </c>
      <c r="B2554" s="10">
        <v>8001</v>
      </c>
      <c r="C2554" s="270">
        <v>20000107</v>
      </c>
      <c r="D2554" s="270" t="s">
        <v>1842</v>
      </c>
    </row>
    <row r="2555" spans="1:12" s="285" customFormat="1" ht="13.5" customHeight="1">
      <c r="A2555" s="269" t="s">
        <v>2064</v>
      </c>
      <c r="B2555" s="269">
        <v>8001</v>
      </c>
      <c r="C2555" s="269">
        <v>200099</v>
      </c>
      <c r="D2555" s="269" t="s">
        <v>1842</v>
      </c>
    </row>
    <row r="2556" spans="1:12" s="285" customFormat="1" ht="13.5" customHeight="1">
      <c r="A2556" s="269" t="s">
        <v>2065</v>
      </c>
      <c r="B2556" s="269">
        <v>8001</v>
      </c>
      <c r="C2556" s="269">
        <v>200098</v>
      </c>
      <c r="D2556" s="269" t="s">
        <v>1842</v>
      </c>
    </row>
    <row r="2557" spans="1:12" ht="13.5" customHeight="1">
      <c r="A2557" s="269" t="s">
        <v>2093</v>
      </c>
      <c r="B2557" s="269">
        <v>8001</v>
      </c>
      <c r="C2557" s="269">
        <v>20000106</v>
      </c>
      <c r="D2557" s="269" t="s">
        <v>1842</v>
      </c>
    </row>
    <row r="2558" spans="1:12">
      <c r="B2558" s="283">
        <v>8001</v>
      </c>
      <c r="C2558" s="286">
        <v>305007</v>
      </c>
      <c r="D2558" s="10" t="s">
        <v>737</v>
      </c>
      <c r="I2558" s="286">
        <v>305007</v>
      </c>
      <c r="J2558" s="286" t="s">
        <v>1213</v>
      </c>
      <c r="K2558" s="286">
        <v>1</v>
      </c>
      <c r="L2558" s="287" t="s">
        <v>1828</v>
      </c>
    </row>
    <row r="2559" spans="1:12">
      <c r="B2559" s="283">
        <v>8001</v>
      </c>
      <c r="C2559" s="286">
        <v>305008</v>
      </c>
      <c r="D2559" s="10" t="s">
        <v>737</v>
      </c>
      <c r="I2559" s="286">
        <v>305008</v>
      </c>
      <c r="J2559" s="286" t="s">
        <v>1217</v>
      </c>
      <c r="K2559" s="286">
        <v>1</v>
      </c>
      <c r="L2559" s="287" t="s">
        <v>1828</v>
      </c>
    </row>
    <row r="2560" spans="1:12">
      <c r="B2560" s="283">
        <v>8001</v>
      </c>
      <c r="C2560" s="286">
        <v>305009</v>
      </c>
      <c r="D2560" s="10" t="s">
        <v>737</v>
      </c>
      <c r="I2560" s="286">
        <v>305009</v>
      </c>
      <c r="J2560" s="286" t="s">
        <v>1220</v>
      </c>
      <c r="K2560" s="286">
        <v>1</v>
      </c>
      <c r="L2560" s="287" t="s">
        <v>1828</v>
      </c>
    </row>
    <row r="2561" spans="2:12">
      <c r="B2561" s="283">
        <v>8001</v>
      </c>
      <c r="C2561" s="286">
        <v>305023</v>
      </c>
      <c r="D2561" s="10" t="s">
        <v>737</v>
      </c>
      <c r="I2561" s="286">
        <v>305023</v>
      </c>
      <c r="J2561" s="286" t="s">
        <v>1277</v>
      </c>
      <c r="K2561" s="286">
        <v>1</v>
      </c>
      <c r="L2561" s="287" t="s">
        <v>1828</v>
      </c>
    </row>
    <row r="2562" spans="2:12">
      <c r="B2562" s="283">
        <v>8001</v>
      </c>
      <c r="C2562" s="286">
        <v>305034</v>
      </c>
      <c r="D2562" s="10" t="s">
        <v>737</v>
      </c>
      <c r="I2562" s="286">
        <v>305034</v>
      </c>
      <c r="J2562" s="286" t="s">
        <v>222</v>
      </c>
      <c r="K2562" s="286">
        <v>1</v>
      </c>
      <c r="L2562" s="287" t="s">
        <v>1828</v>
      </c>
    </row>
    <row r="2563" spans="2:12">
      <c r="B2563" s="283">
        <v>8001</v>
      </c>
      <c r="C2563" s="286">
        <v>305035</v>
      </c>
      <c r="D2563" s="10" t="s">
        <v>737</v>
      </c>
      <c r="I2563" s="286">
        <v>305035</v>
      </c>
      <c r="J2563" s="286" t="s">
        <v>227</v>
      </c>
      <c r="K2563" s="286">
        <v>1</v>
      </c>
      <c r="L2563" s="287" t="s">
        <v>1828</v>
      </c>
    </row>
    <row r="2564" spans="2:12">
      <c r="B2564" s="283">
        <v>8001</v>
      </c>
      <c r="C2564" s="286">
        <v>305036</v>
      </c>
      <c r="D2564" s="10" t="s">
        <v>737</v>
      </c>
      <c r="I2564" s="286">
        <v>305036</v>
      </c>
      <c r="J2564" s="286" t="s">
        <v>232</v>
      </c>
      <c r="K2564" s="286">
        <v>1</v>
      </c>
      <c r="L2564" s="287" t="s">
        <v>1828</v>
      </c>
    </row>
    <row r="2565" spans="2:12">
      <c r="B2565" s="283">
        <v>8001</v>
      </c>
      <c r="C2565" s="286">
        <v>305039</v>
      </c>
      <c r="D2565" s="10" t="s">
        <v>737</v>
      </c>
      <c r="I2565" s="286">
        <v>305039</v>
      </c>
      <c r="J2565" s="286" t="s">
        <v>1829</v>
      </c>
      <c r="K2565" s="286">
        <v>1</v>
      </c>
      <c r="L2565" s="287" t="s">
        <v>1828</v>
      </c>
    </row>
    <row r="2566" spans="2:12">
      <c r="B2566" s="283">
        <v>8001</v>
      </c>
      <c r="C2566" s="286">
        <v>305040</v>
      </c>
      <c r="D2566" s="10" t="s">
        <v>737</v>
      </c>
      <c r="I2566" s="286">
        <v>305040</v>
      </c>
      <c r="J2566" s="286" t="s">
        <v>277</v>
      </c>
      <c r="K2566" s="286">
        <v>1</v>
      </c>
      <c r="L2566" s="287" t="s">
        <v>1828</v>
      </c>
    </row>
    <row r="2567" spans="2:12">
      <c r="B2567" s="283">
        <v>8001</v>
      </c>
      <c r="C2567" s="286">
        <v>305200</v>
      </c>
      <c r="D2567" s="10" t="s">
        <v>737</v>
      </c>
      <c r="I2567" s="286">
        <v>305200</v>
      </c>
      <c r="J2567" s="286" t="s">
        <v>313</v>
      </c>
      <c r="K2567" s="286">
        <v>1</v>
      </c>
      <c r="L2567" s="287" t="s">
        <v>1828</v>
      </c>
    </row>
    <row r="2568" spans="2:12">
      <c r="B2568" s="283">
        <v>8001</v>
      </c>
      <c r="C2568" s="288">
        <v>305224</v>
      </c>
      <c r="D2568" s="10" t="s">
        <v>737</v>
      </c>
      <c r="I2568" s="288">
        <v>305224</v>
      </c>
      <c r="J2568" s="10" t="s">
        <v>1890</v>
      </c>
      <c r="K2568" s="286">
        <v>1</v>
      </c>
      <c r="L2568" s="287" t="s">
        <v>1828</v>
      </c>
    </row>
    <row r="2569" spans="2:12">
      <c r="B2569" s="283">
        <v>8001</v>
      </c>
      <c r="C2569" s="288">
        <v>305225</v>
      </c>
      <c r="D2569" s="10" t="s">
        <v>737</v>
      </c>
      <c r="I2569" s="288">
        <v>305225</v>
      </c>
      <c r="J2569" s="10" t="s">
        <v>1888</v>
      </c>
      <c r="K2569" s="286">
        <v>1</v>
      </c>
      <c r="L2569" s="287" t="s">
        <v>1828</v>
      </c>
    </row>
    <row r="2570" spans="2:12">
      <c r="B2570" s="283">
        <v>8001</v>
      </c>
      <c r="C2570" s="288">
        <v>305226</v>
      </c>
      <c r="D2570" s="10" t="s">
        <v>737</v>
      </c>
      <c r="I2570" s="288">
        <v>305226</v>
      </c>
      <c r="J2570" s="10" t="s">
        <v>1891</v>
      </c>
      <c r="K2570" s="286">
        <v>1</v>
      </c>
      <c r="L2570" s="287" t="s">
        <v>1828</v>
      </c>
    </row>
    <row r="2571" spans="2:12">
      <c r="B2571" s="283">
        <v>8001</v>
      </c>
      <c r="C2571" s="289">
        <v>305010</v>
      </c>
      <c r="D2571" s="10" t="s">
        <v>737</v>
      </c>
      <c r="I2571" s="289">
        <v>305010</v>
      </c>
      <c r="J2571" s="289" t="s">
        <v>1223</v>
      </c>
      <c r="K2571" s="289">
        <v>2</v>
      </c>
      <c r="L2571" s="290" t="s">
        <v>1830</v>
      </c>
    </row>
    <row r="2572" spans="2:12">
      <c r="B2572" s="283">
        <v>8001</v>
      </c>
      <c r="C2572" s="289">
        <v>305021</v>
      </c>
      <c r="D2572" s="10" t="s">
        <v>737</v>
      </c>
      <c r="I2572" s="289">
        <v>305021</v>
      </c>
      <c r="J2572" s="289" t="s">
        <v>1270</v>
      </c>
      <c r="K2572" s="289">
        <v>2</v>
      </c>
      <c r="L2572" s="290" t="s">
        <v>1830</v>
      </c>
    </row>
    <row r="2573" spans="2:12">
      <c r="B2573" s="283">
        <v>8001</v>
      </c>
      <c r="C2573" s="289">
        <v>305022</v>
      </c>
      <c r="D2573" s="10" t="s">
        <v>737</v>
      </c>
      <c r="I2573" s="289">
        <v>305022</v>
      </c>
      <c r="J2573" s="289" t="s">
        <v>1273</v>
      </c>
      <c r="K2573" s="289">
        <v>2</v>
      </c>
      <c r="L2573" s="290" t="s">
        <v>1830</v>
      </c>
    </row>
    <row r="2574" spans="2:12">
      <c r="B2574" s="283">
        <v>8001</v>
      </c>
      <c r="C2574" s="289">
        <v>305032</v>
      </c>
      <c r="D2574" s="10" t="s">
        <v>737</v>
      </c>
      <c r="I2574" s="289">
        <v>305032</v>
      </c>
      <c r="J2574" s="289" t="s">
        <v>213</v>
      </c>
      <c r="K2574" s="289">
        <v>2</v>
      </c>
      <c r="L2574" s="290" t="s">
        <v>1830</v>
      </c>
    </row>
    <row r="2575" spans="2:12">
      <c r="B2575" s="283">
        <v>8001</v>
      </c>
      <c r="C2575" s="289">
        <v>305033</v>
      </c>
      <c r="D2575" s="10" t="s">
        <v>737</v>
      </c>
      <c r="I2575" s="289">
        <v>305033</v>
      </c>
      <c r="J2575" s="289" t="s">
        <v>217</v>
      </c>
      <c r="K2575" s="289">
        <v>2</v>
      </c>
      <c r="L2575" s="290" t="s">
        <v>1830</v>
      </c>
    </row>
    <row r="2576" spans="2:12">
      <c r="B2576" s="283">
        <v>8001</v>
      </c>
      <c r="C2576" s="289">
        <v>305037</v>
      </c>
      <c r="D2576" s="10" t="s">
        <v>737</v>
      </c>
      <c r="I2576" s="289">
        <v>305037</v>
      </c>
      <c r="J2576" s="289" t="s">
        <v>264</v>
      </c>
      <c r="K2576" s="289">
        <v>2</v>
      </c>
      <c r="L2576" s="290" t="s">
        <v>1830</v>
      </c>
    </row>
    <row r="2577" spans="2:12">
      <c r="B2577" s="283">
        <v>8001</v>
      </c>
      <c r="C2577" s="289">
        <v>305038</v>
      </c>
      <c r="D2577" s="10" t="s">
        <v>737</v>
      </c>
      <c r="I2577" s="289">
        <v>305038</v>
      </c>
      <c r="J2577" s="289" t="s">
        <v>268</v>
      </c>
      <c r="K2577" s="289">
        <v>2</v>
      </c>
      <c r="L2577" s="290" t="s">
        <v>1830</v>
      </c>
    </row>
    <row r="2578" spans="2:12">
      <c r="B2578" s="283">
        <v>8001</v>
      </c>
      <c r="C2578" s="289">
        <v>305300</v>
      </c>
      <c r="D2578" s="10" t="s">
        <v>737</v>
      </c>
      <c r="I2578" s="289">
        <v>305300</v>
      </c>
      <c r="J2578" s="289" t="s">
        <v>318</v>
      </c>
      <c r="K2578" s="289">
        <v>2</v>
      </c>
      <c r="L2578" s="290" t="s">
        <v>1830</v>
      </c>
    </row>
    <row r="2579" spans="2:12">
      <c r="B2579" s="283">
        <v>8001</v>
      </c>
      <c r="C2579" s="288">
        <v>305324</v>
      </c>
      <c r="D2579" s="10" t="s">
        <v>737</v>
      </c>
      <c r="I2579" s="288">
        <v>305324</v>
      </c>
      <c r="J2579" s="10" t="s">
        <v>1887</v>
      </c>
      <c r="K2579" s="289">
        <v>2</v>
      </c>
      <c r="L2579" s="290" t="s">
        <v>1830</v>
      </c>
    </row>
    <row r="2580" spans="2:12">
      <c r="B2580" s="283">
        <v>8001</v>
      </c>
      <c r="C2580" s="288">
        <v>305325</v>
      </c>
      <c r="D2580" s="10" t="s">
        <v>737</v>
      </c>
      <c r="I2580" s="288">
        <v>305325</v>
      </c>
      <c r="J2580" s="10" t="s">
        <v>1888</v>
      </c>
      <c r="K2580" s="289">
        <v>2</v>
      </c>
      <c r="L2580" s="290" t="s">
        <v>1830</v>
      </c>
    </row>
    <row r="2581" spans="2:12">
      <c r="B2581" s="283">
        <v>8001</v>
      </c>
      <c r="C2581" s="288">
        <v>305326</v>
      </c>
      <c r="D2581" s="10" t="s">
        <v>737</v>
      </c>
      <c r="I2581" s="288">
        <v>305326</v>
      </c>
      <c r="J2581" s="10" t="s">
        <v>1889</v>
      </c>
      <c r="K2581" s="289">
        <v>2</v>
      </c>
      <c r="L2581" s="290" t="s">
        <v>1830</v>
      </c>
    </row>
    <row r="2582" spans="2:12">
      <c r="B2582" s="283">
        <v>8001</v>
      </c>
      <c r="C2582" s="291">
        <v>305001</v>
      </c>
      <c r="D2582" s="10" t="s">
        <v>737</v>
      </c>
      <c r="I2582" s="291">
        <v>305001</v>
      </c>
      <c r="J2582" s="291" t="s">
        <v>176</v>
      </c>
      <c r="K2582" s="291">
        <v>0</v>
      </c>
      <c r="L2582" s="292" t="s">
        <v>1827</v>
      </c>
    </row>
    <row r="2583" spans="2:12">
      <c r="B2583" s="283">
        <v>8001</v>
      </c>
      <c r="C2583" s="291">
        <v>305002</v>
      </c>
      <c r="D2583" s="10" t="s">
        <v>737</v>
      </c>
      <c r="I2583" s="291">
        <v>305002</v>
      </c>
      <c r="J2583" s="291" t="s">
        <v>181</v>
      </c>
      <c r="K2583" s="291">
        <v>0</v>
      </c>
      <c r="L2583" s="292" t="s">
        <v>1827</v>
      </c>
    </row>
    <row r="2584" spans="2:12">
      <c r="B2584" s="283">
        <v>8001</v>
      </c>
      <c r="C2584" s="291">
        <v>305003</v>
      </c>
      <c r="D2584" s="10" t="s">
        <v>737</v>
      </c>
      <c r="I2584" s="291">
        <v>305003</v>
      </c>
      <c r="J2584" s="291" t="s">
        <v>186</v>
      </c>
      <c r="K2584" s="291">
        <v>0</v>
      </c>
      <c r="L2584" s="292" t="s">
        <v>1827</v>
      </c>
    </row>
    <row r="2585" spans="2:12">
      <c r="B2585" s="283">
        <v>8001</v>
      </c>
      <c r="C2585" s="291">
        <v>305018</v>
      </c>
      <c r="D2585" s="10" t="s">
        <v>737</v>
      </c>
      <c r="I2585" s="291">
        <v>305018</v>
      </c>
      <c r="J2585" s="291" t="s">
        <v>191</v>
      </c>
      <c r="K2585" s="291">
        <v>0</v>
      </c>
      <c r="L2585" s="292" t="s">
        <v>1827</v>
      </c>
    </row>
    <row r="2586" spans="2:12">
      <c r="B2586" s="283">
        <v>8001</v>
      </c>
      <c r="C2586" s="291">
        <v>305019</v>
      </c>
      <c r="D2586" s="10" t="s">
        <v>737</v>
      </c>
      <c r="I2586" s="291">
        <v>305019</v>
      </c>
      <c r="J2586" s="291" t="s">
        <v>196</v>
      </c>
      <c r="K2586" s="291">
        <v>0</v>
      </c>
      <c r="L2586" s="292" t="s">
        <v>1827</v>
      </c>
    </row>
    <row r="2587" spans="2:12">
      <c r="B2587" s="283">
        <v>8001</v>
      </c>
      <c r="C2587" s="291">
        <v>305041</v>
      </c>
      <c r="D2587" s="10" t="s">
        <v>737</v>
      </c>
      <c r="I2587" s="291">
        <v>305041</v>
      </c>
      <c r="J2587" s="291" t="s">
        <v>282</v>
      </c>
      <c r="K2587" s="291">
        <v>0</v>
      </c>
      <c r="L2587" s="292" t="s">
        <v>1827</v>
      </c>
    </row>
    <row r="2588" spans="2:12">
      <c r="B2588" s="283">
        <v>8001</v>
      </c>
      <c r="C2588" s="291">
        <v>305042</v>
      </c>
      <c r="D2588" s="10" t="s">
        <v>737</v>
      </c>
      <c r="I2588" s="291">
        <v>305042</v>
      </c>
      <c r="J2588" s="291" t="s">
        <v>287</v>
      </c>
      <c r="K2588" s="291">
        <v>0</v>
      </c>
      <c r="L2588" s="292" t="s">
        <v>1827</v>
      </c>
    </row>
    <row r="2589" spans="2:12">
      <c r="B2589" s="283">
        <v>8001</v>
      </c>
      <c r="C2589" s="291">
        <v>305600</v>
      </c>
      <c r="D2589" s="10" t="s">
        <v>737</v>
      </c>
      <c r="I2589" s="291">
        <v>305600</v>
      </c>
      <c r="J2589" s="291" t="s">
        <v>323</v>
      </c>
      <c r="K2589" s="291">
        <v>0</v>
      </c>
      <c r="L2589" s="292" t="s">
        <v>1827</v>
      </c>
    </row>
    <row r="2590" spans="2:12">
      <c r="B2590" s="283">
        <v>8001</v>
      </c>
      <c r="C2590" s="288">
        <v>305623</v>
      </c>
      <c r="D2590" s="10" t="s">
        <v>737</v>
      </c>
      <c r="I2590" s="288">
        <v>305623</v>
      </c>
      <c r="J2590" s="10" t="s">
        <v>1864</v>
      </c>
      <c r="K2590" s="291">
        <v>0</v>
      </c>
      <c r="L2590" s="292" t="s">
        <v>1827</v>
      </c>
    </row>
    <row r="2591" spans="2:12">
      <c r="B2591" s="283">
        <v>8001</v>
      </c>
      <c r="C2591" s="288">
        <v>305624</v>
      </c>
      <c r="D2591" s="10" t="s">
        <v>737</v>
      </c>
      <c r="I2591" s="288">
        <v>305624</v>
      </c>
      <c r="J2591" s="10" t="s">
        <v>1865</v>
      </c>
      <c r="K2591" s="291">
        <v>0</v>
      </c>
      <c r="L2591" s="292" t="s">
        <v>1827</v>
      </c>
    </row>
    <row r="2592" spans="2:12">
      <c r="B2592" s="283">
        <v>8001</v>
      </c>
      <c r="C2592" s="288">
        <v>305625</v>
      </c>
      <c r="D2592" s="10" t="s">
        <v>737</v>
      </c>
      <c r="I2592" s="288">
        <v>305625</v>
      </c>
      <c r="J2592" s="10" t="s">
        <v>1866</v>
      </c>
      <c r="K2592" s="291">
        <v>0</v>
      </c>
      <c r="L2592" s="292" t="s">
        <v>1827</v>
      </c>
    </row>
    <row r="2593" spans="2:22">
      <c r="B2593" s="283">
        <v>8001</v>
      </c>
      <c r="C2593" s="288">
        <v>305626</v>
      </c>
      <c r="D2593" s="10" t="s">
        <v>737</v>
      </c>
      <c r="I2593" s="288">
        <v>305626</v>
      </c>
      <c r="J2593" s="10" t="s">
        <v>1867</v>
      </c>
      <c r="K2593" s="291">
        <v>0</v>
      </c>
      <c r="L2593" s="292" t="s">
        <v>1827</v>
      </c>
    </row>
    <row r="2594" spans="2:22">
      <c r="B2594" s="283">
        <v>8001</v>
      </c>
      <c r="C2594" s="293">
        <v>305012</v>
      </c>
      <c r="D2594" s="10" t="s">
        <v>737</v>
      </c>
      <c r="I2594" s="293">
        <v>305012</v>
      </c>
      <c r="J2594" s="293" t="s">
        <v>1230</v>
      </c>
      <c r="K2594" s="293">
        <v>6</v>
      </c>
      <c r="L2594" s="294" t="s">
        <v>1833</v>
      </c>
    </row>
    <row r="2595" spans="2:22">
      <c r="B2595" s="283">
        <v>8001</v>
      </c>
      <c r="C2595" s="293">
        <v>305013</v>
      </c>
      <c r="D2595" s="10" t="s">
        <v>737</v>
      </c>
      <c r="I2595" s="293">
        <v>305013</v>
      </c>
      <c r="J2595" s="293" t="s">
        <v>1237</v>
      </c>
      <c r="K2595" s="293">
        <v>6</v>
      </c>
      <c r="L2595" s="294" t="s">
        <v>1833</v>
      </c>
    </row>
    <row r="2596" spans="2:22">
      <c r="B2596" s="283">
        <v>8001</v>
      </c>
      <c r="C2596" s="293">
        <v>305014</v>
      </c>
      <c r="D2596" s="10" t="s">
        <v>737</v>
      </c>
      <c r="I2596" s="293">
        <v>305014</v>
      </c>
      <c r="J2596" s="293" t="s">
        <v>1241</v>
      </c>
      <c r="K2596" s="293">
        <v>6</v>
      </c>
      <c r="L2596" s="294" t="s">
        <v>1833</v>
      </c>
    </row>
    <row r="2597" spans="2:22" s="285" customFormat="1">
      <c r="B2597" s="283">
        <v>8001</v>
      </c>
      <c r="C2597" s="293">
        <v>305046</v>
      </c>
      <c r="D2597" s="285" t="s">
        <v>737</v>
      </c>
      <c r="G2597" s="10"/>
      <c r="H2597" s="10"/>
      <c r="I2597" s="293">
        <v>305046</v>
      </c>
      <c r="J2597" s="293" t="s">
        <v>309</v>
      </c>
      <c r="K2597" s="293">
        <v>6</v>
      </c>
      <c r="L2597" s="294" t="s">
        <v>1833</v>
      </c>
      <c r="M2597" s="10"/>
      <c r="R2597" s="10"/>
      <c r="S2597" s="10"/>
      <c r="T2597" s="10"/>
      <c r="U2597" s="10"/>
      <c r="V2597" s="10"/>
    </row>
    <row r="2598" spans="2:22">
      <c r="B2598" s="283">
        <v>8001</v>
      </c>
      <c r="C2598" s="288">
        <v>305815</v>
      </c>
      <c r="D2598" s="10" t="s">
        <v>737</v>
      </c>
      <c r="I2598" s="288">
        <v>305815</v>
      </c>
      <c r="J2598" s="10" t="s">
        <v>1868</v>
      </c>
      <c r="K2598" s="293">
        <v>6</v>
      </c>
      <c r="L2598" s="294" t="s">
        <v>1833</v>
      </c>
    </row>
    <row r="2599" spans="2:22">
      <c r="B2599" s="283">
        <v>8001</v>
      </c>
      <c r="C2599" s="288">
        <v>305816</v>
      </c>
      <c r="D2599" s="10" t="s">
        <v>737</v>
      </c>
      <c r="I2599" s="288">
        <v>305816</v>
      </c>
      <c r="J2599" s="10" t="s">
        <v>1869</v>
      </c>
      <c r="K2599" s="293">
        <v>6</v>
      </c>
      <c r="L2599" s="294" t="s">
        <v>1833</v>
      </c>
    </row>
    <row r="2600" spans="2:22">
      <c r="B2600" s="283">
        <v>8001</v>
      </c>
      <c r="C2600" s="288">
        <v>305817</v>
      </c>
      <c r="D2600" s="10" t="s">
        <v>737</v>
      </c>
      <c r="I2600" s="288">
        <v>305817</v>
      </c>
      <c r="J2600" s="10" t="s">
        <v>1870</v>
      </c>
      <c r="K2600" s="293">
        <v>6</v>
      </c>
      <c r="L2600" s="294" t="s">
        <v>1833</v>
      </c>
    </row>
    <row r="2601" spans="2:22" s="285" customFormat="1">
      <c r="B2601" s="283">
        <v>8001</v>
      </c>
      <c r="C2601" s="288">
        <v>305818</v>
      </c>
      <c r="D2601" s="285" t="s">
        <v>737</v>
      </c>
      <c r="G2601" s="10"/>
      <c r="H2601" s="10"/>
      <c r="I2601" s="288">
        <v>305818</v>
      </c>
      <c r="J2601" s="10" t="s">
        <v>1871</v>
      </c>
      <c r="K2601" s="293">
        <v>6</v>
      </c>
      <c r="L2601" s="294" t="s">
        <v>1833</v>
      </c>
      <c r="M2601" s="10"/>
      <c r="R2601" s="10"/>
      <c r="S2601" s="10"/>
      <c r="T2601" s="10"/>
      <c r="U2601" s="10"/>
      <c r="V2601" s="10"/>
    </row>
    <row r="2602" spans="2:22">
      <c r="B2602" s="283">
        <v>8001</v>
      </c>
      <c r="C2602" s="288">
        <v>305819</v>
      </c>
      <c r="D2602" s="10" t="s">
        <v>737</v>
      </c>
      <c r="I2602" s="288">
        <v>305819</v>
      </c>
      <c r="J2602" s="10" t="s">
        <v>1872</v>
      </c>
      <c r="K2602" s="293">
        <v>6</v>
      </c>
      <c r="L2602" s="294" t="s">
        <v>1833</v>
      </c>
    </row>
    <row r="2603" spans="2:22" s="285" customFormat="1">
      <c r="B2603" s="283">
        <v>8001</v>
      </c>
      <c r="C2603" s="288">
        <v>305820</v>
      </c>
      <c r="D2603" s="285" t="s">
        <v>737</v>
      </c>
      <c r="G2603" s="10"/>
      <c r="H2603" s="10"/>
      <c r="I2603" s="288">
        <v>305820</v>
      </c>
      <c r="J2603" s="10" t="s">
        <v>1873</v>
      </c>
      <c r="K2603" s="293">
        <v>6</v>
      </c>
      <c r="L2603" s="294" t="s">
        <v>1833</v>
      </c>
      <c r="M2603" s="10"/>
      <c r="R2603" s="10"/>
      <c r="S2603" s="10"/>
      <c r="T2603" s="10"/>
      <c r="U2603" s="10"/>
      <c r="V2603" s="10"/>
    </row>
    <row r="2604" spans="2:22">
      <c r="B2604" s="283">
        <v>8001</v>
      </c>
      <c r="C2604" s="295">
        <v>305015</v>
      </c>
      <c r="D2604" s="10" t="s">
        <v>737</v>
      </c>
      <c r="I2604" s="295">
        <v>305015</v>
      </c>
      <c r="J2604" s="295" t="s">
        <v>1245</v>
      </c>
      <c r="K2604" s="295">
        <v>7</v>
      </c>
      <c r="L2604" s="296" t="s">
        <v>538</v>
      </c>
    </row>
    <row r="2605" spans="2:22">
      <c r="B2605" s="283">
        <v>8001</v>
      </c>
      <c r="C2605" s="295">
        <v>305016</v>
      </c>
      <c r="D2605" s="10" t="s">
        <v>737</v>
      </c>
      <c r="I2605" s="295">
        <v>305016</v>
      </c>
      <c r="J2605" s="295" t="s">
        <v>1251</v>
      </c>
      <c r="K2605" s="295">
        <v>7</v>
      </c>
      <c r="L2605" s="296" t="s">
        <v>538</v>
      </c>
    </row>
    <row r="2606" spans="2:22">
      <c r="B2606" s="283">
        <v>8001</v>
      </c>
      <c r="C2606" s="295">
        <v>305017</v>
      </c>
      <c r="D2606" s="10" t="s">
        <v>737</v>
      </c>
      <c r="I2606" s="295">
        <v>305017</v>
      </c>
      <c r="J2606" s="295" t="s">
        <v>1255</v>
      </c>
      <c r="K2606" s="295">
        <v>7</v>
      </c>
      <c r="L2606" s="296" t="s">
        <v>538</v>
      </c>
    </row>
    <row r="2607" spans="2:22">
      <c r="B2607" s="283">
        <v>8001</v>
      </c>
      <c r="C2607" s="295">
        <v>305700</v>
      </c>
      <c r="D2607" s="10" t="s">
        <v>737</v>
      </c>
      <c r="I2607" s="295">
        <v>305700</v>
      </c>
      <c r="J2607" s="295" t="s">
        <v>328</v>
      </c>
      <c r="K2607" s="295">
        <v>7</v>
      </c>
      <c r="L2607" s="296" t="s">
        <v>538</v>
      </c>
    </row>
    <row r="2608" spans="2:22">
      <c r="B2608" s="283">
        <v>8001</v>
      </c>
      <c r="C2608" s="288">
        <v>305719</v>
      </c>
      <c r="D2608" s="10" t="s">
        <v>737</v>
      </c>
      <c r="I2608" s="288">
        <v>305719</v>
      </c>
      <c r="J2608" s="10" t="s">
        <v>1874</v>
      </c>
      <c r="K2608" s="295">
        <v>7</v>
      </c>
      <c r="L2608" s="296" t="s">
        <v>538</v>
      </c>
    </row>
    <row r="2609" spans="1:22">
      <c r="B2609" s="283">
        <v>8001</v>
      </c>
      <c r="C2609" s="288">
        <v>305720</v>
      </c>
      <c r="D2609" s="10" t="s">
        <v>737</v>
      </c>
      <c r="I2609" s="288">
        <v>305720</v>
      </c>
      <c r="J2609" s="10" t="s">
        <v>1875</v>
      </c>
      <c r="K2609" s="295">
        <v>7</v>
      </c>
      <c r="L2609" s="296" t="s">
        <v>538</v>
      </c>
    </row>
    <row r="2610" spans="1:22">
      <c r="B2610" s="283">
        <v>8001</v>
      </c>
      <c r="C2610" s="288">
        <v>305721</v>
      </c>
      <c r="D2610" s="10" t="s">
        <v>737</v>
      </c>
      <c r="I2610" s="288">
        <v>305721</v>
      </c>
      <c r="J2610" s="10" t="s">
        <v>1876</v>
      </c>
      <c r="K2610" s="295">
        <v>7</v>
      </c>
      <c r="L2610" s="296" t="s">
        <v>538</v>
      </c>
    </row>
    <row r="2611" spans="1:22">
      <c r="B2611" s="283">
        <v>8001</v>
      </c>
      <c r="C2611" s="288">
        <v>305722</v>
      </c>
      <c r="D2611" s="10" t="s">
        <v>737</v>
      </c>
      <c r="I2611" s="288">
        <v>305722</v>
      </c>
      <c r="J2611" s="10" t="s">
        <v>1877</v>
      </c>
      <c r="K2611" s="295">
        <v>7</v>
      </c>
      <c r="L2611" s="296" t="s">
        <v>538</v>
      </c>
    </row>
    <row r="2612" spans="1:22">
      <c r="B2612" s="283">
        <v>8001</v>
      </c>
      <c r="C2612" s="288">
        <v>305723</v>
      </c>
      <c r="D2612" s="10" t="s">
        <v>737</v>
      </c>
      <c r="I2612" s="288">
        <v>305723</v>
      </c>
      <c r="J2612" s="10" t="s">
        <v>1878</v>
      </c>
      <c r="K2612" s="295">
        <v>7</v>
      </c>
      <c r="L2612" s="296" t="s">
        <v>538</v>
      </c>
    </row>
    <row r="2613" spans="1:22">
      <c r="B2613" s="283">
        <v>8001</v>
      </c>
      <c r="C2613" s="288">
        <v>305724</v>
      </c>
      <c r="D2613" s="10" t="s">
        <v>737</v>
      </c>
      <c r="I2613" s="288">
        <v>305724</v>
      </c>
      <c r="J2613" s="10" t="s">
        <v>1879</v>
      </c>
      <c r="K2613" s="295">
        <v>7</v>
      </c>
      <c r="L2613" s="296" t="s">
        <v>538</v>
      </c>
    </row>
    <row r="2614" spans="1:22">
      <c r="B2614" s="283">
        <v>8001</v>
      </c>
      <c r="C2614" s="297">
        <v>305011</v>
      </c>
      <c r="D2614" s="10" t="s">
        <v>737</v>
      </c>
      <c r="I2614" s="297">
        <v>305011</v>
      </c>
      <c r="J2614" s="297" t="s">
        <v>161</v>
      </c>
      <c r="K2614" s="297">
        <v>3</v>
      </c>
      <c r="L2614" s="298" t="s">
        <v>1831</v>
      </c>
    </row>
    <row r="2615" spans="1:22">
      <c r="B2615" s="283">
        <v>8001</v>
      </c>
      <c r="C2615" s="299">
        <v>305025</v>
      </c>
      <c r="D2615" s="10" t="s">
        <v>737</v>
      </c>
      <c r="I2615" s="299">
        <v>305025</v>
      </c>
      <c r="J2615" s="299" t="s">
        <v>200</v>
      </c>
      <c r="K2615" s="299">
        <v>4</v>
      </c>
      <c r="L2615" s="300" t="s">
        <v>1832</v>
      </c>
    </row>
    <row r="2616" spans="1:22" s="285" customFormat="1">
      <c r="A2616" s="10"/>
      <c r="B2616" s="283">
        <v>8001</v>
      </c>
      <c r="C2616" s="299">
        <v>305026</v>
      </c>
      <c r="D2616" s="10" t="s">
        <v>737</v>
      </c>
      <c r="E2616" s="10"/>
      <c r="F2616" s="10"/>
      <c r="G2616" s="10"/>
      <c r="H2616" s="10"/>
      <c r="I2616" s="299">
        <v>305026</v>
      </c>
      <c r="J2616" s="299" t="s">
        <v>204</v>
      </c>
      <c r="K2616" s="299">
        <v>4</v>
      </c>
      <c r="L2616" s="300" t="s">
        <v>1832</v>
      </c>
      <c r="M2616" s="10"/>
      <c r="N2616" s="10"/>
      <c r="O2616" s="10"/>
      <c r="P2616" s="10"/>
      <c r="Q2616" s="10"/>
      <c r="R2616" s="10"/>
      <c r="S2616" s="10"/>
      <c r="T2616" s="10"/>
      <c r="U2616" s="10"/>
      <c r="V2616" s="10"/>
    </row>
    <row r="2617" spans="1:22" s="285" customFormat="1">
      <c r="A2617" s="10"/>
      <c r="B2617" s="283">
        <v>8001</v>
      </c>
      <c r="C2617" s="299">
        <v>305050</v>
      </c>
      <c r="D2617" s="10" t="s">
        <v>737</v>
      </c>
      <c r="E2617" s="10"/>
      <c r="F2617" s="10"/>
      <c r="G2617" s="10"/>
      <c r="H2617" s="10"/>
      <c r="I2617" s="299">
        <v>305050</v>
      </c>
      <c r="J2617" s="299" t="s">
        <v>300</v>
      </c>
      <c r="K2617" s="299">
        <v>4</v>
      </c>
      <c r="L2617" s="300" t="s">
        <v>1832</v>
      </c>
      <c r="M2617" s="10"/>
      <c r="N2617" s="10"/>
      <c r="O2617" s="10"/>
      <c r="P2617" s="10"/>
      <c r="Q2617" s="10"/>
      <c r="R2617" s="10"/>
      <c r="S2617" s="10"/>
      <c r="T2617" s="10"/>
      <c r="U2617" s="10"/>
      <c r="V2617" s="10"/>
    </row>
    <row r="2618" spans="1:22" s="285" customFormat="1">
      <c r="A2618" s="10"/>
      <c r="B2618" s="283">
        <v>8001</v>
      </c>
      <c r="C2618" s="299">
        <v>305051</v>
      </c>
      <c r="D2618" s="10" t="s">
        <v>737</v>
      </c>
      <c r="E2618" s="10"/>
      <c r="F2618" s="10"/>
      <c r="G2618" s="10"/>
      <c r="H2618" s="10"/>
      <c r="I2618" s="299">
        <v>305051</v>
      </c>
      <c r="J2618" s="299" t="s">
        <v>340</v>
      </c>
      <c r="K2618" s="299">
        <v>4</v>
      </c>
      <c r="L2618" s="300" t="s">
        <v>1832</v>
      </c>
      <c r="M2618" s="10"/>
      <c r="N2618" s="10"/>
      <c r="O2618" s="10"/>
      <c r="P2618" s="10"/>
      <c r="Q2618" s="10"/>
      <c r="R2618" s="10"/>
      <c r="S2618" s="10"/>
      <c r="T2618" s="10"/>
      <c r="U2618" s="10"/>
      <c r="V2618" s="10"/>
    </row>
    <row r="2619" spans="1:22">
      <c r="B2619" s="283">
        <v>8001</v>
      </c>
      <c r="C2619" s="288">
        <v>305055</v>
      </c>
      <c r="D2619" s="10" t="s">
        <v>737</v>
      </c>
      <c r="I2619" s="288">
        <v>305055</v>
      </c>
      <c r="J2619" s="10" t="s">
        <v>1880</v>
      </c>
      <c r="K2619" s="299">
        <v>4</v>
      </c>
      <c r="L2619" s="300" t="s">
        <v>1832</v>
      </c>
    </row>
    <row r="2620" spans="1:22" s="285" customFormat="1">
      <c r="A2620" s="10"/>
      <c r="B2620" s="283">
        <v>8001</v>
      </c>
      <c r="C2620" s="288">
        <v>305056</v>
      </c>
      <c r="D2620" s="10" t="s">
        <v>737</v>
      </c>
      <c r="E2620" s="10"/>
      <c r="F2620" s="10"/>
      <c r="G2620" s="10"/>
      <c r="H2620" s="10"/>
      <c r="I2620" s="288">
        <v>305056</v>
      </c>
      <c r="J2620" s="10" t="s">
        <v>1881</v>
      </c>
      <c r="K2620" s="299">
        <v>4</v>
      </c>
      <c r="L2620" s="300" t="s">
        <v>1832</v>
      </c>
      <c r="M2620" s="10"/>
      <c r="N2620" s="10"/>
      <c r="O2620" s="10"/>
      <c r="P2620" s="10"/>
      <c r="Q2620" s="10"/>
      <c r="R2620" s="10"/>
      <c r="S2620" s="10"/>
      <c r="T2620" s="10"/>
      <c r="U2620" s="10"/>
      <c r="V2620" s="10"/>
    </row>
    <row r="2621" spans="1:22" s="285" customFormat="1">
      <c r="A2621" s="10"/>
      <c r="B2621" s="283">
        <v>8001</v>
      </c>
      <c r="C2621" s="288">
        <v>306104</v>
      </c>
      <c r="D2621" s="10" t="s">
        <v>737</v>
      </c>
      <c r="E2621" s="10"/>
      <c r="F2621" s="10"/>
      <c r="G2621" s="10"/>
      <c r="H2621" s="10"/>
      <c r="I2621" s="288">
        <v>306104</v>
      </c>
      <c r="J2621" s="10" t="s">
        <v>1882</v>
      </c>
      <c r="K2621" s="299">
        <v>4</v>
      </c>
      <c r="L2621" s="300" t="s">
        <v>1886</v>
      </c>
      <c r="M2621" s="10"/>
      <c r="N2621" s="10"/>
      <c r="O2621" s="10"/>
      <c r="P2621" s="10"/>
      <c r="Q2621" s="10"/>
      <c r="R2621" s="10"/>
      <c r="S2621" s="10"/>
      <c r="T2621" s="10"/>
      <c r="U2621" s="10"/>
      <c r="V2621" s="10"/>
    </row>
    <row r="2622" spans="1:22" s="285" customFormat="1">
      <c r="A2622" s="10"/>
      <c r="B2622" s="283">
        <v>8001</v>
      </c>
      <c r="C2622" s="288">
        <v>306105</v>
      </c>
      <c r="D2622" s="10" t="s">
        <v>737</v>
      </c>
      <c r="E2622" s="10"/>
      <c r="F2622" s="10"/>
      <c r="G2622" s="10"/>
      <c r="H2622" s="10"/>
      <c r="I2622" s="288">
        <v>306105</v>
      </c>
      <c r="J2622" s="10" t="s">
        <v>1883</v>
      </c>
      <c r="K2622" s="299">
        <v>4</v>
      </c>
      <c r="L2622" s="300" t="s">
        <v>1886</v>
      </c>
      <c r="M2622" s="10"/>
      <c r="N2622" s="10"/>
      <c r="O2622" s="10"/>
      <c r="P2622" s="10"/>
      <c r="Q2622" s="10"/>
      <c r="R2622" s="10"/>
      <c r="S2622" s="10"/>
      <c r="T2622" s="10"/>
      <c r="U2622" s="10"/>
      <c r="V2622" s="10"/>
    </row>
    <row r="2623" spans="1:22" s="285" customFormat="1">
      <c r="A2623" s="10"/>
      <c r="B2623" s="283">
        <v>8001</v>
      </c>
      <c r="C2623" s="288">
        <v>306106</v>
      </c>
      <c r="D2623" s="10" t="s">
        <v>737</v>
      </c>
      <c r="E2623" s="10"/>
      <c r="F2623" s="10"/>
      <c r="G2623" s="10"/>
      <c r="H2623" s="10"/>
      <c r="I2623" s="288">
        <v>306106</v>
      </c>
      <c r="J2623" s="10" t="s">
        <v>1884</v>
      </c>
      <c r="K2623" s="299">
        <v>4</v>
      </c>
      <c r="L2623" s="300" t="s">
        <v>1886</v>
      </c>
      <c r="M2623" s="10"/>
      <c r="N2623" s="10"/>
      <c r="O2623" s="10"/>
      <c r="P2623" s="10"/>
      <c r="Q2623" s="10"/>
      <c r="R2623" s="10"/>
      <c r="S2623" s="10"/>
      <c r="T2623" s="10"/>
      <c r="U2623" s="10"/>
      <c r="V2623" s="10"/>
    </row>
    <row r="2624" spans="1:22" s="285" customFormat="1">
      <c r="A2624" s="10"/>
      <c r="B2624" s="283">
        <v>8001</v>
      </c>
      <c r="C2624" s="288">
        <v>306107</v>
      </c>
      <c r="D2624" s="10" t="s">
        <v>737</v>
      </c>
      <c r="E2624" s="10"/>
      <c r="F2624" s="10"/>
      <c r="G2624" s="10"/>
      <c r="H2624" s="10"/>
      <c r="I2624" s="288">
        <v>306107</v>
      </c>
      <c r="J2624" s="10" t="s">
        <v>1885</v>
      </c>
      <c r="K2624" s="299">
        <v>4</v>
      </c>
      <c r="L2624" s="300" t="s">
        <v>1886</v>
      </c>
      <c r="M2624" s="10"/>
      <c r="N2624" s="10"/>
      <c r="O2624" s="10"/>
      <c r="P2624" s="10"/>
      <c r="Q2624" s="10"/>
      <c r="R2624" s="10"/>
      <c r="S2624" s="10"/>
      <c r="T2624" s="10"/>
      <c r="U2624" s="10"/>
      <c r="V2624" s="10"/>
    </row>
    <row r="2625" spans="2:4">
      <c r="B2625" s="283">
        <v>8001</v>
      </c>
      <c r="C2625" s="282">
        <v>303012</v>
      </c>
      <c r="D2625" s="301" t="s">
        <v>38</v>
      </c>
    </row>
    <row r="2626" spans="2:4">
      <c r="B2626" s="283">
        <v>8001</v>
      </c>
      <c r="C2626" s="282">
        <v>303013</v>
      </c>
      <c r="D2626" s="301" t="s">
        <v>38</v>
      </c>
    </row>
    <row r="2627" spans="2:4">
      <c r="B2627" s="283">
        <v>8001</v>
      </c>
      <c r="C2627" s="282">
        <v>303022</v>
      </c>
      <c r="D2627" s="301" t="s">
        <v>38</v>
      </c>
    </row>
    <row r="2628" spans="2:4">
      <c r="B2628" s="283">
        <v>8001</v>
      </c>
      <c r="C2628" s="282">
        <v>303023</v>
      </c>
      <c r="D2628" s="301" t="s">
        <v>38</v>
      </c>
    </row>
    <row r="2629" spans="2:4">
      <c r="B2629" s="283">
        <v>8001</v>
      </c>
      <c r="C2629" s="282">
        <v>303032</v>
      </c>
      <c r="D2629" s="301" t="s">
        <v>38</v>
      </c>
    </row>
    <row r="2630" spans="2:4">
      <c r="B2630" s="283">
        <v>8001</v>
      </c>
      <c r="C2630" s="282">
        <v>303033</v>
      </c>
      <c r="D2630" s="301" t="s">
        <v>38</v>
      </c>
    </row>
    <row r="2631" spans="2:4">
      <c r="B2631" s="283">
        <v>8001</v>
      </c>
      <c r="C2631" s="282">
        <v>303042</v>
      </c>
      <c r="D2631" s="301" t="s">
        <v>38</v>
      </c>
    </row>
    <row r="2632" spans="2:4">
      <c r="B2632" s="283">
        <v>8001</v>
      </c>
      <c r="C2632" s="282">
        <v>303043</v>
      </c>
      <c r="D2632" s="301" t="s">
        <v>38</v>
      </c>
    </row>
    <row r="2633" spans="2:4">
      <c r="B2633" s="283">
        <v>8001</v>
      </c>
      <c r="C2633" s="282">
        <v>303052</v>
      </c>
      <c r="D2633" s="301" t="s">
        <v>38</v>
      </c>
    </row>
    <row r="2634" spans="2:4">
      <c r="B2634" s="283">
        <v>8001</v>
      </c>
      <c r="C2634" s="282">
        <v>303053</v>
      </c>
      <c r="D2634" s="301" t="s">
        <v>38</v>
      </c>
    </row>
    <row r="2635" spans="2:4">
      <c r="B2635" s="283">
        <v>8001</v>
      </c>
      <c r="C2635" s="282">
        <v>303062</v>
      </c>
      <c r="D2635" s="301" t="s">
        <v>38</v>
      </c>
    </row>
    <row r="2636" spans="2:4">
      <c r="B2636" s="283">
        <v>8001</v>
      </c>
      <c r="C2636" s="282">
        <v>303063</v>
      </c>
      <c r="D2636" s="301" t="s">
        <v>38</v>
      </c>
    </row>
    <row r="2637" spans="2:4">
      <c r="B2637" s="283">
        <v>8001</v>
      </c>
      <c r="C2637" s="282">
        <v>303072</v>
      </c>
      <c r="D2637" s="301" t="s">
        <v>38</v>
      </c>
    </row>
    <row r="2638" spans="2:4">
      <c r="B2638" s="283">
        <v>8001</v>
      </c>
      <c r="C2638" s="282">
        <v>303073</v>
      </c>
      <c r="D2638" s="301" t="s">
        <v>38</v>
      </c>
    </row>
    <row r="2639" spans="2:4">
      <c r="B2639" s="283">
        <v>8001</v>
      </c>
      <c r="C2639" s="282">
        <v>303082</v>
      </c>
      <c r="D2639" s="301" t="s">
        <v>38</v>
      </c>
    </row>
    <row r="2640" spans="2:4">
      <c r="B2640" s="283">
        <v>8001</v>
      </c>
      <c r="C2640" s="282">
        <v>303083</v>
      </c>
      <c r="D2640" s="301" t="s">
        <v>38</v>
      </c>
    </row>
    <row r="2641" spans="2:4">
      <c r="B2641" s="283">
        <v>8002</v>
      </c>
      <c r="C2641" s="43">
        <v>200011</v>
      </c>
      <c r="D2641" s="10" t="s">
        <v>736</v>
      </c>
    </row>
    <row r="2642" spans="2:4">
      <c r="B2642" s="283">
        <v>8002</v>
      </c>
      <c r="C2642" s="43">
        <v>200012</v>
      </c>
      <c r="D2642" s="10" t="s">
        <v>736</v>
      </c>
    </row>
    <row r="2643" spans="2:4">
      <c r="B2643" s="283">
        <v>8002</v>
      </c>
      <c r="C2643" s="43">
        <v>200013</v>
      </c>
      <c r="D2643" s="10" t="s">
        <v>736</v>
      </c>
    </row>
    <row r="2644" spans="2:4">
      <c r="B2644" s="283">
        <v>8002</v>
      </c>
      <c r="C2644" s="43">
        <v>200014</v>
      </c>
      <c r="D2644" s="10" t="s">
        <v>736</v>
      </c>
    </row>
    <row r="2645" spans="2:4">
      <c r="B2645" s="283">
        <v>8002</v>
      </c>
      <c r="C2645" s="43">
        <v>200022</v>
      </c>
      <c r="D2645" s="10" t="s">
        <v>736</v>
      </c>
    </row>
    <row r="2646" spans="2:4">
      <c r="B2646" s="283">
        <v>8002</v>
      </c>
      <c r="C2646" s="43">
        <v>200023</v>
      </c>
      <c r="D2646" s="10" t="s">
        <v>736</v>
      </c>
    </row>
    <row r="2647" spans="2:4">
      <c r="B2647" s="283">
        <v>8002</v>
      </c>
      <c r="C2647" s="43">
        <v>200025</v>
      </c>
      <c r="D2647" s="10" t="s">
        <v>736</v>
      </c>
    </row>
    <row r="2648" spans="2:4">
      <c r="B2648" s="283">
        <v>8002</v>
      </c>
      <c r="C2648" s="43">
        <v>200027</v>
      </c>
      <c r="D2648" s="10" t="s">
        <v>736</v>
      </c>
    </row>
    <row r="2649" spans="2:4">
      <c r="B2649" s="10">
        <v>8002</v>
      </c>
      <c r="C2649" s="43">
        <v>200030</v>
      </c>
      <c r="D2649" s="10" t="s">
        <v>736</v>
      </c>
    </row>
    <row r="2650" spans="2:4">
      <c r="B2650" s="10">
        <v>8002</v>
      </c>
      <c r="C2650" s="43">
        <v>200031</v>
      </c>
      <c r="D2650" s="10" t="s">
        <v>736</v>
      </c>
    </row>
    <row r="2651" spans="2:4">
      <c r="B2651" s="10">
        <v>8002</v>
      </c>
      <c r="C2651" s="43">
        <v>200039</v>
      </c>
      <c r="D2651" s="10" t="s">
        <v>736</v>
      </c>
    </row>
    <row r="2652" spans="2:4">
      <c r="B2652" s="10">
        <v>8002</v>
      </c>
      <c r="C2652" s="43">
        <v>200045</v>
      </c>
      <c r="D2652" s="10" t="s">
        <v>736</v>
      </c>
    </row>
    <row r="2653" spans="2:4" ht="13.5" customHeight="1">
      <c r="B2653" s="10">
        <v>8002</v>
      </c>
      <c r="C2653" s="43">
        <v>200047</v>
      </c>
      <c r="D2653" s="10" t="s">
        <v>736</v>
      </c>
    </row>
    <row r="2654" spans="2:4" ht="13.5" customHeight="1">
      <c r="B2654" s="10">
        <v>8002</v>
      </c>
      <c r="C2654" s="43">
        <v>200049</v>
      </c>
      <c r="D2654" s="10" t="s">
        <v>736</v>
      </c>
    </row>
    <row r="2655" spans="2:4" ht="13.5" customHeight="1">
      <c r="B2655" s="10">
        <v>8002</v>
      </c>
      <c r="C2655" s="43">
        <v>200054</v>
      </c>
      <c r="D2655" s="10" t="s">
        <v>736</v>
      </c>
    </row>
    <row r="2656" spans="2:4" ht="13.5" customHeight="1">
      <c r="B2656" s="10">
        <v>8002</v>
      </c>
      <c r="C2656" s="43">
        <v>200060</v>
      </c>
      <c r="D2656" s="10" t="s">
        <v>736</v>
      </c>
    </row>
    <row r="2657" spans="1:12" ht="13.5" customHeight="1" thickBot="1">
      <c r="B2657" s="10">
        <v>8002</v>
      </c>
      <c r="C2657" s="43">
        <v>200075</v>
      </c>
      <c r="D2657" s="270" t="s">
        <v>1842</v>
      </c>
    </row>
    <row r="2658" spans="1:12" ht="15" thickBot="1">
      <c r="A2658" s="307" t="s">
        <v>2038</v>
      </c>
      <c r="B2658" s="10">
        <v>8002</v>
      </c>
      <c r="C2658" s="43">
        <v>200078</v>
      </c>
      <c r="D2658" s="270" t="s">
        <v>1842</v>
      </c>
    </row>
    <row r="2659" spans="1:12" ht="13.5" customHeight="1" thickBot="1">
      <c r="A2659" s="307" t="s">
        <v>2036</v>
      </c>
      <c r="B2659" s="10">
        <v>8002</v>
      </c>
      <c r="C2659" s="43">
        <v>200090</v>
      </c>
      <c r="D2659" s="270" t="s">
        <v>1842</v>
      </c>
    </row>
    <row r="2660" spans="1:12" ht="13.5" customHeight="1" thickBot="1">
      <c r="A2660" s="307" t="s">
        <v>2034</v>
      </c>
      <c r="B2660" s="10">
        <v>8002</v>
      </c>
      <c r="C2660" s="43">
        <v>200085</v>
      </c>
      <c r="D2660" s="270" t="s">
        <v>1842</v>
      </c>
    </row>
    <row r="2661" spans="1:12" ht="13.5" customHeight="1">
      <c r="A2661" s="270" t="s">
        <v>2001</v>
      </c>
      <c r="B2661" s="10">
        <v>8002</v>
      </c>
      <c r="C2661" s="43">
        <v>200092</v>
      </c>
      <c r="D2661" s="270" t="s">
        <v>1842</v>
      </c>
    </row>
    <row r="2662" spans="1:12" ht="13.5" customHeight="1">
      <c r="A2662" s="270" t="s">
        <v>2042</v>
      </c>
      <c r="B2662" s="10">
        <v>8002</v>
      </c>
      <c r="C2662" s="43">
        <v>200096</v>
      </c>
      <c r="D2662" s="270" t="s">
        <v>1842</v>
      </c>
    </row>
    <row r="2663" spans="1:12" ht="13.5" customHeight="1">
      <c r="A2663" s="315" t="s">
        <v>2094</v>
      </c>
      <c r="B2663" s="10">
        <v>8002</v>
      </c>
      <c r="C2663" s="315">
        <v>200097</v>
      </c>
      <c r="D2663" s="315" t="s">
        <v>736</v>
      </c>
    </row>
    <row r="2664" spans="1:12">
      <c r="B2664" s="283">
        <v>8002</v>
      </c>
      <c r="C2664" s="286">
        <v>305007</v>
      </c>
      <c r="D2664" s="10" t="s">
        <v>737</v>
      </c>
      <c r="I2664" s="286">
        <v>305007</v>
      </c>
      <c r="J2664" s="286" t="s">
        <v>1213</v>
      </c>
      <c r="K2664" s="286">
        <v>1</v>
      </c>
      <c r="L2664" s="287" t="s">
        <v>1828</v>
      </c>
    </row>
    <row r="2665" spans="1:12">
      <c r="B2665" s="283">
        <v>8002</v>
      </c>
      <c r="C2665" s="286">
        <v>305008</v>
      </c>
      <c r="D2665" s="10" t="s">
        <v>737</v>
      </c>
      <c r="I2665" s="286">
        <v>305008</v>
      </c>
      <c r="J2665" s="286" t="s">
        <v>1217</v>
      </c>
      <c r="K2665" s="286">
        <v>1</v>
      </c>
      <c r="L2665" s="287" t="s">
        <v>1828</v>
      </c>
    </row>
    <row r="2666" spans="1:12">
      <c r="B2666" s="283">
        <v>8002</v>
      </c>
      <c r="C2666" s="286">
        <v>305009</v>
      </c>
      <c r="D2666" s="10" t="s">
        <v>737</v>
      </c>
      <c r="I2666" s="286">
        <v>305009</v>
      </c>
      <c r="J2666" s="286" t="s">
        <v>1220</v>
      </c>
      <c r="K2666" s="286">
        <v>1</v>
      </c>
      <c r="L2666" s="287" t="s">
        <v>1828</v>
      </c>
    </row>
    <row r="2667" spans="1:12">
      <c r="B2667" s="283">
        <v>8002</v>
      </c>
      <c r="C2667" s="286">
        <v>305023</v>
      </c>
      <c r="D2667" s="10" t="s">
        <v>737</v>
      </c>
      <c r="I2667" s="286">
        <v>305023</v>
      </c>
      <c r="J2667" s="286" t="s">
        <v>1277</v>
      </c>
      <c r="K2667" s="286">
        <v>1</v>
      </c>
      <c r="L2667" s="287" t="s">
        <v>1828</v>
      </c>
    </row>
    <row r="2668" spans="1:12">
      <c r="B2668" s="283">
        <v>8002</v>
      </c>
      <c r="C2668" s="286">
        <v>305034</v>
      </c>
      <c r="D2668" s="10" t="s">
        <v>737</v>
      </c>
      <c r="I2668" s="286">
        <v>305034</v>
      </c>
      <c r="J2668" s="286" t="s">
        <v>222</v>
      </c>
      <c r="K2668" s="286">
        <v>1</v>
      </c>
      <c r="L2668" s="287" t="s">
        <v>1828</v>
      </c>
    </row>
    <row r="2669" spans="1:12">
      <c r="B2669" s="283">
        <v>8002</v>
      </c>
      <c r="C2669" s="286">
        <v>305035</v>
      </c>
      <c r="D2669" s="10" t="s">
        <v>737</v>
      </c>
      <c r="I2669" s="286">
        <v>305035</v>
      </c>
      <c r="J2669" s="286" t="s">
        <v>227</v>
      </c>
      <c r="K2669" s="286">
        <v>1</v>
      </c>
      <c r="L2669" s="287" t="s">
        <v>1828</v>
      </c>
    </row>
    <row r="2670" spans="1:12">
      <c r="B2670" s="283">
        <v>8002</v>
      </c>
      <c r="C2670" s="286">
        <v>305036</v>
      </c>
      <c r="D2670" s="10" t="s">
        <v>737</v>
      </c>
      <c r="I2670" s="286">
        <v>305036</v>
      </c>
      <c r="J2670" s="286" t="s">
        <v>232</v>
      </c>
      <c r="K2670" s="286">
        <v>1</v>
      </c>
      <c r="L2670" s="287" t="s">
        <v>1828</v>
      </c>
    </row>
    <row r="2671" spans="1:12">
      <c r="B2671" s="283">
        <v>8002</v>
      </c>
      <c r="C2671" s="286">
        <v>305039</v>
      </c>
      <c r="D2671" s="10" t="s">
        <v>737</v>
      </c>
      <c r="I2671" s="286">
        <v>305039</v>
      </c>
      <c r="J2671" s="286" t="s">
        <v>1829</v>
      </c>
      <c r="K2671" s="286">
        <v>1</v>
      </c>
      <c r="L2671" s="287" t="s">
        <v>1828</v>
      </c>
    </row>
    <row r="2672" spans="1:12">
      <c r="B2672" s="283">
        <v>8002</v>
      </c>
      <c r="C2672" s="286">
        <v>305040</v>
      </c>
      <c r="D2672" s="10" t="s">
        <v>737</v>
      </c>
      <c r="I2672" s="286">
        <v>305040</v>
      </c>
      <c r="J2672" s="286" t="s">
        <v>277</v>
      </c>
      <c r="K2672" s="286">
        <v>1</v>
      </c>
      <c r="L2672" s="287" t="s">
        <v>1828</v>
      </c>
    </row>
    <row r="2673" spans="2:12">
      <c r="B2673" s="283">
        <v>8002</v>
      </c>
      <c r="C2673" s="286">
        <v>305200</v>
      </c>
      <c r="D2673" s="10" t="s">
        <v>737</v>
      </c>
      <c r="I2673" s="286">
        <v>305200</v>
      </c>
      <c r="J2673" s="286" t="s">
        <v>313</v>
      </c>
      <c r="K2673" s="286">
        <v>1</v>
      </c>
      <c r="L2673" s="287" t="s">
        <v>1828</v>
      </c>
    </row>
    <row r="2674" spans="2:12">
      <c r="B2674" s="283">
        <v>8002</v>
      </c>
      <c r="C2674" s="288">
        <v>305224</v>
      </c>
      <c r="D2674" s="10" t="s">
        <v>737</v>
      </c>
      <c r="I2674" s="288">
        <v>305224</v>
      </c>
      <c r="J2674" s="10" t="s">
        <v>1890</v>
      </c>
      <c r="K2674" s="286">
        <v>1</v>
      </c>
      <c r="L2674" s="287" t="s">
        <v>1828</v>
      </c>
    </row>
    <row r="2675" spans="2:12">
      <c r="B2675" s="283">
        <v>8002</v>
      </c>
      <c r="C2675" s="288">
        <v>305225</v>
      </c>
      <c r="D2675" s="10" t="s">
        <v>737</v>
      </c>
      <c r="I2675" s="288">
        <v>305225</v>
      </c>
      <c r="J2675" s="10" t="s">
        <v>1888</v>
      </c>
      <c r="K2675" s="286">
        <v>1</v>
      </c>
      <c r="L2675" s="287" t="s">
        <v>1828</v>
      </c>
    </row>
    <row r="2676" spans="2:12">
      <c r="B2676" s="283">
        <v>8002</v>
      </c>
      <c r="C2676" s="288">
        <v>305226</v>
      </c>
      <c r="D2676" s="10" t="s">
        <v>737</v>
      </c>
      <c r="I2676" s="288">
        <v>305226</v>
      </c>
      <c r="J2676" s="10" t="s">
        <v>1891</v>
      </c>
      <c r="K2676" s="286">
        <v>1</v>
      </c>
      <c r="L2676" s="287" t="s">
        <v>1828</v>
      </c>
    </row>
    <row r="2677" spans="2:12">
      <c r="B2677" s="283">
        <v>8002</v>
      </c>
      <c r="C2677" s="289">
        <v>305010</v>
      </c>
      <c r="D2677" s="10" t="s">
        <v>737</v>
      </c>
      <c r="I2677" s="289">
        <v>305010</v>
      </c>
      <c r="J2677" s="289" t="s">
        <v>1223</v>
      </c>
      <c r="K2677" s="289">
        <v>2</v>
      </c>
      <c r="L2677" s="290" t="s">
        <v>1830</v>
      </c>
    </row>
    <row r="2678" spans="2:12">
      <c r="B2678" s="283">
        <v>8002</v>
      </c>
      <c r="C2678" s="289">
        <v>305021</v>
      </c>
      <c r="D2678" s="10" t="s">
        <v>737</v>
      </c>
      <c r="I2678" s="289">
        <v>305021</v>
      </c>
      <c r="J2678" s="289" t="s">
        <v>1270</v>
      </c>
      <c r="K2678" s="289">
        <v>2</v>
      </c>
      <c r="L2678" s="290" t="s">
        <v>1830</v>
      </c>
    </row>
    <row r="2679" spans="2:12">
      <c r="B2679" s="283">
        <v>8002</v>
      </c>
      <c r="C2679" s="289">
        <v>305022</v>
      </c>
      <c r="D2679" s="10" t="s">
        <v>737</v>
      </c>
      <c r="I2679" s="289">
        <v>305022</v>
      </c>
      <c r="J2679" s="289" t="s">
        <v>1273</v>
      </c>
      <c r="K2679" s="289">
        <v>2</v>
      </c>
      <c r="L2679" s="290" t="s">
        <v>1830</v>
      </c>
    </row>
    <row r="2680" spans="2:12">
      <c r="B2680" s="283">
        <v>8002</v>
      </c>
      <c r="C2680" s="289">
        <v>305032</v>
      </c>
      <c r="D2680" s="10" t="s">
        <v>737</v>
      </c>
      <c r="I2680" s="289">
        <v>305032</v>
      </c>
      <c r="J2680" s="289" t="s">
        <v>213</v>
      </c>
      <c r="K2680" s="289">
        <v>2</v>
      </c>
      <c r="L2680" s="290" t="s">
        <v>1830</v>
      </c>
    </row>
    <row r="2681" spans="2:12">
      <c r="B2681" s="283">
        <v>8002</v>
      </c>
      <c r="C2681" s="289">
        <v>305033</v>
      </c>
      <c r="D2681" s="10" t="s">
        <v>737</v>
      </c>
      <c r="I2681" s="289">
        <v>305033</v>
      </c>
      <c r="J2681" s="289" t="s">
        <v>217</v>
      </c>
      <c r="K2681" s="289">
        <v>2</v>
      </c>
      <c r="L2681" s="290" t="s">
        <v>1830</v>
      </c>
    </row>
    <row r="2682" spans="2:12">
      <c r="B2682" s="283">
        <v>8002</v>
      </c>
      <c r="C2682" s="289">
        <v>305037</v>
      </c>
      <c r="D2682" s="10" t="s">
        <v>737</v>
      </c>
      <c r="I2682" s="289">
        <v>305037</v>
      </c>
      <c r="J2682" s="289" t="s">
        <v>264</v>
      </c>
      <c r="K2682" s="289">
        <v>2</v>
      </c>
      <c r="L2682" s="290" t="s">
        <v>1830</v>
      </c>
    </row>
    <row r="2683" spans="2:12">
      <c r="B2683" s="283">
        <v>8002</v>
      </c>
      <c r="C2683" s="289">
        <v>305038</v>
      </c>
      <c r="D2683" s="10" t="s">
        <v>737</v>
      </c>
      <c r="I2683" s="289">
        <v>305038</v>
      </c>
      <c r="J2683" s="289" t="s">
        <v>268</v>
      </c>
      <c r="K2683" s="289">
        <v>2</v>
      </c>
      <c r="L2683" s="290" t="s">
        <v>1830</v>
      </c>
    </row>
    <row r="2684" spans="2:12">
      <c r="B2684" s="283">
        <v>8002</v>
      </c>
      <c r="C2684" s="289">
        <v>305300</v>
      </c>
      <c r="D2684" s="10" t="s">
        <v>737</v>
      </c>
      <c r="I2684" s="289">
        <v>305300</v>
      </c>
      <c r="J2684" s="289" t="s">
        <v>318</v>
      </c>
      <c r="K2684" s="289">
        <v>2</v>
      </c>
      <c r="L2684" s="290" t="s">
        <v>1830</v>
      </c>
    </row>
    <row r="2685" spans="2:12">
      <c r="B2685" s="283">
        <v>8002</v>
      </c>
      <c r="C2685" s="288">
        <v>305324</v>
      </c>
      <c r="D2685" s="10" t="s">
        <v>737</v>
      </c>
      <c r="I2685" s="288">
        <v>305324</v>
      </c>
      <c r="J2685" s="10" t="s">
        <v>1887</v>
      </c>
      <c r="K2685" s="289">
        <v>2</v>
      </c>
      <c r="L2685" s="290" t="s">
        <v>1830</v>
      </c>
    </row>
    <row r="2686" spans="2:12">
      <c r="B2686" s="283">
        <v>8002</v>
      </c>
      <c r="C2686" s="288">
        <v>305325</v>
      </c>
      <c r="D2686" s="10" t="s">
        <v>737</v>
      </c>
      <c r="I2686" s="288">
        <v>305325</v>
      </c>
      <c r="J2686" s="10" t="s">
        <v>1888</v>
      </c>
      <c r="K2686" s="289">
        <v>2</v>
      </c>
      <c r="L2686" s="290" t="s">
        <v>1830</v>
      </c>
    </row>
    <row r="2687" spans="2:12">
      <c r="B2687" s="283">
        <v>8002</v>
      </c>
      <c r="C2687" s="288">
        <v>305326</v>
      </c>
      <c r="D2687" s="10" t="s">
        <v>737</v>
      </c>
      <c r="I2687" s="288">
        <v>305326</v>
      </c>
      <c r="J2687" s="10" t="s">
        <v>1889</v>
      </c>
      <c r="K2687" s="289">
        <v>2</v>
      </c>
      <c r="L2687" s="290" t="s">
        <v>1830</v>
      </c>
    </row>
    <row r="2688" spans="2:12">
      <c r="B2688" s="283">
        <v>8002</v>
      </c>
      <c r="C2688" s="291">
        <v>305001</v>
      </c>
      <c r="D2688" s="10" t="s">
        <v>737</v>
      </c>
      <c r="I2688" s="291">
        <v>305001</v>
      </c>
      <c r="J2688" s="291" t="s">
        <v>176</v>
      </c>
      <c r="K2688" s="291">
        <v>0</v>
      </c>
      <c r="L2688" s="292" t="s">
        <v>1827</v>
      </c>
    </row>
    <row r="2689" spans="2:22">
      <c r="B2689" s="283">
        <v>8002</v>
      </c>
      <c r="C2689" s="291">
        <v>305002</v>
      </c>
      <c r="D2689" s="10" t="s">
        <v>737</v>
      </c>
      <c r="I2689" s="291">
        <v>305002</v>
      </c>
      <c r="J2689" s="291" t="s">
        <v>181</v>
      </c>
      <c r="K2689" s="291">
        <v>0</v>
      </c>
      <c r="L2689" s="292" t="s">
        <v>1827</v>
      </c>
    </row>
    <row r="2690" spans="2:22">
      <c r="B2690" s="283">
        <v>8002</v>
      </c>
      <c r="C2690" s="291">
        <v>305003</v>
      </c>
      <c r="D2690" s="10" t="s">
        <v>737</v>
      </c>
      <c r="I2690" s="291">
        <v>305003</v>
      </c>
      <c r="J2690" s="291" t="s">
        <v>186</v>
      </c>
      <c r="K2690" s="291">
        <v>0</v>
      </c>
      <c r="L2690" s="292" t="s">
        <v>1827</v>
      </c>
    </row>
    <row r="2691" spans="2:22">
      <c r="B2691" s="283">
        <v>8002</v>
      </c>
      <c r="C2691" s="291">
        <v>305018</v>
      </c>
      <c r="D2691" s="10" t="s">
        <v>737</v>
      </c>
      <c r="I2691" s="291">
        <v>305018</v>
      </c>
      <c r="J2691" s="291" t="s">
        <v>191</v>
      </c>
      <c r="K2691" s="291">
        <v>0</v>
      </c>
      <c r="L2691" s="292" t="s">
        <v>1827</v>
      </c>
    </row>
    <row r="2692" spans="2:22">
      <c r="B2692" s="283">
        <v>8002</v>
      </c>
      <c r="C2692" s="291">
        <v>305019</v>
      </c>
      <c r="D2692" s="10" t="s">
        <v>737</v>
      </c>
      <c r="I2692" s="291">
        <v>305019</v>
      </c>
      <c r="J2692" s="291" t="s">
        <v>196</v>
      </c>
      <c r="K2692" s="291">
        <v>0</v>
      </c>
      <c r="L2692" s="292" t="s">
        <v>1827</v>
      </c>
    </row>
    <row r="2693" spans="2:22">
      <c r="B2693" s="283">
        <v>8002</v>
      </c>
      <c r="C2693" s="291">
        <v>305041</v>
      </c>
      <c r="D2693" s="10" t="s">
        <v>737</v>
      </c>
      <c r="I2693" s="291">
        <v>305041</v>
      </c>
      <c r="J2693" s="291" t="s">
        <v>282</v>
      </c>
      <c r="K2693" s="291">
        <v>0</v>
      </c>
      <c r="L2693" s="292" t="s">
        <v>1827</v>
      </c>
    </row>
    <row r="2694" spans="2:22">
      <c r="B2694" s="283">
        <v>8002</v>
      </c>
      <c r="C2694" s="291">
        <v>305042</v>
      </c>
      <c r="D2694" s="10" t="s">
        <v>737</v>
      </c>
      <c r="I2694" s="291">
        <v>305042</v>
      </c>
      <c r="J2694" s="291" t="s">
        <v>287</v>
      </c>
      <c r="K2694" s="291">
        <v>0</v>
      </c>
      <c r="L2694" s="292" t="s">
        <v>1827</v>
      </c>
    </row>
    <row r="2695" spans="2:22">
      <c r="B2695" s="283">
        <v>8002</v>
      </c>
      <c r="C2695" s="291">
        <v>305600</v>
      </c>
      <c r="D2695" s="10" t="s">
        <v>737</v>
      </c>
      <c r="I2695" s="291">
        <v>305600</v>
      </c>
      <c r="J2695" s="291" t="s">
        <v>323</v>
      </c>
      <c r="K2695" s="291">
        <v>0</v>
      </c>
      <c r="L2695" s="292" t="s">
        <v>1827</v>
      </c>
    </row>
    <row r="2696" spans="2:22">
      <c r="B2696" s="283">
        <v>8002</v>
      </c>
      <c r="C2696" s="288">
        <v>305623</v>
      </c>
      <c r="D2696" s="10" t="s">
        <v>737</v>
      </c>
      <c r="I2696" s="288">
        <v>305623</v>
      </c>
      <c r="J2696" s="10" t="s">
        <v>1864</v>
      </c>
      <c r="K2696" s="291">
        <v>0</v>
      </c>
      <c r="L2696" s="292" t="s">
        <v>1827</v>
      </c>
    </row>
    <row r="2697" spans="2:22">
      <c r="B2697" s="283">
        <v>8002</v>
      </c>
      <c r="C2697" s="288">
        <v>305624</v>
      </c>
      <c r="D2697" s="10" t="s">
        <v>737</v>
      </c>
      <c r="I2697" s="288">
        <v>305624</v>
      </c>
      <c r="J2697" s="10" t="s">
        <v>1865</v>
      </c>
      <c r="K2697" s="291">
        <v>0</v>
      </c>
      <c r="L2697" s="292" t="s">
        <v>1827</v>
      </c>
    </row>
    <row r="2698" spans="2:22">
      <c r="B2698" s="283">
        <v>8002</v>
      </c>
      <c r="C2698" s="288">
        <v>305625</v>
      </c>
      <c r="D2698" s="10" t="s">
        <v>737</v>
      </c>
      <c r="I2698" s="288">
        <v>305625</v>
      </c>
      <c r="J2698" s="10" t="s">
        <v>1866</v>
      </c>
      <c r="K2698" s="291">
        <v>0</v>
      </c>
      <c r="L2698" s="292" t="s">
        <v>1827</v>
      </c>
    </row>
    <row r="2699" spans="2:22">
      <c r="B2699" s="283">
        <v>8002</v>
      </c>
      <c r="C2699" s="288">
        <v>305626</v>
      </c>
      <c r="D2699" s="10" t="s">
        <v>737</v>
      </c>
      <c r="I2699" s="288">
        <v>305626</v>
      </c>
      <c r="J2699" s="10" t="s">
        <v>1867</v>
      </c>
      <c r="K2699" s="291">
        <v>0</v>
      </c>
      <c r="L2699" s="292" t="s">
        <v>1827</v>
      </c>
    </row>
    <row r="2700" spans="2:22">
      <c r="B2700" s="283">
        <v>8002</v>
      </c>
      <c r="C2700" s="293">
        <v>305012</v>
      </c>
      <c r="D2700" s="10" t="s">
        <v>737</v>
      </c>
      <c r="I2700" s="293">
        <v>305012</v>
      </c>
      <c r="J2700" s="293" t="s">
        <v>1230</v>
      </c>
      <c r="K2700" s="293">
        <v>6</v>
      </c>
      <c r="L2700" s="294" t="s">
        <v>1833</v>
      </c>
    </row>
    <row r="2701" spans="2:22">
      <c r="B2701" s="283">
        <v>8002</v>
      </c>
      <c r="C2701" s="293">
        <v>305013</v>
      </c>
      <c r="D2701" s="10" t="s">
        <v>737</v>
      </c>
      <c r="I2701" s="293">
        <v>305013</v>
      </c>
      <c r="J2701" s="293" t="s">
        <v>1237</v>
      </c>
      <c r="K2701" s="293">
        <v>6</v>
      </c>
      <c r="L2701" s="294" t="s">
        <v>1833</v>
      </c>
    </row>
    <row r="2702" spans="2:22">
      <c r="B2702" s="283">
        <v>8002</v>
      </c>
      <c r="C2702" s="293">
        <v>305014</v>
      </c>
      <c r="D2702" s="10" t="s">
        <v>737</v>
      </c>
      <c r="I2702" s="293">
        <v>305014</v>
      </c>
      <c r="J2702" s="293" t="s">
        <v>1241</v>
      </c>
      <c r="K2702" s="293">
        <v>6</v>
      </c>
      <c r="L2702" s="294" t="s">
        <v>1833</v>
      </c>
    </row>
    <row r="2703" spans="2:22" s="285" customFormat="1">
      <c r="B2703" s="283">
        <v>8002</v>
      </c>
      <c r="C2703" s="293">
        <v>305046</v>
      </c>
      <c r="D2703" s="285" t="s">
        <v>737</v>
      </c>
      <c r="G2703" s="10"/>
      <c r="H2703" s="10"/>
      <c r="I2703" s="293">
        <v>305046</v>
      </c>
      <c r="J2703" s="293" t="s">
        <v>309</v>
      </c>
      <c r="K2703" s="293">
        <v>6</v>
      </c>
      <c r="L2703" s="294" t="s">
        <v>1833</v>
      </c>
      <c r="M2703" s="10"/>
      <c r="R2703" s="10"/>
      <c r="S2703" s="10"/>
      <c r="T2703" s="10"/>
      <c r="U2703" s="10"/>
      <c r="V2703" s="10"/>
    </row>
    <row r="2704" spans="2:22">
      <c r="B2704" s="283">
        <v>8002</v>
      </c>
      <c r="C2704" s="288">
        <v>305815</v>
      </c>
      <c r="D2704" s="10" t="s">
        <v>737</v>
      </c>
      <c r="I2704" s="288">
        <v>305815</v>
      </c>
      <c r="J2704" s="10" t="s">
        <v>1868</v>
      </c>
      <c r="K2704" s="293">
        <v>6</v>
      </c>
      <c r="L2704" s="294" t="s">
        <v>1833</v>
      </c>
    </row>
    <row r="2705" spans="2:22">
      <c r="B2705" s="283">
        <v>8002</v>
      </c>
      <c r="C2705" s="288">
        <v>305816</v>
      </c>
      <c r="D2705" s="10" t="s">
        <v>737</v>
      </c>
      <c r="I2705" s="288">
        <v>305816</v>
      </c>
      <c r="J2705" s="10" t="s">
        <v>1869</v>
      </c>
      <c r="K2705" s="293">
        <v>6</v>
      </c>
      <c r="L2705" s="294" t="s">
        <v>1833</v>
      </c>
    </row>
    <row r="2706" spans="2:22">
      <c r="B2706" s="283">
        <v>8002</v>
      </c>
      <c r="C2706" s="288">
        <v>305817</v>
      </c>
      <c r="D2706" s="10" t="s">
        <v>737</v>
      </c>
      <c r="I2706" s="288">
        <v>305817</v>
      </c>
      <c r="J2706" s="10" t="s">
        <v>1870</v>
      </c>
      <c r="K2706" s="293">
        <v>6</v>
      </c>
      <c r="L2706" s="294" t="s">
        <v>1833</v>
      </c>
    </row>
    <row r="2707" spans="2:22" s="285" customFormat="1">
      <c r="B2707" s="283">
        <v>8002</v>
      </c>
      <c r="C2707" s="288">
        <v>305818</v>
      </c>
      <c r="D2707" s="285" t="s">
        <v>737</v>
      </c>
      <c r="G2707" s="10"/>
      <c r="H2707" s="10"/>
      <c r="I2707" s="288">
        <v>305818</v>
      </c>
      <c r="J2707" s="10" t="s">
        <v>1871</v>
      </c>
      <c r="K2707" s="293">
        <v>6</v>
      </c>
      <c r="L2707" s="294" t="s">
        <v>1833</v>
      </c>
      <c r="M2707" s="10"/>
      <c r="R2707" s="10"/>
      <c r="S2707" s="10"/>
      <c r="T2707" s="10"/>
      <c r="U2707" s="10"/>
      <c r="V2707" s="10"/>
    </row>
    <row r="2708" spans="2:22">
      <c r="B2708" s="283">
        <v>8002</v>
      </c>
      <c r="C2708" s="288">
        <v>305819</v>
      </c>
      <c r="D2708" s="10" t="s">
        <v>737</v>
      </c>
      <c r="I2708" s="288">
        <v>305819</v>
      </c>
      <c r="J2708" s="10" t="s">
        <v>1872</v>
      </c>
      <c r="K2708" s="293">
        <v>6</v>
      </c>
      <c r="L2708" s="294" t="s">
        <v>1833</v>
      </c>
    </row>
    <row r="2709" spans="2:22" s="285" customFormat="1">
      <c r="B2709" s="283">
        <v>8002</v>
      </c>
      <c r="C2709" s="288">
        <v>305820</v>
      </c>
      <c r="D2709" s="285" t="s">
        <v>737</v>
      </c>
      <c r="G2709" s="10"/>
      <c r="H2709" s="10"/>
      <c r="I2709" s="288">
        <v>305820</v>
      </c>
      <c r="J2709" s="10" t="s">
        <v>1873</v>
      </c>
      <c r="K2709" s="293">
        <v>6</v>
      </c>
      <c r="L2709" s="294" t="s">
        <v>1833</v>
      </c>
      <c r="M2709" s="10"/>
      <c r="R2709" s="10"/>
      <c r="S2709" s="10"/>
      <c r="T2709" s="10"/>
      <c r="U2709" s="10"/>
      <c r="V2709" s="10"/>
    </row>
    <row r="2710" spans="2:22">
      <c r="B2710" s="283">
        <v>8002</v>
      </c>
      <c r="C2710" s="295">
        <v>305015</v>
      </c>
      <c r="D2710" s="10" t="s">
        <v>737</v>
      </c>
      <c r="I2710" s="295">
        <v>305015</v>
      </c>
      <c r="J2710" s="295" t="s">
        <v>1245</v>
      </c>
      <c r="K2710" s="295">
        <v>7</v>
      </c>
      <c r="L2710" s="296" t="s">
        <v>538</v>
      </c>
    </row>
    <row r="2711" spans="2:22">
      <c r="B2711" s="283">
        <v>8002</v>
      </c>
      <c r="C2711" s="295">
        <v>305016</v>
      </c>
      <c r="D2711" s="10" t="s">
        <v>737</v>
      </c>
      <c r="I2711" s="295">
        <v>305016</v>
      </c>
      <c r="J2711" s="295" t="s">
        <v>1251</v>
      </c>
      <c r="K2711" s="295">
        <v>7</v>
      </c>
      <c r="L2711" s="296" t="s">
        <v>538</v>
      </c>
    </row>
    <row r="2712" spans="2:22">
      <c r="B2712" s="283">
        <v>8002</v>
      </c>
      <c r="C2712" s="295">
        <v>305017</v>
      </c>
      <c r="D2712" s="10" t="s">
        <v>737</v>
      </c>
      <c r="I2712" s="295">
        <v>305017</v>
      </c>
      <c r="J2712" s="295" t="s">
        <v>1255</v>
      </c>
      <c r="K2712" s="295">
        <v>7</v>
      </c>
      <c r="L2712" s="296" t="s">
        <v>538</v>
      </c>
    </row>
    <row r="2713" spans="2:22">
      <c r="B2713" s="283">
        <v>8002</v>
      </c>
      <c r="C2713" s="295">
        <v>305700</v>
      </c>
      <c r="D2713" s="10" t="s">
        <v>737</v>
      </c>
      <c r="I2713" s="295">
        <v>305700</v>
      </c>
      <c r="J2713" s="295" t="s">
        <v>328</v>
      </c>
      <c r="K2713" s="295">
        <v>7</v>
      </c>
      <c r="L2713" s="296" t="s">
        <v>538</v>
      </c>
    </row>
    <row r="2714" spans="2:22">
      <c r="B2714" s="283">
        <v>8002</v>
      </c>
      <c r="C2714" s="288">
        <v>305719</v>
      </c>
      <c r="D2714" s="10" t="s">
        <v>737</v>
      </c>
      <c r="I2714" s="288">
        <v>305719</v>
      </c>
      <c r="J2714" s="10" t="s">
        <v>1874</v>
      </c>
      <c r="K2714" s="295">
        <v>7</v>
      </c>
      <c r="L2714" s="296" t="s">
        <v>538</v>
      </c>
    </row>
    <row r="2715" spans="2:22">
      <c r="B2715" s="283">
        <v>8002</v>
      </c>
      <c r="C2715" s="288">
        <v>305720</v>
      </c>
      <c r="D2715" s="10" t="s">
        <v>737</v>
      </c>
      <c r="I2715" s="288">
        <v>305720</v>
      </c>
      <c r="J2715" s="10" t="s">
        <v>1875</v>
      </c>
      <c r="K2715" s="295">
        <v>7</v>
      </c>
      <c r="L2715" s="296" t="s">
        <v>538</v>
      </c>
    </row>
    <row r="2716" spans="2:22">
      <c r="B2716" s="283">
        <v>8002</v>
      </c>
      <c r="C2716" s="288">
        <v>305721</v>
      </c>
      <c r="D2716" s="10" t="s">
        <v>737</v>
      </c>
      <c r="I2716" s="288">
        <v>305721</v>
      </c>
      <c r="J2716" s="10" t="s">
        <v>1876</v>
      </c>
      <c r="K2716" s="295">
        <v>7</v>
      </c>
      <c r="L2716" s="296" t="s">
        <v>538</v>
      </c>
    </row>
    <row r="2717" spans="2:22">
      <c r="B2717" s="283">
        <v>8002</v>
      </c>
      <c r="C2717" s="288">
        <v>305722</v>
      </c>
      <c r="D2717" s="10" t="s">
        <v>737</v>
      </c>
      <c r="I2717" s="288">
        <v>305722</v>
      </c>
      <c r="J2717" s="10" t="s">
        <v>1877</v>
      </c>
      <c r="K2717" s="295">
        <v>7</v>
      </c>
      <c r="L2717" s="296" t="s">
        <v>538</v>
      </c>
    </row>
    <row r="2718" spans="2:22">
      <c r="B2718" s="283">
        <v>8002</v>
      </c>
      <c r="C2718" s="288">
        <v>305723</v>
      </c>
      <c r="D2718" s="10" t="s">
        <v>737</v>
      </c>
      <c r="I2718" s="288">
        <v>305723</v>
      </c>
      <c r="J2718" s="10" t="s">
        <v>1878</v>
      </c>
      <c r="K2718" s="295">
        <v>7</v>
      </c>
      <c r="L2718" s="296" t="s">
        <v>538</v>
      </c>
    </row>
    <row r="2719" spans="2:22">
      <c r="B2719" s="283">
        <v>8002</v>
      </c>
      <c r="C2719" s="288">
        <v>305724</v>
      </c>
      <c r="D2719" s="10" t="s">
        <v>737</v>
      </c>
      <c r="I2719" s="288">
        <v>305724</v>
      </c>
      <c r="J2719" s="10" t="s">
        <v>1879</v>
      </c>
      <c r="K2719" s="295">
        <v>7</v>
      </c>
      <c r="L2719" s="296" t="s">
        <v>538</v>
      </c>
    </row>
    <row r="2720" spans="2:22">
      <c r="B2720" s="283">
        <v>8002</v>
      </c>
      <c r="C2720" s="297">
        <v>305011</v>
      </c>
      <c r="D2720" s="10" t="s">
        <v>737</v>
      </c>
      <c r="I2720" s="297">
        <v>305011</v>
      </c>
      <c r="J2720" s="297" t="s">
        <v>161</v>
      </c>
      <c r="K2720" s="297">
        <v>3</v>
      </c>
      <c r="L2720" s="298" t="s">
        <v>1831</v>
      </c>
    </row>
    <row r="2721" spans="1:22">
      <c r="B2721" s="283">
        <v>8002</v>
      </c>
      <c r="C2721" s="299">
        <v>305025</v>
      </c>
      <c r="D2721" s="10" t="s">
        <v>737</v>
      </c>
      <c r="I2721" s="299">
        <v>305025</v>
      </c>
      <c r="J2721" s="299" t="s">
        <v>200</v>
      </c>
      <c r="K2721" s="299">
        <v>4</v>
      </c>
      <c r="L2721" s="300" t="s">
        <v>1832</v>
      </c>
    </row>
    <row r="2722" spans="1:22" s="285" customFormat="1">
      <c r="A2722" s="10"/>
      <c r="B2722" s="283">
        <v>8002</v>
      </c>
      <c r="C2722" s="299">
        <v>305026</v>
      </c>
      <c r="D2722" s="10" t="s">
        <v>737</v>
      </c>
      <c r="E2722" s="10"/>
      <c r="F2722" s="10"/>
      <c r="G2722" s="10"/>
      <c r="H2722" s="10"/>
      <c r="I2722" s="299">
        <v>305026</v>
      </c>
      <c r="J2722" s="299" t="s">
        <v>204</v>
      </c>
      <c r="K2722" s="299">
        <v>4</v>
      </c>
      <c r="L2722" s="300" t="s">
        <v>1832</v>
      </c>
      <c r="M2722" s="10"/>
      <c r="N2722" s="10"/>
      <c r="O2722" s="10"/>
      <c r="P2722" s="10"/>
      <c r="Q2722" s="10"/>
      <c r="R2722" s="10"/>
      <c r="S2722" s="10"/>
      <c r="T2722" s="10"/>
      <c r="U2722" s="10"/>
      <c r="V2722" s="10"/>
    </row>
    <row r="2723" spans="1:22" s="285" customFormat="1">
      <c r="A2723" s="10"/>
      <c r="B2723" s="283">
        <v>8002</v>
      </c>
      <c r="C2723" s="299">
        <v>305050</v>
      </c>
      <c r="D2723" s="10" t="s">
        <v>737</v>
      </c>
      <c r="E2723" s="10"/>
      <c r="F2723" s="10"/>
      <c r="G2723" s="10"/>
      <c r="H2723" s="10"/>
      <c r="I2723" s="299">
        <v>305050</v>
      </c>
      <c r="J2723" s="299" t="s">
        <v>300</v>
      </c>
      <c r="K2723" s="299">
        <v>4</v>
      </c>
      <c r="L2723" s="300" t="s">
        <v>1832</v>
      </c>
      <c r="M2723" s="10"/>
      <c r="N2723" s="10"/>
      <c r="O2723" s="10"/>
      <c r="P2723" s="10"/>
      <c r="Q2723" s="10"/>
      <c r="R2723" s="10"/>
      <c r="S2723" s="10"/>
      <c r="T2723" s="10"/>
      <c r="U2723" s="10"/>
      <c r="V2723" s="10"/>
    </row>
    <row r="2724" spans="1:22" s="285" customFormat="1">
      <c r="A2724" s="10"/>
      <c r="B2724" s="283">
        <v>8002</v>
      </c>
      <c r="C2724" s="299">
        <v>305051</v>
      </c>
      <c r="D2724" s="10" t="s">
        <v>737</v>
      </c>
      <c r="E2724" s="10"/>
      <c r="F2724" s="10"/>
      <c r="G2724" s="10"/>
      <c r="H2724" s="10"/>
      <c r="I2724" s="299">
        <v>305051</v>
      </c>
      <c r="J2724" s="299" t="s">
        <v>340</v>
      </c>
      <c r="K2724" s="299">
        <v>4</v>
      </c>
      <c r="L2724" s="300" t="s">
        <v>1832</v>
      </c>
      <c r="M2724" s="10"/>
      <c r="N2724" s="10"/>
      <c r="O2724" s="10"/>
      <c r="P2724" s="10"/>
      <c r="Q2724" s="10"/>
      <c r="R2724" s="10"/>
      <c r="S2724" s="10"/>
      <c r="T2724" s="10"/>
      <c r="U2724" s="10"/>
      <c r="V2724" s="10"/>
    </row>
    <row r="2725" spans="1:22">
      <c r="B2725" s="283">
        <v>8002</v>
      </c>
      <c r="C2725" s="288">
        <v>305055</v>
      </c>
      <c r="D2725" s="10" t="s">
        <v>737</v>
      </c>
      <c r="I2725" s="288">
        <v>305055</v>
      </c>
      <c r="J2725" s="10" t="s">
        <v>1880</v>
      </c>
      <c r="K2725" s="299">
        <v>4</v>
      </c>
      <c r="L2725" s="300" t="s">
        <v>1832</v>
      </c>
    </row>
    <row r="2726" spans="1:22" s="285" customFormat="1">
      <c r="A2726" s="10"/>
      <c r="B2726" s="283">
        <v>8002</v>
      </c>
      <c r="C2726" s="288">
        <v>305056</v>
      </c>
      <c r="D2726" s="10" t="s">
        <v>737</v>
      </c>
      <c r="E2726" s="10"/>
      <c r="F2726" s="10"/>
      <c r="G2726" s="10"/>
      <c r="H2726" s="10"/>
      <c r="I2726" s="288">
        <v>305056</v>
      </c>
      <c r="J2726" s="10" t="s">
        <v>1881</v>
      </c>
      <c r="K2726" s="299">
        <v>4</v>
      </c>
      <c r="L2726" s="300" t="s">
        <v>1832</v>
      </c>
      <c r="M2726" s="10"/>
      <c r="N2726" s="10"/>
      <c r="O2726" s="10"/>
      <c r="P2726" s="10"/>
      <c r="Q2726" s="10"/>
      <c r="R2726" s="10"/>
      <c r="S2726" s="10"/>
      <c r="T2726" s="10"/>
      <c r="U2726" s="10"/>
      <c r="V2726" s="10"/>
    </row>
    <row r="2727" spans="1:22" s="285" customFormat="1">
      <c r="A2727" s="10"/>
      <c r="B2727" s="283">
        <v>8002</v>
      </c>
      <c r="C2727" s="288">
        <v>306104</v>
      </c>
      <c r="D2727" s="10" t="s">
        <v>737</v>
      </c>
      <c r="E2727" s="10"/>
      <c r="F2727" s="10"/>
      <c r="G2727" s="10"/>
      <c r="H2727" s="10"/>
      <c r="I2727" s="288">
        <v>306104</v>
      </c>
      <c r="J2727" s="10" t="s">
        <v>1882</v>
      </c>
      <c r="K2727" s="299">
        <v>4</v>
      </c>
      <c r="L2727" s="300" t="s">
        <v>1886</v>
      </c>
      <c r="M2727" s="10"/>
      <c r="N2727" s="10"/>
      <c r="O2727" s="10"/>
      <c r="P2727" s="10"/>
      <c r="Q2727" s="10"/>
      <c r="R2727" s="10"/>
      <c r="S2727" s="10"/>
      <c r="T2727" s="10"/>
      <c r="U2727" s="10"/>
      <c r="V2727" s="10"/>
    </row>
    <row r="2728" spans="1:22" s="285" customFormat="1">
      <c r="A2728" s="10"/>
      <c r="B2728" s="283">
        <v>8002</v>
      </c>
      <c r="C2728" s="288">
        <v>306105</v>
      </c>
      <c r="D2728" s="10" t="s">
        <v>737</v>
      </c>
      <c r="E2728" s="10"/>
      <c r="F2728" s="10"/>
      <c r="G2728" s="10"/>
      <c r="H2728" s="10"/>
      <c r="I2728" s="288">
        <v>306105</v>
      </c>
      <c r="J2728" s="10" t="s">
        <v>1883</v>
      </c>
      <c r="K2728" s="299">
        <v>4</v>
      </c>
      <c r="L2728" s="300" t="s">
        <v>1886</v>
      </c>
      <c r="M2728" s="10"/>
      <c r="N2728" s="10"/>
      <c r="O2728" s="10"/>
      <c r="P2728" s="10"/>
      <c r="Q2728" s="10"/>
      <c r="R2728" s="10"/>
      <c r="S2728" s="10"/>
      <c r="T2728" s="10"/>
      <c r="U2728" s="10"/>
      <c r="V2728" s="10"/>
    </row>
    <row r="2729" spans="1:22" s="285" customFormat="1">
      <c r="A2729" s="10"/>
      <c r="B2729" s="283">
        <v>8002</v>
      </c>
      <c r="C2729" s="288">
        <v>306106</v>
      </c>
      <c r="D2729" s="10" t="s">
        <v>737</v>
      </c>
      <c r="E2729" s="10"/>
      <c r="F2729" s="10"/>
      <c r="G2729" s="10"/>
      <c r="H2729" s="10"/>
      <c r="I2729" s="288">
        <v>306106</v>
      </c>
      <c r="J2729" s="10" t="s">
        <v>1884</v>
      </c>
      <c r="K2729" s="299">
        <v>4</v>
      </c>
      <c r="L2729" s="300" t="s">
        <v>1886</v>
      </c>
      <c r="M2729" s="10"/>
      <c r="N2729" s="10"/>
      <c r="O2729" s="10"/>
      <c r="P2729" s="10"/>
      <c r="Q2729" s="10"/>
      <c r="R2729" s="10"/>
      <c r="S2729" s="10"/>
      <c r="T2729" s="10"/>
      <c r="U2729" s="10"/>
      <c r="V2729" s="10"/>
    </row>
    <row r="2730" spans="1:22" s="285" customFormat="1">
      <c r="A2730" s="10"/>
      <c r="B2730" s="283">
        <v>8002</v>
      </c>
      <c r="C2730" s="288">
        <v>306107</v>
      </c>
      <c r="D2730" s="10" t="s">
        <v>737</v>
      </c>
      <c r="E2730" s="10"/>
      <c r="F2730" s="10"/>
      <c r="G2730" s="10"/>
      <c r="H2730" s="10"/>
      <c r="I2730" s="288">
        <v>306107</v>
      </c>
      <c r="J2730" s="10" t="s">
        <v>1885</v>
      </c>
      <c r="K2730" s="299">
        <v>4</v>
      </c>
      <c r="L2730" s="300" t="s">
        <v>1886</v>
      </c>
      <c r="M2730" s="10"/>
      <c r="N2730" s="10"/>
      <c r="O2730" s="10"/>
      <c r="P2730" s="10"/>
      <c r="Q2730" s="10"/>
      <c r="R2730" s="10"/>
      <c r="S2730" s="10"/>
      <c r="T2730" s="10"/>
      <c r="U2730" s="10"/>
      <c r="V2730" s="10"/>
    </row>
    <row r="2731" spans="1:22">
      <c r="B2731" s="283">
        <v>8002</v>
      </c>
      <c r="C2731" s="282">
        <v>303012</v>
      </c>
      <c r="D2731" s="301" t="s">
        <v>38</v>
      </c>
      <c r="H2731" s="43"/>
    </row>
    <row r="2732" spans="1:22">
      <c r="B2732" s="283">
        <v>8002</v>
      </c>
      <c r="C2732" s="282">
        <v>303013</v>
      </c>
      <c r="D2732" s="301" t="s">
        <v>38</v>
      </c>
      <c r="H2732" s="43"/>
    </row>
    <row r="2733" spans="1:22">
      <c r="B2733" s="283">
        <v>8002</v>
      </c>
      <c r="C2733" s="282">
        <v>303022</v>
      </c>
      <c r="D2733" s="301" t="s">
        <v>38</v>
      </c>
      <c r="H2733" s="43"/>
    </row>
    <row r="2734" spans="1:22">
      <c r="B2734" s="283">
        <v>8002</v>
      </c>
      <c r="C2734" s="282">
        <v>303023</v>
      </c>
      <c r="D2734" s="301" t="s">
        <v>38</v>
      </c>
      <c r="H2734" s="43"/>
    </row>
    <row r="2735" spans="1:22">
      <c r="B2735" s="283">
        <v>8002</v>
      </c>
      <c r="C2735" s="282">
        <v>303032</v>
      </c>
      <c r="D2735" s="301" t="s">
        <v>38</v>
      </c>
      <c r="H2735" s="43"/>
    </row>
    <row r="2736" spans="1:22">
      <c r="B2736" s="283">
        <v>8002</v>
      </c>
      <c r="C2736" s="282">
        <v>303033</v>
      </c>
      <c r="D2736" s="301" t="s">
        <v>38</v>
      </c>
      <c r="H2736" s="43"/>
    </row>
    <row r="2737" spans="2:4">
      <c r="B2737" s="283">
        <v>8002</v>
      </c>
      <c r="C2737" s="282">
        <v>303042</v>
      </c>
      <c r="D2737" s="301" t="s">
        <v>38</v>
      </c>
    </row>
    <row r="2738" spans="2:4">
      <c r="B2738" s="283">
        <v>8002</v>
      </c>
      <c r="C2738" s="282">
        <v>303043</v>
      </c>
      <c r="D2738" s="301" t="s">
        <v>38</v>
      </c>
    </row>
    <row r="2739" spans="2:4">
      <c r="B2739" s="283">
        <v>8002</v>
      </c>
      <c r="C2739" s="282">
        <v>303052</v>
      </c>
      <c r="D2739" s="301" t="s">
        <v>38</v>
      </c>
    </row>
    <row r="2740" spans="2:4">
      <c r="B2740" s="283">
        <v>8002</v>
      </c>
      <c r="C2740" s="282">
        <v>303053</v>
      </c>
      <c r="D2740" s="301" t="s">
        <v>38</v>
      </c>
    </row>
    <row r="2741" spans="2:4">
      <c r="B2741" s="283">
        <v>8002</v>
      </c>
      <c r="C2741" s="282">
        <v>303062</v>
      </c>
      <c r="D2741" s="301" t="s">
        <v>38</v>
      </c>
    </row>
    <row r="2742" spans="2:4">
      <c r="B2742" s="283">
        <v>8002</v>
      </c>
      <c r="C2742" s="282">
        <v>303063</v>
      </c>
      <c r="D2742" s="301" t="s">
        <v>38</v>
      </c>
    </row>
    <row r="2743" spans="2:4">
      <c r="B2743" s="283">
        <v>8002</v>
      </c>
      <c r="C2743" s="282">
        <v>303072</v>
      </c>
      <c r="D2743" s="301" t="s">
        <v>38</v>
      </c>
    </row>
    <row r="2744" spans="2:4">
      <c r="B2744" s="283">
        <v>8002</v>
      </c>
      <c r="C2744" s="282">
        <v>303073</v>
      </c>
      <c r="D2744" s="301" t="s">
        <v>38</v>
      </c>
    </row>
    <row r="2745" spans="2:4">
      <c r="B2745" s="283">
        <v>8002</v>
      </c>
      <c r="C2745" s="282">
        <v>303082</v>
      </c>
      <c r="D2745" s="301" t="s">
        <v>38</v>
      </c>
    </row>
    <row r="2746" spans="2:4">
      <c r="B2746" s="283">
        <v>8002</v>
      </c>
      <c r="C2746" s="282">
        <v>303083</v>
      </c>
      <c r="D2746" s="301" t="s">
        <v>38</v>
      </c>
    </row>
    <row r="2747" spans="2:4">
      <c r="B2747" s="283">
        <v>8003</v>
      </c>
      <c r="C2747" s="43">
        <v>200011</v>
      </c>
      <c r="D2747" s="10" t="s">
        <v>736</v>
      </c>
    </row>
    <row r="2748" spans="2:4">
      <c r="B2748" s="283">
        <v>8003</v>
      </c>
      <c r="C2748" s="43">
        <v>200012</v>
      </c>
      <c r="D2748" s="10" t="s">
        <v>736</v>
      </c>
    </row>
    <row r="2749" spans="2:4">
      <c r="B2749" s="283">
        <v>8003</v>
      </c>
      <c r="C2749" s="43">
        <v>200013</v>
      </c>
      <c r="D2749" s="10" t="s">
        <v>736</v>
      </c>
    </row>
    <row r="2750" spans="2:4">
      <c r="B2750" s="283">
        <v>8003</v>
      </c>
      <c r="C2750" s="43">
        <v>200014</v>
      </c>
      <c r="D2750" s="10" t="s">
        <v>736</v>
      </c>
    </row>
    <row r="2751" spans="2:4">
      <c r="B2751" s="283">
        <v>8003</v>
      </c>
      <c r="C2751" s="43">
        <v>200022</v>
      </c>
      <c r="D2751" s="10" t="s">
        <v>736</v>
      </c>
    </row>
    <row r="2752" spans="2:4">
      <c r="B2752" s="283">
        <v>8003</v>
      </c>
      <c r="C2752" s="43">
        <v>200023</v>
      </c>
      <c r="D2752" s="10" t="s">
        <v>736</v>
      </c>
    </row>
    <row r="2753" spans="1:4">
      <c r="B2753" s="283">
        <v>8003</v>
      </c>
      <c r="C2753" s="43">
        <v>200025</v>
      </c>
      <c r="D2753" s="10" t="s">
        <v>736</v>
      </c>
    </row>
    <row r="2754" spans="1:4">
      <c r="B2754" s="283">
        <v>8003</v>
      </c>
      <c r="C2754" s="43">
        <v>200027</v>
      </c>
      <c r="D2754" s="10" t="s">
        <v>736</v>
      </c>
    </row>
    <row r="2755" spans="1:4">
      <c r="B2755" s="10">
        <v>8003</v>
      </c>
      <c r="C2755" s="43">
        <v>200030</v>
      </c>
      <c r="D2755" s="10" t="s">
        <v>736</v>
      </c>
    </row>
    <row r="2756" spans="1:4">
      <c r="B2756" s="10">
        <v>8003</v>
      </c>
      <c r="C2756" s="43">
        <v>200031</v>
      </c>
      <c r="D2756" s="10" t="s">
        <v>736</v>
      </c>
    </row>
    <row r="2757" spans="1:4">
      <c r="B2757" s="10">
        <v>8003</v>
      </c>
      <c r="C2757" s="43">
        <v>200039</v>
      </c>
      <c r="D2757" s="10" t="s">
        <v>736</v>
      </c>
    </row>
    <row r="2758" spans="1:4">
      <c r="B2758" s="10">
        <v>8003</v>
      </c>
      <c r="C2758" s="43">
        <v>200045</v>
      </c>
      <c r="D2758" s="10" t="s">
        <v>736</v>
      </c>
    </row>
    <row r="2759" spans="1:4">
      <c r="B2759" s="10">
        <v>8003</v>
      </c>
      <c r="C2759" s="43">
        <v>200047</v>
      </c>
      <c r="D2759" s="10" t="s">
        <v>736</v>
      </c>
    </row>
    <row r="2760" spans="1:4" ht="13.5" customHeight="1">
      <c r="B2760" s="10">
        <v>8003</v>
      </c>
      <c r="C2760" s="43">
        <v>200049</v>
      </c>
      <c r="D2760" s="10" t="s">
        <v>736</v>
      </c>
    </row>
    <row r="2761" spans="1:4" ht="13.5" customHeight="1">
      <c r="B2761" s="10">
        <v>8003</v>
      </c>
      <c r="C2761" s="43">
        <v>200054</v>
      </c>
      <c r="D2761" s="10" t="s">
        <v>736</v>
      </c>
    </row>
    <row r="2762" spans="1:4" ht="13.5" customHeight="1">
      <c r="B2762" s="10">
        <v>8003</v>
      </c>
      <c r="C2762" s="43">
        <v>200060</v>
      </c>
      <c r="D2762" s="10" t="s">
        <v>736</v>
      </c>
    </row>
    <row r="2763" spans="1:4" ht="13.5" customHeight="1" thickBot="1">
      <c r="B2763" s="10">
        <v>8003</v>
      </c>
      <c r="C2763" s="43">
        <v>200075</v>
      </c>
      <c r="D2763" s="270" t="s">
        <v>1842</v>
      </c>
    </row>
    <row r="2764" spans="1:4" ht="13.5" customHeight="1" thickBot="1">
      <c r="A2764" s="307" t="s">
        <v>2038</v>
      </c>
      <c r="B2764" s="10">
        <v>8003</v>
      </c>
      <c r="C2764" s="43">
        <v>200078</v>
      </c>
      <c r="D2764" s="270" t="s">
        <v>1842</v>
      </c>
    </row>
    <row r="2765" spans="1:4" ht="13.5" customHeight="1" thickBot="1">
      <c r="A2765" s="307" t="s">
        <v>2036</v>
      </c>
      <c r="B2765" s="10">
        <v>8003</v>
      </c>
      <c r="C2765" s="43">
        <v>200090</v>
      </c>
      <c r="D2765" s="270" t="s">
        <v>1842</v>
      </c>
    </row>
    <row r="2766" spans="1:4" ht="13.5" customHeight="1" thickBot="1">
      <c r="A2766" s="307" t="s">
        <v>2034</v>
      </c>
      <c r="B2766" s="10">
        <v>8003</v>
      </c>
      <c r="C2766" s="43">
        <v>200085</v>
      </c>
      <c r="D2766" s="270" t="s">
        <v>1842</v>
      </c>
    </row>
    <row r="2767" spans="1:4" ht="13.5" customHeight="1">
      <c r="A2767" s="270" t="s">
        <v>2001</v>
      </c>
      <c r="B2767" s="10">
        <v>8003</v>
      </c>
      <c r="C2767" s="43">
        <v>200092</v>
      </c>
      <c r="D2767" s="270" t="s">
        <v>1842</v>
      </c>
    </row>
    <row r="2768" spans="1:4" ht="13.5" customHeight="1">
      <c r="A2768" s="270" t="s">
        <v>2042</v>
      </c>
      <c r="B2768" s="10">
        <v>8003</v>
      </c>
      <c r="C2768" s="43">
        <v>200096</v>
      </c>
      <c r="D2768" s="270" t="s">
        <v>1842</v>
      </c>
    </row>
    <row r="2769" spans="1:12" ht="13.5" customHeight="1">
      <c r="A2769" s="315" t="s">
        <v>2094</v>
      </c>
      <c r="B2769" s="302">
        <v>8003</v>
      </c>
      <c r="C2769" s="315">
        <v>200097</v>
      </c>
      <c r="D2769" s="315" t="s">
        <v>736</v>
      </c>
    </row>
    <row r="2770" spans="1:12">
      <c r="B2770" s="283">
        <v>8003</v>
      </c>
      <c r="C2770" s="286">
        <v>305007</v>
      </c>
      <c r="D2770" s="10" t="s">
        <v>737</v>
      </c>
      <c r="I2770" s="286">
        <v>305007</v>
      </c>
      <c r="J2770" s="286" t="s">
        <v>1213</v>
      </c>
      <c r="K2770" s="286">
        <v>1</v>
      </c>
      <c r="L2770" s="287" t="s">
        <v>1828</v>
      </c>
    </row>
    <row r="2771" spans="1:12">
      <c r="B2771" s="283">
        <v>8003</v>
      </c>
      <c r="C2771" s="286">
        <v>305008</v>
      </c>
      <c r="D2771" s="10" t="s">
        <v>737</v>
      </c>
      <c r="I2771" s="286">
        <v>305008</v>
      </c>
      <c r="J2771" s="286" t="s">
        <v>1217</v>
      </c>
      <c r="K2771" s="286">
        <v>1</v>
      </c>
      <c r="L2771" s="287" t="s">
        <v>1828</v>
      </c>
    </row>
    <row r="2772" spans="1:12">
      <c r="B2772" s="283">
        <v>8003</v>
      </c>
      <c r="C2772" s="286">
        <v>305009</v>
      </c>
      <c r="D2772" s="10" t="s">
        <v>737</v>
      </c>
      <c r="I2772" s="286">
        <v>305009</v>
      </c>
      <c r="J2772" s="286" t="s">
        <v>1220</v>
      </c>
      <c r="K2772" s="286">
        <v>1</v>
      </c>
      <c r="L2772" s="287" t="s">
        <v>1828</v>
      </c>
    </row>
    <row r="2773" spans="1:12">
      <c r="B2773" s="283">
        <v>8003</v>
      </c>
      <c r="C2773" s="286">
        <v>305023</v>
      </c>
      <c r="D2773" s="10" t="s">
        <v>737</v>
      </c>
      <c r="I2773" s="286">
        <v>305023</v>
      </c>
      <c r="J2773" s="286" t="s">
        <v>1277</v>
      </c>
      <c r="K2773" s="286">
        <v>1</v>
      </c>
      <c r="L2773" s="287" t="s">
        <v>1828</v>
      </c>
    </row>
    <row r="2774" spans="1:12">
      <c r="B2774" s="283">
        <v>8003</v>
      </c>
      <c r="C2774" s="286">
        <v>305034</v>
      </c>
      <c r="D2774" s="10" t="s">
        <v>737</v>
      </c>
      <c r="I2774" s="286">
        <v>305034</v>
      </c>
      <c r="J2774" s="286" t="s">
        <v>222</v>
      </c>
      <c r="K2774" s="286">
        <v>1</v>
      </c>
      <c r="L2774" s="287" t="s">
        <v>1828</v>
      </c>
    </row>
    <row r="2775" spans="1:12">
      <c r="B2775" s="283">
        <v>8003</v>
      </c>
      <c r="C2775" s="286">
        <v>305035</v>
      </c>
      <c r="D2775" s="10" t="s">
        <v>737</v>
      </c>
      <c r="I2775" s="286">
        <v>305035</v>
      </c>
      <c r="J2775" s="286" t="s">
        <v>227</v>
      </c>
      <c r="K2775" s="286">
        <v>1</v>
      </c>
      <c r="L2775" s="287" t="s">
        <v>1828</v>
      </c>
    </row>
    <row r="2776" spans="1:12">
      <c r="B2776" s="283">
        <v>8003</v>
      </c>
      <c r="C2776" s="286">
        <v>305036</v>
      </c>
      <c r="D2776" s="10" t="s">
        <v>737</v>
      </c>
      <c r="I2776" s="286">
        <v>305036</v>
      </c>
      <c r="J2776" s="286" t="s">
        <v>232</v>
      </c>
      <c r="K2776" s="286">
        <v>1</v>
      </c>
      <c r="L2776" s="287" t="s">
        <v>1828</v>
      </c>
    </row>
    <row r="2777" spans="1:12">
      <c r="B2777" s="283">
        <v>8003</v>
      </c>
      <c r="C2777" s="286">
        <v>305039</v>
      </c>
      <c r="D2777" s="10" t="s">
        <v>737</v>
      </c>
      <c r="I2777" s="286">
        <v>305039</v>
      </c>
      <c r="J2777" s="286" t="s">
        <v>1829</v>
      </c>
      <c r="K2777" s="286">
        <v>1</v>
      </c>
      <c r="L2777" s="287" t="s">
        <v>1828</v>
      </c>
    </row>
    <row r="2778" spans="1:12">
      <c r="B2778" s="283">
        <v>8003</v>
      </c>
      <c r="C2778" s="286">
        <v>305040</v>
      </c>
      <c r="D2778" s="10" t="s">
        <v>737</v>
      </c>
      <c r="I2778" s="286">
        <v>305040</v>
      </c>
      <c r="J2778" s="286" t="s">
        <v>277</v>
      </c>
      <c r="K2778" s="286">
        <v>1</v>
      </c>
      <c r="L2778" s="287" t="s">
        <v>1828</v>
      </c>
    </row>
    <row r="2779" spans="1:12">
      <c r="B2779" s="283">
        <v>8003</v>
      </c>
      <c r="C2779" s="286">
        <v>305200</v>
      </c>
      <c r="D2779" s="10" t="s">
        <v>737</v>
      </c>
      <c r="I2779" s="286">
        <v>305200</v>
      </c>
      <c r="J2779" s="286" t="s">
        <v>313</v>
      </c>
      <c r="K2779" s="286">
        <v>1</v>
      </c>
      <c r="L2779" s="287" t="s">
        <v>1828</v>
      </c>
    </row>
    <row r="2780" spans="1:12">
      <c r="B2780" s="283">
        <v>8003</v>
      </c>
      <c r="C2780" s="288">
        <v>305224</v>
      </c>
      <c r="D2780" s="10" t="s">
        <v>737</v>
      </c>
      <c r="I2780" s="288">
        <v>305224</v>
      </c>
      <c r="J2780" s="10" t="s">
        <v>1890</v>
      </c>
      <c r="K2780" s="286">
        <v>1</v>
      </c>
      <c r="L2780" s="287" t="s">
        <v>1828</v>
      </c>
    </row>
    <row r="2781" spans="1:12">
      <c r="B2781" s="283">
        <v>8003</v>
      </c>
      <c r="C2781" s="288">
        <v>305225</v>
      </c>
      <c r="D2781" s="10" t="s">
        <v>737</v>
      </c>
      <c r="I2781" s="288">
        <v>305225</v>
      </c>
      <c r="J2781" s="10" t="s">
        <v>1888</v>
      </c>
      <c r="K2781" s="286">
        <v>1</v>
      </c>
      <c r="L2781" s="287" t="s">
        <v>1828</v>
      </c>
    </row>
    <row r="2782" spans="1:12">
      <c r="B2782" s="283">
        <v>8003</v>
      </c>
      <c r="C2782" s="288">
        <v>305226</v>
      </c>
      <c r="D2782" s="10" t="s">
        <v>737</v>
      </c>
      <c r="I2782" s="288">
        <v>305226</v>
      </c>
      <c r="J2782" s="10" t="s">
        <v>1891</v>
      </c>
      <c r="K2782" s="286">
        <v>1</v>
      </c>
      <c r="L2782" s="287" t="s">
        <v>1828</v>
      </c>
    </row>
    <row r="2783" spans="1:12">
      <c r="B2783" s="283">
        <v>8003</v>
      </c>
      <c r="C2783" s="289">
        <v>305010</v>
      </c>
      <c r="D2783" s="10" t="s">
        <v>737</v>
      </c>
      <c r="I2783" s="289">
        <v>305010</v>
      </c>
      <c r="J2783" s="289" t="s">
        <v>1223</v>
      </c>
      <c r="K2783" s="289">
        <v>2</v>
      </c>
      <c r="L2783" s="290" t="s">
        <v>1830</v>
      </c>
    </row>
    <row r="2784" spans="1:12">
      <c r="B2784" s="283">
        <v>8003</v>
      </c>
      <c r="C2784" s="289">
        <v>305021</v>
      </c>
      <c r="D2784" s="10" t="s">
        <v>737</v>
      </c>
      <c r="I2784" s="289">
        <v>305021</v>
      </c>
      <c r="J2784" s="289" t="s">
        <v>1270</v>
      </c>
      <c r="K2784" s="289">
        <v>2</v>
      </c>
      <c r="L2784" s="290" t="s">
        <v>1830</v>
      </c>
    </row>
    <row r="2785" spans="2:12">
      <c r="B2785" s="283">
        <v>8003</v>
      </c>
      <c r="C2785" s="289">
        <v>305022</v>
      </c>
      <c r="D2785" s="10" t="s">
        <v>737</v>
      </c>
      <c r="I2785" s="289">
        <v>305022</v>
      </c>
      <c r="J2785" s="289" t="s">
        <v>1273</v>
      </c>
      <c r="K2785" s="289">
        <v>2</v>
      </c>
      <c r="L2785" s="290" t="s">
        <v>1830</v>
      </c>
    </row>
    <row r="2786" spans="2:12">
      <c r="B2786" s="283">
        <v>8003</v>
      </c>
      <c r="C2786" s="289">
        <v>305032</v>
      </c>
      <c r="D2786" s="10" t="s">
        <v>737</v>
      </c>
      <c r="I2786" s="289">
        <v>305032</v>
      </c>
      <c r="J2786" s="289" t="s">
        <v>213</v>
      </c>
      <c r="K2786" s="289">
        <v>2</v>
      </c>
      <c r="L2786" s="290" t="s">
        <v>1830</v>
      </c>
    </row>
    <row r="2787" spans="2:12">
      <c r="B2787" s="283">
        <v>8003</v>
      </c>
      <c r="C2787" s="289">
        <v>305033</v>
      </c>
      <c r="D2787" s="10" t="s">
        <v>737</v>
      </c>
      <c r="I2787" s="289">
        <v>305033</v>
      </c>
      <c r="J2787" s="289" t="s">
        <v>217</v>
      </c>
      <c r="K2787" s="289">
        <v>2</v>
      </c>
      <c r="L2787" s="290" t="s">
        <v>1830</v>
      </c>
    </row>
    <row r="2788" spans="2:12">
      <c r="B2788" s="283">
        <v>8003</v>
      </c>
      <c r="C2788" s="289">
        <v>305037</v>
      </c>
      <c r="D2788" s="10" t="s">
        <v>737</v>
      </c>
      <c r="I2788" s="289">
        <v>305037</v>
      </c>
      <c r="J2788" s="289" t="s">
        <v>264</v>
      </c>
      <c r="K2788" s="289">
        <v>2</v>
      </c>
      <c r="L2788" s="290" t="s">
        <v>1830</v>
      </c>
    </row>
    <row r="2789" spans="2:12">
      <c r="B2789" s="283">
        <v>8003</v>
      </c>
      <c r="C2789" s="289">
        <v>305038</v>
      </c>
      <c r="D2789" s="10" t="s">
        <v>737</v>
      </c>
      <c r="I2789" s="289">
        <v>305038</v>
      </c>
      <c r="J2789" s="289" t="s">
        <v>268</v>
      </c>
      <c r="K2789" s="289">
        <v>2</v>
      </c>
      <c r="L2789" s="290" t="s">
        <v>1830</v>
      </c>
    </row>
    <row r="2790" spans="2:12">
      <c r="B2790" s="283">
        <v>8003</v>
      </c>
      <c r="C2790" s="289">
        <v>305300</v>
      </c>
      <c r="D2790" s="10" t="s">
        <v>737</v>
      </c>
      <c r="I2790" s="289">
        <v>305300</v>
      </c>
      <c r="J2790" s="289" t="s">
        <v>318</v>
      </c>
      <c r="K2790" s="289">
        <v>2</v>
      </c>
      <c r="L2790" s="290" t="s">
        <v>1830</v>
      </c>
    </row>
    <row r="2791" spans="2:12">
      <c r="B2791" s="283">
        <v>8003</v>
      </c>
      <c r="C2791" s="288">
        <v>305324</v>
      </c>
      <c r="D2791" s="10" t="s">
        <v>737</v>
      </c>
      <c r="I2791" s="288">
        <v>305324</v>
      </c>
      <c r="J2791" s="10" t="s">
        <v>1887</v>
      </c>
      <c r="K2791" s="289">
        <v>2</v>
      </c>
      <c r="L2791" s="290" t="s">
        <v>1830</v>
      </c>
    </row>
    <row r="2792" spans="2:12">
      <c r="B2792" s="283">
        <v>8003</v>
      </c>
      <c r="C2792" s="288">
        <v>305325</v>
      </c>
      <c r="D2792" s="10" t="s">
        <v>737</v>
      </c>
      <c r="I2792" s="288">
        <v>305325</v>
      </c>
      <c r="J2792" s="10" t="s">
        <v>1888</v>
      </c>
      <c r="K2792" s="289">
        <v>2</v>
      </c>
      <c r="L2792" s="290" t="s">
        <v>1830</v>
      </c>
    </row>
    <row r="2793" spans="2:12">
      <c r="B2793" s="283">
        <v>8003</v>
      </c>
      <c r="C2793" s="288">
        <v>305326</v>
      </c>
      <c r="D2793" s="10" t="s">
        <v>737</v>
      </c>
      <c r="I2793" s="288">
        <v>305326</v>
      </c>
      <c r="J2793" s="10" t="s">
        <v>1889</v>
      </c>
      <c r="K2793" s="289">
        <v>2</v>
      </c>
      <c r="L2793" s="290" t="s">
        <v>1830</v>
      </c>
    </row>
    <row r="2794" spans="2:12">
      <c r="B2794" s="283">
        <v>8003</v>
      </c>
      <c r="C2794" s="291">
        <v>305001</v>
      </c>
      <c r="D2794" s="10" t="s">
        <v>737</v>
      </c>
      <c r="I2794" s="291">
        <v>305001</v>
      </c>
      <c r="J2794" s="291" t="s">
        <v>176</v>
      </c>
      <c r="K2794" s="291">
        <v>0</v>
      </c>
      <c r="L2794" s="292" t="s">
        <v>1827</v>
      </c>
    </row>
    <row r="2795" spans="2:12">
      <c r="B2795" s="283">
        <v>8003</v>
      </c>
      <c r="C2795" s="291">
        <v>305002</v>
      </c>
      <c r="D2795" s="10" t="s">
        <v>737</v>
      </c>
      <c r="I2795" s="291">
        <v>305002</v>
      </c>
      <c r="J2795" s="291" t="s">
        <v>181</v>
      </c>
      <c r="K2795" s="291">
        <v>0</v>
      </c>
      <c r="L2795" s="292" t="s">
        <v>1827</v>
      </c>
    </row>
    <row r="2796" spans="2:12">
      <c r="B2796" s="283">
        <v>8003</v>
      </c>
      <c r="C2796" s="291">
        <v>305003</v>
      </c>
      <c r="D2796" s="10" t="s">
        <v>737</v>
      </c>
      <c r="I2796" s="291">
        <v>305003</v>
      </c>
      <c r="J2796" s="291" t="s">
        <v>186</v>
      </c>
      <c r="K2796" s="291">
        <v>0</v>
      </c>
      <c r="L2796" s="292" t="s">
        <v>1827</v>
      </c>
    </row>
    <row r="2797" spans="2:12">
      <c r="B2797" s="283">
        <v>8003</v>
      </c>
      <c r="C2797" s="291">
        <v>305018</v>
      </c>
      <c r="D2797" s="10" t="s">
        <v>737</v>
      </c>
      <c r="I2797" s="291">
        <v>305018</v>
      </c>
      <c r="J2797" s="291" t="s">
        <v>191</v>
      </c>
      <c r="K2797" s="291">
        <v>0</v>
      </c>
      <c r="L2797" s="292" t="s">
        <v>1827</v>
      </c>
    </row>
    <row r="2798" spans="2:12">
      <c r="B2798" s="283">
        <v>8003</v>
      </c>
      <c r="C2798" s="291">
        <v>305019</v>
      </c>
      <c r="D2798" s="10" t="s">
        <v>737</v>
      </c>
      <c r="I2798" s="291">
        <v>305019</v>
      </c>
      <c r="J2798" s="291" t="s">
        <v>196</v>
      </c>
      <c r="K2798" s="291">
        <v>0</v>
      </c>
      <c r="L2798" s="292" t="s">
        <v>1827</v>
      </c>
    </row>
    <row r="2799" spans="2:12">
      <c r="B2799" s="283">
        <v>8003</v>
      </c>
      <c r="C2799" s="291">
        <v>305041</v>
      </c>
      <c r="D2799" s="10" t="s">
        <v>737</v>
      </c>
      <c r="I2799" s="291">
        <v>305041</v>
      </c>
      <c r="J2799" s="291" t="s">
        <v>282</v>
      </c>
      <c r="K2799" s="291">
        <v>0</v>
      </c>
      <c r="L2799" s="292" t="s">
        <v>1827</v>
      </c>
    </row>
    <row r="2800" spans="2:12">
      <c r="B2800" s="283">
        <v>8003</v>
      </c>
      <c r="C2800" s="291">
        <v>305042</v>
      </c>
      <c r="D2800" s="10" t="s">
        <v>737</v>
      </c>
      <c r="I2800" s="291">
        <v>305042</v>
      </c>
      <c r="J2800" s="291" t="s">
        <v>287</v>
      </c>
      <c r="K2800" s="291">
        <v>0</v>
      </c>
      <c r="L2800" s="292" t="s">
        <v>1827</v>
      </c>
    </row>
    <row r="2801" spans="2:22">
      <c r="B2801" s="283">
        <v>8003</v>
      </c>
      <c r="C2801" s="291">
        <v>305600</v>
      </c>
      <c r="D2801" s="10" t="s">
        <v>737</v>
      </c>
      <c r="I2801" s="291">
        <v>305600</v>
      </c>
      <c r="J2801" s="291" t="s">
        <v>323</v>
      </c>
      <c r="K2801" s="291">
        <v>0</v>
      </c>
      <c r="L2801" s="292" t="s">
        <v>1827</v>
      </c>
    </row>
    <row r="2802" spans="2:22">
      <c r="B2802" s="283">
        <v>8003</v>
      </c>
      <c r="C2802" s="288">
        <v>305623</v>
      </c>
      <c r="D2802" s="10" t="s">
        <v>737</v>
      </c>
      <c r="I2802" s="288">
        <v>305623</v>
      </c>
      <c r="J2802" s="10" t="s">
        <v>1864</v>
      </c>
      <c r="K2802" s="291">
        <v>0</v>
      </c>
      <c r="L2802" s="292" t="s">
        <v>1827</v>
      </c>
    </row>
    <row r="2803" spans="2:22">
      <c r="B2803" s="283">
        <v>8003</v>
      </c>
      <c r="C2803" s="288">
        <v>305624</v>
      </c>
      <c r="D2803" s="10" t="s">
        <v>737</v>
      </c>
      <c r="I2803" s="288">
        <v>305624</v>
      </c>
      <c r="J2803" s="10" t="s">
        <v>1865</v>
      </c>
      <c r="K2803" s="291">
        <v>0</v>
      </c>
      <c r="L2803" s="292" t="s">
        <v>1827</v>
      </c>
    </row>
    <row r="2804" spans="2:22">
      <c r="B2804" s="283">
        <v>8003</v>
      </c>
      <c r="C2804" s="288">
        <v>305625</v>
      </c>
      <c r="D2804" s="10" t="s">
        <v>737</v>
      </c>
      <c r="I2804" s="288">
        <v>305625</v>
      </c>
      <c r="J2804" s="10" t="s">
        <v>1866</v>
      </c>
      <c r="K2804" s="291">
        <v>0</v>
      </c>
      <c r="L2804" s="292" t="s">
        <v>1827</v>
      </c>
    </row>
    <row r="2805" spans="2:22">
      <c r="B2805" s="283">
        <v>8003</v>
      </c>
      <c r="C2805" s="288">
        <v>305626</v>
      </c>
      <c r="D2805" s="10" t="s">
        <v>737</v>
      </c>
      <c r="I2805" s="288">
        <v>305626</v>
      </c>
      <c r="J2805" s="10" t="s">
        <v>1867</v>
      </c>
      <c r="K2805" s="291">
        <v>0</v>
      </c>
      <c r="L2805" s="292" t="s">
        <v>1827</v>
      </c>
    </row>
    <row r="2806" spans="2:22">
      <c r="B2806" s="283">
        <v>8003</v>
      </c>
      <c r="C2806" s="293">
        <v>305012</v>
      </c>
      <c r="D2806" s="10" t="s">
        <v>737</v>
      </c>
      <c r="I2806" s="293">
        <v>305012</v>
      </c>
      <c r="J2806" s="293" t="s">
        <v>1230</v>
      </c>
      <c r="K2806" s="293">
        <v>6</v>
      </c>
      <c r="L2806" s="294" t="s">
        <v>1833</v>
      </c>
    </row>
    <row r="2807" spans="2:22">
      <c r="B2807" s="283">
        <v>8003</v>
      </c>
      <c r="C2807" s="293">
        <v>305013</v>
      </c>
      <c r="D2807" s="10" t="s">
        <v>737</v>
      </c>
      <c r="I2807" s="293">
        <v>305013</v>
      </c>
      <c r="J2807" s="293" t="s">
        <v>1237</v>
      </c>
      <c r="K2807" s="293">
        <v>6</v>
      </c>
      <c r="L2807" s="294" t="s">
        <v>1833</v>
      </c>
    </row>
    <row r="2808" spans="2:22">
      <c r="B2808" s="283">
        <v>8003</v>
      </c>
      <c r="C2808" s="293">
        <v>305014</v>
      </c>
      <c r="D2808" s="10" t="s">
        <v>737</v>
      </c>
      <c r="I2808" s="293">
        <v>305014</v>
      </c>
      <c r="J2808" s="293" t="s">
        <v>1241</v>
      </c>
      <c r="K2808" s="293">
        <v>6</v>
      </c>
      <c r="L2808" s="294" t="s">
        <v>1833</v>
      </c>
    </row>
    <row r="2809" spans="2:22" s="285" customFormat="1">
      <c r="B2809" s="283">
        <v>8003</v>
      </c>
      <c r="C2809" s="293">
        <v>305046</v>
      </c>
      <c r="D2809" s="285" t="s">
        <v>737</v>
      </c>
      <c r="G2809" s="10"/>
      <c r="H2809" s="10"/>
      <c r="I2809" s="293">
        <v>305046</v>
      </c>
      <c r="J2809" s="293" t="s">
        <v>309</v>
      </c>
      <c r="K2809" s="293">
        <v>6</v>
      </c>
      <c r="L2809" s="294" t="s">
        <v>1833</v>
      </c>
      <c r="M2809" s="10"/>
      <c r="R2809" s="10"/>
      <c r="S2809" s="10"/>
      <c r="T2809" s="10"/>
      <c r="U2809" s="10"/>
      <c r="V2809" s="10"/>
    </row>
    <row r="2810" spans="2:22">
      <c r="B2810" s="283">
        <v>8003</v>
      </c>
      <c r="C2810" s="288">
        <v>305815</v>
      </c>
      <c r="D2810" s="10" t="s">
        <v>737</v>
      </c>
      <c r="I2810" s="288">
        <v>305815</v>
      </c>
      <c r="J2810" s="10" t="s">
        <v>1868</v>
      </c>
      <c r="K2810" s="293">
        <v>6</v>
      </c>
      <c r="L2810" s="294" t="s">
        <v>1833</v>
      </c>
    </row>
    <row r="2811" spans="2:22">
      <c r="B2811" s="283">
        <v>8003</v>
      </c>
      <c r="C2811" s="288">
        <v>305816</v>
      </c>
      <c r="D2811" s="10" t="s">
        <v>737</v>
      </c>
      <c r="I2811" s="288">
        <v>305816</v>
      </c>
      <c r="J2811" s="10" t="s">
        <v>1869</v>
      </c>
      <c r="K2811" s="293">
        <v>6</v>
      </c>
      <c r="L2811" s="294" t="s">
        <v>1833</v>
      </c>
    </row>
    <row r="2812" spans="2:22">
      <c r="B2812" s="283">
        <v>8003</v>
      </c>
      <c r="C2812" s="288">
        <v>305817</v>
      </c>
      <c r="D2812" s="10" t="s">
        <v>737</v>
      </c>
      <c r="I2812" s="288">
        <v>305817</v>
      </c>
      <c r="J2812" s="10" t="s">
        <v>1870</v>
      </c>
      <c r="K2812" s="293">
        <v>6</v>
      </c>
      <c r="L2812" s="294" t="s">
        <v>1833</v>
      </c>
    </row>
    <row r="2813" spans="2:22" s="285" customFormat="1">
      <c r="B2813" s="283">
        <v>8003</v>
      </c>
      <c r="C2813" s="288">
        <v>305818</v>
      </c>
      <c r="D2813" s="285" t="s">
        <v>737</v>
      </c>
      <c r="G2813" s="10"/>
      <c r="H2813" s="10"/>
      <c r="I2813" s="288">
        <v>305818</v>
      </c>
      <c r="J2813" s="10" t="s">
        <v>1871</v>
      </c>
      <c r="K2813" s="293">
        <v>6</v>
      </c>
      <c r="L2813" s="294" t="s">
        <v>1833</v>
      </c>
      <c r="M2813" s="10"/>
      <c r="R2813" s="10"/>
      <c r="S2813" s="10"/>
      <c r="T2813" s="10"/>
      <c r="U2813" s="10"/>
      <c r="V2813" s="10"/>
    </row>
    <row r="2814" spans="2:22">
      <c r="B2814" s="283">
        <v>8003</v>
      </c>
      <c r="C2814" s="288">
        <v>305819</v>
      </c>
      <c r="D2814" s="10" t="s">
        <v>737</v>
      </c>
      <c r="I2814" s="288">
        <v>305819</v>
      </c>
      <c r="J2814" s="10" t="s">
        <v>1872</v>
      </c>
      <c r="K2814" s="293">
        <v>6</v>
      </c>
      <c r="L2814" s="294" t="s">
        <v>1833</v>
      </c>
    </row>
    <row r="2815" spans="2:22" s="285" customFormat="1">
      <c r="B2815" s="283">
        <v>8003</v>
      </c>
      <c r="C2815" s="288">
        <v>305820</v>
      </c>
      <c r="D2815" s="285" t="s">
        <v>737</v>
      </c>
      <c r="G2815" s="10"/>
      <c r="H2815" s="10"/>
      <c r="I2815" s="288">
        <v>305820</v>
      </c>
      <c r="J2815" s="10" t="s">
        <v>1873</v>
      </c>
      <c r="K2815" s="293">
        <v>6</v>
      </c>
      <c r="L2815" s="294" t="s">
        <v>1833</v>
      </c>
      <c r="M2815" s="10"/>
      <c r="R2815" s="10"/>
      <c r="S2815" s="10"/>
      <c r="T2815" s="10"/>
      <c r="U2815" s="10"/>
      <c r="V2815" s="10"/>
    </row>
    <row r="2816" spans="2:22">
      <c r="B2816" s="283">
        <v>8003</v>
      </c>
      <c r="C2816" s="295">
        <v>305015</v>
      </c>
      <c r="D2816" s="10" t="s">
        <v>737</v>
      </c>
      <c r="I2816" s="295">
        <v>305015</v>
      </c>
      <c r="J2816" s="295" t="s">
        <v>1245</v>
      </c>
      <c r="K2816" s="295">
        <v>7</v>
      </c>
      <c r="L2816" s="296" t="s">
        <v>538</v>
      </c>
    </row>
    <row r="2817" spans="1:22">
      <c r="B2817" s="283">
        <v>8003</v>
      </c>
      <c r="C2817" s="295">
        <v>305016</v>
      </c>
      <c r="D2817" s="10" t="s">
        <v>737</v>
      </c>
      <c r="I2817" s="295">
        <v>305016</v>
      </c>
      <c r="J2817" s="295" t="s">
        <v>1251</v>
      </c>
      <c r="K2817" s="295">
        <v>7</v>
      </c>
      <c r="L2817" s="296" t="s">
        <v>538</v>
      </c>
    </row>
    <row r="2818" spans="1:22">
      <c r="B2818" s="283">
        <v>8003</v>
      </c>
      <c r="C2818" s="295">
        <v>305017</v>
      </c>
      <c r="D2818" s="10" t="s">
        <v>737</v>
      </c>
      <c r="I2818" s="295">
        <v>305017</v>
      </c>
      <c r="J2818" s="295" t="s">
        <v>1255</v>
      </c>
      <c r="K2818" s="295">
        <v>7</v>
      </c>
      <c r="L2818" s="296" t="s">
        <v>538</v>
      </c>
    </row>
    <row r="2819" spans="1:22">
      <c r="B2819" s="283">
        <v>8003</v>
      </c>
      <c r="C2819" s="295">
        <v>305700</v>
      </c>
      <c r="D2819" s="10" t="s">
        <v>737</v>
      </c>
      <c r="I2819" s="295">
        <v>305700</v>
      </c>
      <c r="J2819" s="295" t="s">
        <v>328</v>
      </c>
      <c r="K2819" s="295">
        <v>7</v>
      </c>
      <c r="L2819" s="296" t="s">
        <v>538</v>
      </c>
    </row>
    <row r="2820" spans="1:22">
      <c r="B2820" s="283">
        <v>8003</v>
      </c>
      <c r="C2820" s="288">
        <v>305719</v>
      </c>
      <c r="D2820" s="10" t="s">
        <v>737</v>
      </c>
      <c r="I2820" s="288">
        <v>305719</v>
      </c>
      <c r="J2820" s="10" t="s">
        <v>1874</v>
      </c>
      <c r="K2820" s="295">
        <v>7</v>
      </c>
      <c r="L2820" s="296" t="s">
        <v>538</v>
      </c>
    </row>
    <row r="2821" spans="1:22">
      <c r="B2821" s="283">
        <v>8003</v>
      </c>
      <c r="C2821" s="288">
        <v>305720</v>
      </c>
      <c r="D2821" s="10" t="s">
        <v>737</v>
      </c>
      <c r="I2821" s="288">
        <v>305720</v>
      </c>
      <c r="J2821" s="10" t="s">
        <v>1875</v>
      </c>
      <c r="K2821" s="295">
        <v>7</v>
      </c>
      <c r="L2821" s="296" t="s">
        <v>538</v>
      </c>
    </row>
    <row r="2822" spans="1:22">
      <c r="B2822" s="283">
        <v>8003</v>
      </c>
      <c r="C2822" s="288">
        <v>305721</v>
      </c>
      <c r="D2822" s="10" t="s">
        <v>737</v>
      </c>
      <c r="I2822" s="288">
        <v>305721</v>
      </c>
      <c r="J2822" s="10" t="s">
        <v>1876</v>
      </c>
      <c r="K2822" s="295">
        <v>7</v>
      </c>
      <c r="L2822" s="296" t="s">
        <v>538</v>
      </c>
    </row>
    <row r="2823" spans="1:22">
      <c r="B2823" s="283">
        <v>8003</v>
      </c>
      <c r="C2823" s="288">
        <v>305722</v>
      </c>
      <c r="D2823" s="10" t="s">
        <v>737</v>
      </c>
      <c r="I2823" s="288">
        <v>305722</v>
      </c>
      <c r="J2823" s="10" t="s">
        <v>1877</v>
      </c>
      <c r="K2823" s="295">
        <v>7</v>
      </c>
      <c r="L2823" s="296" t="s">
        <v>538</v>
      </c>
    </row>
    <row r="2824" spans="1:22">
      <c r="B2824" s="283">
        <v>8003</v>
      </c>
      <c r="C2824" s="288">
        <v>305723</v>
      </c>
      <c r="D2824" s="10" t="s">
        <v>737</v>
      </c>
      <c r="I2824" s="288">
        <v>305723</v>
      </c>
      <c r="J2824" s="10" t="s">
        <v>1878</v>
      </c>
      <c r="K2824" s="295">
        <v>7</v>
      </c>
      <c r="L2824" s="296" t="s">
        <v>538</v>
      </c>
    </row>
    <row r="2825" spans="1:22">
      <c r="B2825" s="283">
        <v>8003</v>
      </c>
      <c r="C2825" s="288">
        <v>305724</v>
      </c>
      <c r="D2825" s="10" t="s">
        <v>737</v>
      </c>
      <c r="I2825" s="288">
        <v>305724</v>
      </c>
      <c r="J2825" s="10" t="s">
        <v>1879</v>
      </c>
      <c r="K2825" s="295">
        <v>7</v>
      </c>
      <c r="L2825" s="296" t="s">
        <v>538</v>
      </c>
    </row>
    <row r="2826" spans="1:22">
      <c r="B2826" s="283">
        <v>8003</v>
      </c>
      <c r="C2826" s="297">
        <v>305011</v>
      </c>
      <c r="D2826" s="10" t="s">
        <v>737</v>
      </c>
      <c r="I2826" s="297">
        <v>305011</v>
      </c>
      <c r="J2826" s="297" t="s">
        <v>161</v>
      </c>
      <c r="K2826" s="297">
        <v>3</v>
      </c>
      <c r="L2826" s="298" t="s">
        <v>1831</v>
      </c>
    </row>
    <row r="2827" spans="1:22">
      <c r="B2827" s="283">
        <v>8003</v>
      </c>
      <c r="C2827" s="299">
        <v>305025</v>
      </c>
      <c r="D2827" s="10" t="s">
        <v>737</v>
      </c>
      <c r="I2827" s="299">
        <v>305025</v>
      </c>
      <c r="J2827" s="299" t="s">
        <v>200</v>
      </c>
      <c r="K2827" s="299">
        <v>4</v>
      </c>
      <c r="L2827" s="300" t="s">
        <v>1832</v>
      </c>
    </row>
    <row r="2828" spans="1:22" s="285" customFormat="1">
      <c r="A2828" s="10"/>
      <c r="B2828" s="283">
        <v>8003</v>
      </c>
      <c r="C2828" s="299">
        <v>305026</v>
      </c>
      <c r="D2828" s="10" t="s">
        <v>737</v>
      </c>
      <c r="E2828" s="10"/>
      <c r="F2828" s="10"/>
      <c r="G2828" s="10"/>
      <c r="H2828" s="10"/>
      <c r="I2828" s="299">
        <v>305026</v>
      </c>
      <c r="J2828" s="299" t="s">
        <v>204</v>
      </c>
      <c r="K2828" s="299">
        <v>4</v>
      </c>
      <c r="L2828" s="300" t="s">
        <v>1832</v>
      </c>
      <c r="M2828" s="10"/>
      <c r="N2828" s="10"/>
      <c r="O2828" s="10"/>
      <c r="P2828" s="10"/>
      <c r="Q2828" s="10"/>
      <c r="R2828" s="10"/>
      <c r="S2828" s="10"/>
      <c r="T2828" s="10"/>
      <c r="U2828" s="10"/>
      <c r="V2828" s="10"/>
    </row>
    <row r="2829" spans="1:22" s="285" customFormat="1">
      <c r="A2829" s="10"/>
      <c r="B2829" s="283">
        <v>8003</v>
      </c>
      <c r="C2829" s="299">
        <v>305050</v>
      </c>
      <c r="D2829" s="10" t="s">
        <v>737</v>
      </c>
      <c r="E2829" s="10"/>
      <c r="F2829" s="10"/>
      <c r="G2829" s="10"/>
      <c r="H2829" s="10"/>
      <c r="I2829" s="299">
        <v>305050</v>
      </c>
      <c r="J2829" s="299" t="s">
        <v>300</v>
      </c>
      <c r="K2829" s="299">
        <v>4</v>
      </c>
      <c r="L2829" s="300" t="s">
        <v>1832</v>
      </c>
      <c r="M2829" s="10"/>
      <c r="N2829" s="10"/>
      <c r="O2829" s="10"/>
      <c r="P2829" s="10"/>
      <c r="Q2829" s="10"/>
      <c r="R2829" s="10"/>
      <c r="S2829" s="10"/>
      <c r="T2829" s="10"/>
      <c r="U2829" s="10"/>
      <c r="V2829" s="10"/>
    </row>
    <row r="2830" spans="1:22" s="285" customFormat="1">
      <c r="A2830" s="10"/>
      <c r="B2830" s="283">
        <v>8003</v>
      </c>
      <c r="C2830" s="299">
        <v>305051</v>
      </c>
      <c r="D2830" s="10" t="s">
        <v>737</v>
      </c>
      <c r="E2830" s="10"/>
      <c r="F2830" s="10"/>
      <c r="G2830" s="10"/>
      <c r="H2830" s="10"/>
      <c r="I2830" s="299">
        <v>305051</v>
      </c>
      <c r="J2830" s="299" t="s">
        <v>340</v>
      </c>
      <c r="K2830" s="299">
        <v>4</v>
      </c>
      <c r="L2830" s="300" t="s">
        <v>1832</v>
      </c>
      <c r="M2830" s="10"/>
      <c r="N2830" s="10"/>
      <c r="O2830" s="10"/>
      <c r="P2830" s="10"/>
      <c r="Q2830" s="10"/>
      <c r="R2830" s="10"/>
      <c r="S2830" s="10"/>
      <c r="T2830" s="10"/>
      <c r="U2830" s="10"/>
      <c r="V2830" s="10"/>
    </row>
    <row r="2831" spans="1:22">
      <c r="B2831" s="283">
        <v>8003</v>
      </c>
      <c r="C2831" s="288">
        <v>305055</v>
      </c>
      <c r="D2831" s="10" t="s">
        <v>737</v>
      </c>
      <c r="I2831" s="288">
        <v>305055</v>
      </c>
      <c r="J2831" s="10" t="s">
        <v>1880</v>
      </c>
      <c r="K2831" s="299">
        <v>4</v>
      </c>
      <c r="L2831" s="300" t="s">
        <v>1832</v>
      </c>
    </row>
    <row r="2832" spans="1:22" s="285" customFormat="1">
      <c r="A2832" s="10"/>
      <c r="B2832" s="283">
        <v>8003</v>
      </c>
      <c r="C2832" s="288">
        <v>305056</v>
      </c>
      <c r="D2832" s="10" t="s">
        <v>737</v>
      </c>
      <c r="E2832" s="10"/>
      <c r="F2832" s="10"/>
      <c r="G2832" s="10"/>
      <c r="H2832" s="10"/>
      <c r="I2832" s="288">
        <v>305056</v>
      </c>
      <c r="J2832" s="10" t="s">
        <v>1881</v>
      </c>
      <c r="K2832" s="299">
        <v>4</v>
      </c>
      <c r="L2832" s="300" t="s">
        <v>1832</v>
      </c>
      <c r="M2832" s="10"/>
      <c r="N2832" s="10"/>
      <c r="O2832" s="10"/>
      <c r="P2832" s="10"/>
      <c r="Q2832" s="10"/>
      <c r="R2832" s="10"/>
      <c r="S2832" s="10"/>
      <c r="T2832" s="10"/>
      <c r="U2832" s="10"/>
      <c r="V2832" s="10"/>
    </row>
    <row r="2833" spans="1:22" s="285" customFormat="1">
      <c r="A2833" s="10"/>
      <c r="B2833" s="283">
        <v>8003</v>
      </c>
      <c r="C2833" s="288">
        <v>306104</v>
      </c>
      <c r="D2833" s="10" t="s">
        <v>737</v>
      </c>
      <c r="E2833" s="10"/>
      <c r="F2833" s="10"/>
      <c r="G2833" s="10"/>
      <c r="H2833" s="10"/>
      <c r="I2833" s="288">
        <v>306104</v>
      </c>
      <c r="J2833" s="10" t="s">
        <v>1882</v>
      </c>
      <c r="K2833" s="299">
        <v>4</v>
      </c>
      <c r="L2833" s="300" t="s">
        <v>1886</v>
      </c>
      <c r="M2833" s="10"/>
      <c r="N2833" s="10"/>
      <c r="O2833" s="10"/>
      <c r="P2833" s="10"/>
      <c r="Q2833" s="10"/>
      <c r="R2833" s="10"/>
      <c r="S2833" s="10"/>
      <c r="T2833" s="10"/>
      <c r="U2833" s="10"/>
      <c r="V2833" s="10"/>
    </row>
    <row r="2834" spans="1:22" s="285" customFormat="1">
      <c r="A2834" s="10"/>
      <c r="B2834" s="283">
        <v>8003</v>
      </c>
      <c r="C2834" s="288">
        <v>306105</v>
      </c>
      <c r="D2834" s="10" t="s">
        <v>737</v>
      </c>
      <c r="E2834" s="10"/>
      <c r="F2834" s="10"/>
      <c r="G2834" s="10"/>
      <c r="H2834" s="10"/>
      <c r="I2834" s="288">
        <v>306105</v>
      </c>
      <c r="J2834" s="10" t="s">
        <v>1883</v>
      </c>
      <c r="K2834" s="299">
        <v>4</v>
      </c>
      <c r="L2834" s="300" t="s">
        <v>1886</v>
      </c>
      <c r="M2834" s="10"/>
      <c r="N2834" s="10"/>
      <c r="O2834" s="10"/>
      <c r="P2834" s="10"/>
      <c r="Q2834" s="10"/>
      <c r="R2834" s="10"/>
      <c r="S2834" s="10"/>
      <c r="T2834" s="10"/>
      <c r="U2834" s="10"/>
      <c r="V2834" s="10"/>
    </row>
    <row r="2835" spans="1:22" s="285" customFormat="1">
      <c r="A2835" s="10"/>
      <c r="B2835" s="283">
        <v>8003</v>
      </c>
      <c r="C2835" s="288">
        <v>306106</v>
      </c>
      <c r="D2835" s="10" t="s">
        <v>737</v>
      </c>
      <c r="E2835" s="10"/>
      <c r="F2835" s="10"/>
      <c r="G2835" s="10"/>
      <c r="H2835" s="10"/>
      <c r="I2835" s="288">
        <v>306106</v>
      </c>
      <c r="J2835" s="10" t="s">
        <v>1884</v>
      </c>
      <c r="K2835" s="299">
        <v>4</v>
      </c>
      <c r="L2835" s="300" t="s">
        <v>1886</v>
      </c>
      <c r="M2835" s="10"/>
      <c r="N2835" s="10"/>
      <c r="O2835" s="10"/>
      <c r="P2835" s="10"/>
      <c r="Q2835" s="10"/>
      <c r="R2835" s="10"/>
      <c r="S2835" s="10"/>
      <c r="T2835" s="10"/>
      <c r="U2835" s="10"/>
      <c r="V2835" s="10"/>
    </row>
    <row r="2836" spans="1:22" s="285" customFormat="1">
      <c r="A2836" s="10"/>
      <c r="B2836" s="283">
        <v>8003</v>
      </c>
      <c r="C2836" s="288">
        <v>306107</v>
      </c>
      <c r="D2836" s="10" t="s">
        <v>737</v>
      </c>
      <c r="E2836" s="10"/>
      <c r="F2836" s="10"/>
      <c r="G2836" s="10"/>
      <c r="H2836" s="10"/>
      <c r="I2836" s="288">
        <v>306107</v>
      </c>
      <c r="J2836" s="10" t="s">
        <v>1885</v>
      </c>
      <c r="K2836" s="299">
        <v>4</v>
      </c>
      <c r="L2836" s="300" t="s">
        <v>1886</v>
      </c>
      <c r="M2836" s="10"/>
      <c r="N2836" s="10"/>
      <c r="O2836" s="10"/>
      <c r="P2836" s="10"/>
      <c r="Q2836" s="10"/>
      <c r="R2836" s="10"/>
      <c r="S2836" s="10"/>
      <c r="T2836" s="10"/>
      <c r="U2836" s="10"/>
      <c r="V2836" s="10"/>
    </row>
    <row r="2837" spans="1:22">
      <c r="B2837" s="283">
        <v>8003</v>
      </c>
      <c r="C2837" s="282">
        <v>303012</v>
      </c>
      <c r="D2837" s="301" t="s">
        <v>38</v>
      </c>
      <c r="H2837" s="43"/>
    </row>
    <row r="2838" spans="1:22">
      <c r="B2838" s="283">
        <v>8003</v>
      </c>
      <c r="C2838" s="282">
        <v>303013</v>
      </c>
      <c r="D2838" s="301" t="s">
        <v>38</v>
      </c>
      <c r="H2838" s="43"/>
    </row>
    <row r="2839" spans="1:22">
      <c r="B2839" s="283">
        <v>8003</v>
      </c>
      <c r="C2839" s="282">
        <v>303022</v>
      </c>
      <c r="D2839" s="301" t="s">
        <v>38</v>
      </c>
      <c r="H2839" s="43"/>
    </row>
    <row r="2840" spans="1:22">
      <c r="B2840" s="283">
        <v>8003</v>
      </c>
      <c r="C2840" s="282">
        <v>303023</v>
      </c>
      <c r="D2840" s="301" t="s">
        <v>38</v>
      </c>
      <c r="H2840" s="43"/>
    </row>
    <row r="2841" spans="1:22">
      <c r="B2841" s="283">
        <v>8003</v>
      </c>
      <c r="C2841" s="282">
        <v>303032</v>
      </c>
      <c r="D2841" s="301" t="s">
        <v>38</v>
      </c>
      <c r="H2841" s="43"/>
    </row>
    <row r="2842" spans="1:22">
      <c r="B2842" s="283">
        <v>8003</v>
      </c>
      <c r="C2842" s="282">
        <v>303033</v>
      </c>
      <c r="D2842" s="301" t="s">
        <v>38</v>
      </c>
      <c r="H2842" s="43"/>
    </row>
    <row r="2843" spans="1:22">
      <c r="B2843" s="283">
        <v>8003</v>
      </c>
      <c r="C2843" s="282">
        <v>303042</v>
      </c>
      <c r="D2843" s="301" t="s">
        <v>38</v>
      </c>
    </row>
    <row r="2844" spans="1:22">
      <c r="B2844" s="283">
        <v>8003</v>
      </c>
      <c r="C2844" s="282">
        <v>303043</v>
      </c>
      <c r="D2844" s="301" t="s">
        <v>38</v>
      </c>
    </row>
    <row r="2845" spans="1:22">
      <c r="B2845" s="283">
        <v>8003</v>
      </c>
      <c r="C2845" s="282">
        <v>303052</v>
      </c>
      <c r="D2845" s="301" t="s">
        <v>38</v>
      </c>
    </row>
    <row r="2846" spans="1:22">
      <c r="B2846" s="283">
        <v>8003</v>
      </c>
      <c r="C2846" s="282">
        <v>303053</v>
      </c>
      <c r="D2846" s="301" t="s">
        <v>38</v>
      </c>
    </row>
    <row r="2847" spans="1:22">
      <c r="B2847" s="283">
        <v>8003</v>
      </c>
      <c r="C2847" s="282">
        <v>303062</v>
      </c>
      <c r="D2847" s="301" t="s">
        <v>38</v>
      </c>
    </row>
    <row r="2848" spans="1:22">
      <c r="B2848" s="283">
        <v>8003</v>
      </c>
      <c r="C2848" s="282">
        <v>303063</v>
      </c>
      <c r="D2848" s="301" t="s">
        <v>38</v>
      </c>
    </row>
    <row r="2849" spans="2:4">
      <c r="B2849" s="283">
        <v>8003</v>
      </c>
      <c r="C2849" s="282">
        <v>303072</v>
      </c>
      <c r="D2849" s="301" t="s">
        <v>38</v>
      </c>
    </row>
    <row r="2850" spans="2:4">
      <c r="B2850" s="283">
        <v>8003</v>
      </c>
      <c r="C2850" s="282">
        <v>303073</v>
      </c>
      <c r="D2850" s="301" t="s">
        <v>38</v>
      </c>
    </row>
    <row r="2851" spans="2:4">
      <c r="B2851" s="283">
        <v>8003</v>
      </c>
      <c r="C2851" s="282">
        <v>303082</v>
      </c>
      <c r="D2851" s="301" t="s">
        <v>38</v>
      </c>
    </row>
    <row r="2852" spans="2:4">
      <c r="B2852" s="283">
        <v>8003</v>
      </c>
      <c r="C2852" s="282">
        <v>303083</v>
      </c>
      <c r="D2852" s="301" t="s">
        <v>38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596</v>
      </c>
      <c r="D1" t="s">
        <v>597</v>
      </c>
    </row>
    <row r="2" spans="1:9">
      <c r="A2" t="s">
        <v>49</v>
      </c>
      <c r="C2" t="s">
        <v>598</v>
      </c>
      <c r="D2" t="s">
        <v>599</v>
      </c>
    </row>
    <row r="3" spans="1:9">
      <c r="A3" t="s">
        <v>64</v>
      </c>
      <c r="B3" t="s">
        <v>65</v>
      </c>
      <c r="C3" t="s">
        <v>65</v>
      </c>
      <c r="D3" t="s">
        <v>65</v>
      </c>
    </row>
    <row r="4" spans="1:9">
      <c r="A4" t="s">
        <v>67</v>
      </c>
      <c r="B4" t="s">
        <v>68</v>
      </c>
      <c r="C4" t="s">
        <v>68</v>
      </c>
      <c r="D4" t="s">
        <v>68</v>
      </c>
    </row>
    <row r="5" spans="1:9">
      <c r="B5">
        <v>1064</v>
      </c>
      <c r="C5" s="73">
        <v>100002</v>
      </c>
      <c r="D5" s="73">
        <v>1</v>
      </c>
      <c r="E5" t="s">
        <v>600</v>
      </c>
    </row>
    <row r="6" spans="1:9">
      <c r="B6">
        <v>1064</v>
      </c>
      <c r="C6" s="139">
        <v>303011</v>
      </c>
      <c r="D6" s="139">
        <v>15000</v>
      </c>
      <c r="E6" t="s">
        <v>601</v>
      </c>
      <c r="H6">
        <v>1064</v>
      </c>
      <c r="I6" t="s">
        <v>602</v>
      </c>
    </row>
    <row r="7" spans="1:9">
      <c r="B7">
        <v>1064</v>
      </c>
      <c r="C7" s="139">
        <v>303021</v>
      </c>
      <c r="D7" s="139">
        <v>15000</v>
      </c>
      <c r="H7" t="s">
        <v>603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604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605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606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607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608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609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610</v>
      </c>
    </row>
    <row r="15" spans="1:9">
      <c r="B15">
        <v>1064</v>
      </c>
      <c r="C15" s="139">
        <v>304007</v>
      </c>
      <c r="D15" s="139">
        <v>15000</v>
      </c>
      <c r="E15" t="s">
        <v>610</v>
      </c>
    </row>
    <row r="16" spans="1:9">
      <c r="B16">
        <v>1064</v>
      </c>
      <c r="C16" s="135">
        <v>303012</v>
      </c>
      <c r="D16" s="135">
        <v>75000</v>
      </c>
      <c r="E16" t="s">
        <v>611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612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613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614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615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616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617</v>
      </c>
    </row>
    <row r="57" spans="2:5">
      <c r="B57">
        <v>1064</v>
      </c>
      <c r="C57">
        <v>302006</v>
      </c>
      <c r="D57">
        <v>50000</v>
      </c>
      <c r="E57" t="s">
        <v>617</v>
      </c>
    </row>
    <row r="58" spans="2:5">
      <c r="B58">
        <v>1064</v>
      </c>
      <c r="C58">
        <v>302007</v>
      </c>
      <c r="D58">
        <v>50000</v>
      </c>
      <c r="E58" t="s">
        <v>617</v>
      </c>
    </row>
    <row r="59" spans="2:5">
      <c r="B59">
        <v>1064</v>
      </c>
      <c r="C59">
        <v>302008</v>
      </c>
      <c r="D59">
        <v>50000</v>
      </c>
      <c r="E59" t="s">
        <v>617</v>
      </c>
    </row>
    <row r="60" spans="2:5">
      <c r="B60">
        <v>1064</v>
      </c>
      <c r="C60">
        <v>302009</v>
      </c>
      <c r="D60">
        <v>50000</v>
      </c>
      <c r="E60" t="s">
        <v>617</v>
      </c>
    </row>
    <row r="61" spans="2:5">
      <c r="B61">
        <v>1064</v>
      </c>
      <c r="C61">
        <v>302010</v>
      </c>
      <c r="D61">
        <v>50000</v>
      </c>
      <c r="E61" t="s">
        <v>617</v>
      </c>
    </row>
    <row r="62" spans="2:5">
      <c r="B62">
        <v>1064</v>
      </c>
      <c r="C62">
        <v>302011</v>
      </c>
      <c r="D62">
        <v>50000</v>
      </c>
      <c r="E62" t="s">
        <v>617</v>
      </c>
    </row>
    <row r="63" spans="2:5">
      <c r="B63">
        <v>1064</v>
      </c>
      <c r="C63">
        <v>302012</v>
      </c>
      <c r="D63">
        <v>50000</v>
      </c>
      <c r="E63" t="s">
        <v>617</v>
      </c>
    </row>
  </sheetData>
  <phoneticPr fontId="4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3068" activePane="bottomRight" state="frozen"/>
      <selection pane="topRight"/>
      <selection pane="bottomLeft"/>
      <selection pane="bottomRight" activeCell="M3073" sqref="M3073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596</v>
      </c>
      <c r="D1" t="s">
        <v>618</v>
      </c>
      <c r="E1" t="s">
        <v>619</v>
      </c>
      <c r="F1" t="s">
        <v>597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90</v>
      </c>
      <c r="AF1" t="s">
        <v>738</v>
      </c>
      <c r="AG1" t="s">
        <v>739</v>
      </c>
      <c r="AH1" t="s">
        <v>2</v>
      </c>
      <c r="AI1" t="s">
        <v>740</v>
      </c>
      <c r="AJ1" t="s">
        <v>741</v>
      </c>
      <c r="AK1" t="s">
        <v>742</v>
      </c>
      <c r="AL1" t="s">
        <v>743</v>
      </c>
      <c r="AM1" t="s">
        <v>744</v>
      </c>
      <c r="AN1" t="s">
        <v>745</v>
      </c>
      <c r="AO1" t="s">
        <v>746</v>
      </c>
      <c r="AP1" t="s">
        <v>747</v>
      </c>
      <c r="AQ1" t="s">
        <v>748</v>
      </c>
      <c r="AR1" t="s">
        <v>749</v>
      </c>
      <c r="AS1" t="s">
        <v>750</v>
      </c>
      <c r="AT1" t="s">
        <v>751</v>
      </c>
      <c r="AU1" t="s">
        <v>752</v>
      </c>
      <c r="AV1" s="30" t="s">
        <v>753</v>
      </c>
    </row>
    <row r="2" spans="1:48" ht="30" customHeight="1">
      <c r="A2" t="s">
        <v>49</v>
      </c>
      <c r="C2" t="s">
        <v>598</v>
      </c>
      <c r="D2" t="s">
        <v>620</v>
      </c>
      <c r="E2" t="s">
        <v>621</v>
      </c>
      <c r="F2" t="s">
        <v>622</v>
      </c>
      <c r="W2" t="s">
        <v>49</v>
      </c>
      <c r="Y2" t="s">
        <v>97</v>
      </c>
      <c r="AB2" t="s">
        <v>51</v>
      </c>
      <c r="AC2" s="9"/>
      <c r="AE2" t="s">
        <v>96</v>
      </c>
      <c r="AF2" t="s">
        <v>754</v>
      </c>
      <c r="AG2" t="s">
        <v>755</v>
      </c>
      <c r="AH2" t="s">
        <v>756</v>
      </c>
      <c r="AI2" t="s">
        <v>757</v>
      </c>
      <c r="AJ2" t="s">
        <v>758</v>
      </c>
      <c r="AK2" t="s">
        <v>759</v>
      </c>
      <c r="AL2" t="s">
        <v>760</v>
      </c>
      <c r="AM2" t="s">
        <v>761</v>
      </c>
      <c r="AP2" t="s">
        <v>762</v>
      </c>
      <c r="AR2" t="s">
        <v>763</v>
      </c>
      <c r="AS2" t="s">
        <v>764</v>
      </c>
      <c r="AT2" t="s">
        <v>765</v>
      </c>
      <c r="AU2" t="s">
        <v>766</v>
      </c>
      <c r="AV2" s="30" t="s">
        <v>767</v>
      </c>
    </row>
    <row r="3" spans="1:48" ht="30" customHeight="1">
      <c r="A3" t="s">
        <v>64</v>
      </c>
      <c r="B3" t="s">
        <v>65</v>
      </c>
      <c r="C3" t="s">
        <v>65</v>
      </c>
      <c r="D3" t="s">
        <v>65</v>
      </c>
      <c r="E3" t="s">
        <v>65</v>
      </c>
      <c r="F3" t="s">
        <v>65</v>
      </c>
      <c r="W3" t="s">
        <v>64</v>
      </c>
      <c r="X3" t="s">
        <v>65</v>
      </c>
      <c r="Y3" t="s">
        <v>66</v>
      </c>
      <c r="Z3" t="s">
        <v>66</v>
      </c>
      <c r="AA3" t="s">
        <v>66</v>
      </c>
      <c r="AB3" t="s">
        <v>66</v>
      </c>
      <c r="AC3" s="9" t="s">
        <v>66</v>
      </c>
      <c r="AD3" t="s">
        <v>66</v>
      </c>
      <c r="AE3" t="s">
        <v>66</v>
      </c>
      <c r="AF3" t="s">
        <v>66</v>
      </c>
      <c r="AG3" t="s">
        <v>65</v>
      </c>
      <c r="AH3" t="s">
        <v>65</v>
      </c>
      <c r="AI3" t="s">
        <v>65</v>
      </c>
      <c r="AJ3" t="s">
        <v>66</v>
      </c>
      <c r="AK3" t="s">
        <v>65</v>
      </c>
      <c r="AL3" t="s">
        <v>66</v>
      </c>
      <c r="AM3" t="s">
        <v>65</v>
      </c>
      <c r="AP3" t="s">
        <v>66</v>
      </c>
      <c r="AR3" t="s">
        <v>65</v>
      </c>
      <c r="AS3" t="s">
        <v>65</v>
      </c>
      <c r="AT3" t="s">
        <v>65</v>
      </c>
      <c r="AU3" t="s">
        <v>65</v>
      </c>
      <c r="AV3" s="30" t="s">
        <v>66</v>
      </c>
    </row>
    <row r="4" spans="1:48" ht="30" customHeight="1">
      <c r="A4" t="s">
        <v>67</v>
      </c>
      <c r="B4" t="s">
        <v>68</v>
      </c>
      <c r="C4" t="s">
        <v>68</v>
      </c>
      <c r="D4" t="s">
        <v>68</v>
      </c>
      <c r="E4" t="s">
        <v>68</v>
      </c>
      <c r="F4" t="s">
        <v>68</v>
      </c>
      <c r="W4" t="s">
        <v>67</v>
      </c>
      <c r="AC4" s="9"/>
      <c r="AU4" t="s">
        <v>68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652</v>
      </c>
      <c r="H5">
        <f>E5/SUM($E$5:$E$36)</f>
        <v>7.4999999999999997E-2</v>
      </c>
      <c r="J5">
        <v>1440</v>
      </c>
      <c r="M5" t="str">
        <f>VLOOKUP(C5,X:Y,2,FALSE)</f>
        <v>手工曲奇</v>
      </c>
      <c r="X5">
        <v>300001</v>
      </c>
      <c r="Y5" s="10" t="s">
        <v>768</v>
      </c>
      <c r="AB5" t="s">
        <v>769</v>
      </c>
      <c r="AC5" s="9"/>
      <c r="AE5" t="s">
        <v>770</v>
      </c>
      <c r="AG5">
        <v>1</v>
      </c>
      <c r="AL5" t="s">
        <v>771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f t="shared" ref="H6:H36" si="0">E6/SUM($E$5:$E$36)</f>
        <v>7.4999999999999997E-2</v>
      </c>
      <c r="M6" t="str">
        <f t="shared" ref="M6:M69" si="1">VLOOKUP(C6,X:Y,2,FALSE)</f>
        <v>怀旧掌机</v>
      </c>
      <c r="X6">
        <v>300002</v>
      </c>
      <c r="Y6" t="s">
        <v>772</v>
      </c>
      <c r="AB6" t="s">
        <v>772</v>
      </c>
      <c r="AC6" s="9"/>
      <c r="AE6" t="s">
        <v>770</v>
      </c>
      <c r="AG6">
        <v>1</v>
      </c>
      <c r="AL6" t="s">
        <v>773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f t="shared" si="0"/>
        <v>7.4999999999999997E-2</v>
      </c>
      <c r="M7" t="str">
        <f t="shared" si="1"/>
        <v>简易美术品</v>
      </c>
      <c r="X7">
        <v>300003</v>
      </c>
      <c r="Y7" t="s">
        <v>774</v>
      </c>
      <c r="AB7" t="s">
        <v>774</v>
      </c>
      <c r="AC7" s="9"/>
      <c r="AE7" t="s">
        <v>775</v>
      </c>
      <c r="AG7">
        <v>1</v>
      </c>
      <c r="AL7" t="s">
        <v>773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f t="shared" si="0"/>
        <v>7.4999999999999997E-2</v>
      </c>
      <c r="M8" t="str">
        <f t="shared" si="1"/>
        <v>美味果酒</v>
      </c>
      <c r="X8">
        <v>300004</v>
      </c>
      <c r="Y8" t="s">
        <v>776</v>
      </c>
      <c r="AB8" t="s">
        <v>777</v>
      </c>
      <c r="AC8" s="9"/>
      <c r="AE8" t="s">
        <v>778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f t="shared" si="0"/>
        <v>7.4999999999999997E-2</v>
      </c>
      <c r="M9" t="str">
        <f t="shared" si="1"/>
        <v>普通的碎钻</v>
      </c>
      <c r="X9">
        <v>300005</v>
      </c>
      <c r="Y9" t="s">
        <v>779</v>
      </c>
      <c r="Z9" t="s">
        <v>780</v>
      </c>
      <c r="AA9" s="11" t="s">
        <v>781</v>
      </c>
      <c r="AB9" t="s">
        <v>782</v>
      </c>
      <c r="AC9" s="9" t="s">
        <v>783</v>
      </c>
      <c r="AD9" s="11" t="s">
        <v>784</v>
      </c>
      <c r="AE9" t="s">
        <v>775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f t="shared" si="0"/>
        <v>7.4999999999999997E-2</v>
      </c>
      <c r="M10" t="str">
        <f t="shared" si="1"/>
        <v>熊公仔</v>
      </c>
      <c r="X10">
        <v>301001</v>
      </c>
      <c r="Y10" t="s">
        <v>785</v>
      </c>
      <c r="Z10" s="12" t="s">
        <v>786</v>
      </c>
      <c r="AA10" s="11" t="s">
        <v>787</v>
      </c>
      <c r="AB10" t="s">
        <v>788</v>
      </c>
      <c r="AC10" s="9" t="s">
        <v>789</v>
      </c>
      <c r="AD10" s="11" t="s">
        <v>790</v>
      </c>
      <c r="AE10" t="s">
        <v>775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f t="shared" si="0"/>
        <v>7.4999999999999997E-2</v>
      </c>
      <c r="M11" t="str">
        <f t="shared" si="1"/>
        <v>同人小册子</v>
      </c>
      <c r="X11" s="8">
        <v>302001</v>
      </c>
      <c r="Y11" s="8" t="s">
        <v>791</v>
      </c>
      <c r="Z11" s="8" t="s">
        <v>792</v>
      </c>
      <c r="AA11" s="13" t="s">
        <v>793</v>
      </c>
      <c r="AB11" s="8" t="s">
        <v>794</v>
      </c>
      <c r="AC11" s="14" t="s">
        <v>795</v>
      </c>
      <c r="AD11" s="15" t="s">
        <v>796</v>
      </c>
      <c r="AE11" t="s">
        <v>797</v>
      </c>
      <c r="AF11" t="s">
        <v>798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f t="shared" si="0"/>
        <v>7.4999999999999997E-2</v>
      </c>
      <c r="M12" t="str">
        <f t="shared" si="1"/>
        <v>朴素的小裙子</v>
      </c>
      <c r="X12">
        <v>302002</v>
      </c>
      <c r="Y12" s="8" t="s">
        <v>590</v>
      </c>
      <c r="Z12" s="8" t="s">
        <v>592</v>
      </c>
      <c r="AA12" s="13" t="s">
        <v>593</v>
      </c>
      <c r="AB12" s="8" t="s">
        <v>799</v>
      </c>
      <c r="AC12" s="14" t="s">
        <v>800</v>
      </c>
      <c r="AD12" s="13" t="s">
        <v>801</v>
      </c>
      <c r="AE12" t="s">
        <v>589</v>
      </c>
      <c r="AF12" t="s">
        <v>802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f t="shared" si="0"/>
        <v>1.2500000000000001E-2</v>
      </c>
      <c r="J13">
        <v>240</v>
      </c>
      <c r="M13" t="str">
        <f t="shared" si="1"/>
        <v>蓝罐曲奇</v>
      </c>
      <c r="X13">
        <v>302003</v>
      </c>
      <c r="Y13" s="8" t="s">
        <v>803</v>
      </c>
      <c r="Z13" s="8" t="s">
        <v>804</v>
      </c>
      <c r="AA13" s="13" t="s">
        <v>805</v>
      </c>
      <c r="AB13" s="8" t="s">
        <v>806</v>
      </c>
      <c r="AC13" s="14" t="s">
        <v>807</v>
      </c>
      <c r="AD13" s="13" t="s">
        <v>808</v>
      </c>
      <c r="AE13" t="s">
        <v>809</v>
      </c>
      <c r="AF13" t="s">
        <v>810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f t="shared" si="0"/>
        <v>1.2500000000000001E-2</v>
      </c>
      <c r="M14" t="str">
        <f t="shared" si="1"/>
        <v>Twitch掌机</v>
      </c>
      <c r="X14">
        <v>302004</v>
      </c>
      <c r="Y14" s="8" t="s">
        <v>811</v>
      </c>
      <c r="Z14" s="8" t="s">
        <v>812</v>
      </c>
      <c r="AA14" s="13" t="s">
        <v>813</v>
      </c>
      <c r="AB14" s="8" t="s">
        <v>814</v>
      </c>
      <c r="AC14" s="16" t="s">
        <v>815</v>
      </c>
      <c r="AD14" s="13" t="s">
        <v>816</v>
      </c>
      <c r="AE14" t="s">
        <v>817</v>
      </c>
      <c r="AF14" t="s">
        <v>818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f t="shared" si="0"/>
        <v>1.2500000000000001E-2</v>
      </c>
      <c r="M15" t="str">
        <f t="shared" si="1"/>
        <v>精美挂画</v>
      </c>
      <c r="X15">
        <v>302005</v>
      </c>
      <c r="Y15" s="8" t="s">
        <v>819</v>
      </c>
      <c r="Z15" s="8" t="s">
        <v>820</v>
      </c>
      <c r="AA15" s="13" t="s">
        <v>821</v>
      </c>
      <c r="AB15" s="8" t="s">
        <v>822</v>
      </c>
      <c r="AC15" s="17" t="s">
        <v>823</v>
      </c>
      <c r="AD15" s="13" t="s">
        <v>824</v>
      </c>
      <c r="AE15" t="s">
        <v>825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f t="shared" si="0"/>
        <v>1.2500000000000001E-2</v>
      </c>
      <c r="M16" t="str">
        <f t="shared" si="1"/>
        <v>香醇红酒</v>
      </c>
      <c r="X16" s="3">
        <v>302006</v>
      </c>
      <c r="Y16" s="18" t="s">
        <v>826</v>
      </c>
      <c r="Z16" s="8" t="s">
        <v>827</v>
      </c>
      <c r="AA16" s="13" t="s">
        <v>828</v>
      </c>
      <c r="AB16" s="8" t="s">
        <v>829</v>
      </c>
      <c r="AC16" s="17" t="s">
        <v>823</v>
      </c>
      <c r="AD16" s="13" t="s">
        <v>830</v>
      </c>
      <c r="AE16" t="s">
        <v>831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f t="shared" si="0"/>
        <v>1.2500000000000001E-2</v>
      </c>
      <c r="M17" t="str">
        <f t="shared" si="1"/>
        <v>鸽子蛋宝石</v>
      </c>
      <c r="X17">
        <v>302007</v>
      </c>
      <c r="Y17" s="8" t="s">
        <v>832</v>
      </c>
      <c r="Z17" s="8" t="s">
        <v>833</v>
      </c>
      <c r="AA17" s="13" t="s">
        <v>834</v>
      </c>
      <c r="AB17" s="8" t="s">
        <v>835</v>
      </c>
      <c r="AC17" s="17" t="s">
        <v>823</v>
      </c>
      <c r="AD17" s="13" t="s">
        <v>836</v>
      </c>
      <c r="AE17" t="s">
        <v>837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f t="shared" si="0"/>
        <v>1.2500000000000001E-2</v>
      </c>
      <c r="M18" t="str">
        <f t="shared" si="1"/>
        <v>熊公仔L</v>
      </c>
      <c r="X18" s="3">
        <v>302008</v>
      </c>
      <c r="Y18" s="18" t="s">
        <v>838</v>
      </c>
      <c r="Z18" s="8" t="s">
        <v>839</v>
      </c>
      <c r="AA18" s="13" t="s">
        <v>840</v>
      </c>
      <c r="AB18" s="8" t="s">
        <v>841</v>
      </c>
      <c r="AC18" s="17" t="s">
        <v>823</v>
      </c>
      <c r="AD18" s="13" t="s">
        <v>842</v>
      </c>
      <c r="AE18" t="s">
        <v>843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f t="shared" si="0"/>
        <v>1.2500000000000001E-2</v>
      </c>
      <c r="M19" t="str">
        <f t="shared" si="1"/>
        <v>简装同人志</v>
      </c>
      <c r="X19" s="3">
        <v>302009</v>
      </c>
      <c r="Y19" s="19" t="s">
        <v>844</v>
      </c>
      <c r="Z19" s="8" t="s">
        <v>845</v>
      </c>
      <c r="AA19" s="13" t="s">
        <v>846</v>
      </c>
      <c r="AB19" s="8" t="s">
        <v>847</v>
      </c>
      <c r="AC19" s="17" t="s">
        <v>823</v>
      </c>
      <c r="AD19" s="13" t="s">
        <v>848</v>
      </c>
      <c r="AE19" t="s">
        <v>849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f t="shared" si="0"/>
        <v>1.2500000000000001E-2</v>
      </c>
      <c r="M20" t="str">
        <f t="shared" si="1"/>
        <v>普通的小裙子</v>
      </c>
      <c r="X20">
        <v>302010</v>
      </c>
      <c r="Y20" s="20" t="s">
        <v>850</v>
      </c>
      <c r="Z20" s="8" t="s">
        <v>851</v>
      </c>
      <c r="AA20" s="13" t="s">
        <v>852</v>
      </c>
      <c r="AB20" s="8" t="s">
        <v>853</v>
      </c>
      <c r="AC20" s="17" t="s">
        <v>823</v>
      </c>
      <c r="AD20" s="13" t="s">
        <v>854</v>
      </c>
      <c r="AE20" t="s">
        <v>855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f t="shared" si="0"/>
        <v>0</v>
      </c>
      <c r="M21" t="str">
        <f t="shared" si="1"/>
        <v>香喷喷曲奇</v>
      </c>
      <c r="X21">
        <v>302011</v>
      </c>
      <c r="Y21" s="8" t="s">
        <v>856</v>
      </c>
      <c r="Z21" s="8" t="s">
        <v>857</v>
      </c>
      <c r="AA21" s="13" t="s">
        <v>858</v>
      </c>
      <c r="AB21" s="8" t="s">
        <v>859</v>
      </c>
      <c r="AC21" s="17" t="s">
        <v>823</v>
      </c>
      <c r="AD21" s="13" t="s">
        <v>860</v>
      </c>
      <c r="AE21" t="s">
        <v>861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f t="shared" si="0"/>
        <v>0</v>
      </c>
      <c r="M22" t="str">
        <f t="shared" si="1"/>
        <v>次世代游戏机</v>
      </c>
      <c r="X22" s="3">
        <v>302012</v>
      </c>
      <c r="Y22" s="18" t="s">
        <v>862</v>
      </c>
      <c r="Z22" s="8" t="s">
        <v>863</v>
      </c>
      <c r="AA22" s="13" t="s">
        <v>864</v>
      </c>
      <c r="AB22" s="8" t="s">
        <v>865</v>
      </c>
      <c r="AC22" s="17" t="s">
        <v>823</v>
      </c>
      <c r="AD22" s="13" t="s">
        <v>866</v>
      </c>
      <c r="AE22" t="s">
        <v>867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f t="shared" si="0"/>
        <v>0</v>
      </c>
      <c r="M23" t="str">
        <f t="shared" si="1"/>
        <v>经典名画</v>
      </c>
      <c r="X23">
        <v>302013</v>
      </c>
      <c r="Y23" s="8" t="s">
        <v>868</v>
      </c>
      <c r="Z23" s="8" t="s">
        <v>869</v>
      </c>
      <c r="AA23" s="13" t="s">
        <v>870</v>
      </c>
      <c r="AB23" s="8" t="s">
        <v>871</v>
      </c>
      <c r="AC23" s="14" t="s">
        <v>872</v>
      </c>
      <c r="AD23" s="13" t="s">
        <v>873</v>
      </c>
      <c r="AE23" t="s">
        <v>874</v>
      </c>
      <c r="AG23">
        <v>1</v>
      </c>
      <c r="AL23" t="s">
        <v>875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f t="shared" si="0"/>
        <v>0</v>
      </c>
      <c r="M24" t="str">
        <f t="shared" si="1"/>
        <v>82年的拉菲</v>
      </c>
      <c r="X24">
        <v>302014</v>
      </c>
      <c r="Y24" s="8" t="s">
        <v>876</v>
      </c>
      <c r="Z24" s="8" t="s">
        <v>877</v>
      </c>
      <c r="AA24" s="13" t="s">
        <v>878</v>
      </c>
      <c r="AB24" s="8" t="s">
        <v>879</v>
      </c>
      <c r="AC24" s="14" t="s">
        <v>880</v>
      </c>
      <c r="AD24" s="13" t="s">
        <v>881</v>
      </c>
      <c r="AE24" t="s">
        <v>882</v>
      </c>
      <c r="AF24" t="s">
        <v>883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f t="shared" si="0"/>
        <v>0</v>
      </c>
      <c r="M25" t="str">
        <f t="shared" si="1"/>
        <v>海洋之心</v>
      </c>
      <c r="X25">
        <v>302015</v>
      </c>
      <c r="Y25" s="8" t="s">
        <v>884</v>
      </c>
      <c r="Z25" t="s">
        <v>885</v>
      </c>
      <c r="AA25" t="s">
        <v>886</v>
      </c>
      <c r="AB25" s="8" t="s">
        <v>887</v>
      </c>
      <c r="AC25" s="21" t="s">
        <v>888</v>
      </c>
      <c r="AD25" s="22" t="s">
        <v>889</v>
      </c>
      <c r="AE25" t="s">
        <v>890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f t="shared" si="0"/>
        <v>0</v>
      </c>
      <c r="M26" t="str">
        <f t="shared" si="1"/>
        <v>熊公仔XXL</v>
      </c>
      <c r="X26">
        <v>303011</v>
      </c>
      <c r="Y26" s="8" t="s">
        <v>891</v>
      </c>
      <c r="Z26" s="8" t="s">
        <v>892</v>
      </c>
      <c r="AA26" s="13" t="s">
        <v>893</v>
      </c>
      <c r="AB26" s="8" t="s">
        <v>894</v>
      </c>
      <c r="AC26" s="14" t="s">
        <v>895</v>
      </c>
      <c r="AD26" s="13" t="s">
        <v>896</v>
      </c>
      <c r="AE26" t="s">
        <v>897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f t="shared" si="0"/>
        <v>0</v>
      </c>
      <c r="M27" t="str">
        <f t="shared" si="1"/>
        <v>精美同人志</v>
      </c>
      <c r="X27">
        <v>303012</v>
      </c>
      <c r="Y27" s="8" t="s">
        <v>898</v>
      </c>
      <c r="Z27" s="8" t="s">
        <v>899</v>
      </c>
      <c r="AA27" s="13" t="s">
        <v>900</v>
      </c>
      <c r="AB27" s="8" t="s">
        <v>901</v>
      </c>
      <c r="AC27" s="14" t="s">
        <v>902</v>
      </c>
      <c r="AD27" s="13" t="s">
        <v>903</v>
      </c>
      <c r="AE27" t="s">
        <v>904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f t="shared" si="0"/>
        <v>0</v>
      </c>
      <c r="M28" t="str">
        <f t="shared" si="1"/>
        <v>华丽的小裙子</v>
      </c>
      <c r="X28">
        <v>303013</v>
      </c>
      <c r="Y28" s="8" t="s">
        <v>905</v>
      </c>
      <c r="Z28" s="8" t="s">
        <v>906</v>
      </c>
      <c r="AA28" s="13" t="s">
        <v>907</v>
      </c>
      <c r="AB28" s="8" t="s">
        <v>908</v>
      </c>
      <c r="AC28" s="14" t="s">
        <v>909</v>
      </c>
      <c r="AD28" s="13" t="s">
        <v>910</v>
      </c>
      <c r="AE28" t="s">
        <v>911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f t="shared" si="0"/>
        <v>3.7499999999999999E-2</v>
      </c>
      <c r="J29">
        <v>720</v>
      </c>
      <c r="M29" t="str">
        <f t="shared" si="1"/>
        <v>勇气宝玉</v>
      </c>
      <c r="X29">
        <v>303021</v>
      </c>
      <c r="Y29" s="8" t="s">
        <v>912</v>
      </c>
      <c r="Z29" s="8" t="s">
        <v>913</v>
      </c>
      <c r="AA29" s="13" t="s">
        <v>914</v>
      </c>
      <c r="AB29" s="8" t="s">
        <v>915</v>
      </c>
      <c r="AC29" s="14" t="s">
        <v>916</v>
      </c>
      <c r="AD29" s="13" t="s">
        <v>917</v>
      </c>
      <c r="AE29" t="s">
        <v>918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f t="shared" si="0"/>
        <v>3.7499999999999999E-2</v>
      </c>
      <c r="M30" t="str">
        <f t="shared" si="1"/>
        <v>意志宝玉</v>
      </c>
      <c r="X30">
        <v>303022</v>
      </c>
      <c r="Y30" s="8" t="s">
        <v>919</v>
      </c>
      <c r="Z30" s="8" t="s">
        <v>920</v>
      </c>
      <c r="AA30" s="23" t="s">
        <v>921</v>
      </c>
      <c r="AB30" s="8" t="s">
        <v>922</v>
      </c>
      <c r="AC30" s="14" t="s">
        <v>923</v>
      </c>
      <c r="AD30" s="13" t="s">
        <v>924</v>
      </c>
      <c r="AE30" t="s">
        <v>925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f t="shared" si="0"/>
        <v>3.7499999999999999E-2</v>
      </c>
      <c r="M31" t="str">
        <f t="shared" si="1"/>
        <v>诚实宝玉</v>
      </c>
      <c r="X31">
        <v>303023</v>
      </c>
      <c r="Y31" s="8" t="s">
        <v>926</v>
      </c>
      <c r="Z31" s="8" t="s">
        <v>927</v>
      </c>
      <c r="AA31" s="13" t="s">
        <v>928</v>
      </c>
      <c r="AB31" s="8" t="s">
        <v>929</v>
      </c>
      <c r="AC31" s="14" t="s">
        <v>930</v>
      </c>
      <c r="AD31" s="13" t="s">
        <v>931</v>
      </c>
      <c r="AE31" t="s">
        <v>932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f t="shared" si="0"/>
        <v>3.7499999999999999E-2</v>
      </c>
      <c r="M32" t="str">
        <f t="shared" si="1"/>
        <v>慈爱宝玉</v>
      </c>
      <c r="X32">
        <v>303031</v>
      </c>
      <c r="Y32" s="8" t="s">
        <v>933</v>
      </c>
      <c r="Z32" s="8" t="s">
        <v>934</v>
      </c>
      <c r="AA32" s="13" t="s">
        <v>935</v>
      </c>
      <c r="AB32" s="8" t="s">
        <v>936</v>
      </c>
      <c r="AC32" s="14" t="s">
        <v>937</v>
      </c>
      <c r="AD32" s="13" t="s">
        <v>938</v>
      </c>
      <c r="AE32" t="s">
        <v>939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f t="shared" si="0"/>
        <v>3.7499999999999999E-2</v>
      </c>
      <c r="M33" t="str">
        <f t="shared" si="1"/>
        <v>智慧宝玉</v>
      </c>
      <c r="X33">
        <v>303032</v>
      </c>
      <c r="Y33" s="8" t="s">
        <v>940</v>
      </c>
      <c r="Z33" s="8" t="s">
        <v>941</v>
      </c>
      <c r="AA33" s="13" t="s">
        <v>942</v>
      </c>
      <c r="AB33" s="8" t="s">
        <v>943</v>
      </c>
      <c r="AC33" s="14" t="s">
        <v>944</v>
      </c>
      <c r="AD33" s="13" t="s">
        <v>945</v>
      </c>
      <c r="AE33" t="s">
        <v>946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f t="shared" si="0"/>
        <v>3.7499999999999999E-2</v>
      </c>
      <c r="M34" t="str">
        <f t="shared" si="1"/>
        <v>纯真宝玉</v>
      </c>
      <c r="X34">
        <v>303033</v>
      </c>
      <c r="Y34" s="8" t="s">
        <v>947</v>
      </c>
      <c r="Z34" s="8" t="s">
        <v>948</v>
      </c>
      <c r="AA34" s="13" t="s">
        <v>949</v>
      </c>
      <c r="AB34" s="8" t="s">
        <v>950</v>
      </c>
      <c r="AC34" s="14" t="s">
        <v>951</v>
      </c>
      <c r="AD34" s="13" t="s">
        <v>952</v>
      </c>
      <c r="AE34" t="s">
        <v>953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f t="shared" si="0"/>
        <v>3.7499999999999999E-2</v>
      </c>
      <c r="M35" t="str">
        <f t="shared" si="1"/>
        <v>希望宝玉</v>
      </c>
      <c r="X35">
        <v>303041</v>
      </c>
      <c r="Y35" s="8" t="s">
        <v>954</v>
      </c>
      <c r="Z35" s="24" t="s">
        <v>955</v>
      </c>
      <c r="AA35" s="8" t="s">
        <v>956</v>
      </c>
      <c r="AB35" s="8" t="s">
        <v>957</v>
      </c>
      <c r="AC35" s="14" t="s">
        <v>958</v>
      </c>
      <c r="AD35" s="8" t="s">
        <v>959</v>
      </c>
      <c r="AE35" t="s">
        <v>960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f t="shared" si="0"/>
        <v>3.7499999999999999E-2</v>
      </c>
      <c r="M36" t="str">
        <f t="shared" si="1"/>
        <v>光明宝玉</v>
      </c>
      <c r="X36">
        <v>303042</v>
      </c>
      <c r="Y36" s="8" t="s">
        <v>961</v>
      </c>
      <c r="Z36" s="25" t="s">
        <v>962</v>
      </c>
      <c r="AA36" s="8" t="s">
        <v>963</v>
      </c>
      <c r="AB36" s="8" t="s">
        <v>964</v>
      </c>
      <c r="AC36" s="14" t="s">
        <v>965</v>
      </c>
      <c r="AD36" s="8" t="s">
        <v>966</v>
      </c>
      <c r="AE36" t="s">
        <v>967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653</v>
      </c>
      <c r="H37">
        <f>E37/SUM($E$37:$E$68)</f>
        <v>0.05</v>
      </c>
      <c r="M37" t="str">
        <f t="shared" si="1"/>
        <v>手工曲奇</v>
      </c>
      <c r="X37">
        <v>303043</v>
      </c>
      <c r="Y37" s="8" t="s">
        <v>968</v>
      </c>
      <c r="Z37" s="25" t="s">
        <v>969</v>
      </c>
      <c r="AA37" s="8" t="s">
        <v>970</v>
      </c>
      <c r="AB37" s="8" t="s">
        <v>971</v>
      </c>
      <c r="AC37" s="14" t="s">
        <v>972</v>
      </c>
      <c r="AD37" s="8" t="s">
        <v>973</v>
      </c>
      <c r="AE37" t="s">
        <v>974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f t="shared" ref="H38:H68" si="2">E38/SUM($E$37:$E$68)</f>
        <v>0.05</v>
      </c>
      <c r="M38" t="str">
        <f t="shared" si="1"/>
        <v>怀旧掌机</v>
      </c>
      <c r="X38">
        <v>303051</v>
      </c>
      <c r="Y38" s="8" t="s">
        <v>975</v>
      </c>
      <c r="Z38" s="8" t="s">
        <v>976</v>
      </c>
      <c r="AA38" s="13" t="s">
        <v>977</v>
      </c>
      <c r="AB38" s="8" t="s">
        <v>978</v>
      </c>
      <c r="AC38" s="14" t="s">
        <v>979</v>
      </c>
      <c r="AD38" s="13" t="s">
        <v>980</v>
      </c>
      <c r="AE38" t="s">
        <v>981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f t="shared" si="2"/>
        <v>0.05</v>
      </c>
      <c r="M39" t="str">
        <f t="shared" si="1"/>
        <v>简易美术品</v>
      </c>
      <c r="X39">
        <v>303052</v>
      </c>
      <c r="Y39" s="8" t="s">
        <v>982</v>
      </c>
      <c r="Z39" s="8" t="s">
        <v>983</v>
      </c>
      <c r="AA39" s="13" t="s">
        <v>984</v>
      </c>
      <c r="AB39" s="8" t="s">
        <v>985</v>
      </c>
      <c r="AC39" s="14" t="s">
        <v>986</v>
      </c>
      <c r="AD39" s="13" t="s">
        <v>987</v>
      </c>
      <c r="AE39" t="s">
        <v>988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f t="shared" si="2"/>
        <v>0.05</v>
      </c>
      <c r="M40" t="str">
        <f t="shared" si="1"/>
        <v>美味果酒</v>
      </c>
      <c r="X40">
        <v>303053</v>
      </c>
      <c r="Y40" s="8" t="s">
        <v>989</v>
      </c>
      <c r="Z40" s="8" t="s">
        <v>990</v>
      </c>
      <c r="AA40" s="13" t="s">
        <v>991</v>
      </c>
      <c r="AB40" s="8" t="s">
        <v>992</v>
      </c>
      <c r="AC40" s="14" t="s">
        <v>993</v>
      </c>
      <c r="AD40" s="13" t="s">
        <v>994</v>
      </c>
      <c r="AE40" t="s">
        <v>995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f t="shared" si="2"/>
        <v>0.05</v>
      </c>
      <c r="M41" t="str">
        <f t="shared" si="1"/>
        <v>普通的碎钻</v>
      </c>
      <c r="X41">
        <v>303061</v>
      </c>
      <c r="Y41" s="8" t="s">
        <v>996</v>
      </c>
      <c r="Z41" s="26" t="s">
        <v>997</v>
      </c>
      <c r="AA41" s="13" t="s">
        <v>998</v>
      </c>
      <c r="AB41" s="8" t="s">
        <v>999</v>
      </c>
      <c r="AC41" s="14" t="s">
        <v>1000</v>
      </c>
      <c r="AD41" s="13" t="s">
        <v>1001</v>
      </c>
      <c r="AE41" t="s">
        <v>1002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f t="shared" si="2"/>
        <v>0.05</v>
      </c>
      <c r="M42" t="str">
        <f t="shared" si="1"/>
        <v>熊公仔</v>
      </c>
      <c r="X42">
        <v>303062</v>
      </c>
      <c r="Y42" s="8" t="s">
        <v>1003</v>
      </c>
      <c r="Z42" s="26" t="s">
        <v>1004</v>
      </c>
      <c r="AA42" s="13" t="s">
        <v>1005</v>
      </c>
      <c r="AB42" s="8" t="s">
        <v>1006</v>
      </c>
      <c r="AC42" s="14" t="s">
        <v>1007</v>
      </c>
      <c r="AD42" s="13" t="s">
        <v>1008</v>
      </c>
      <c r="AE42" t="s">
        <v>1009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f t="shared" si="2"/>
        <v>0.05</v>
      </c>
      <c r="M43" t="str">
        <f t="shared" si="1"/>
        <v>同人小册子</v>
      </c>
      <c r="X43">
        <v>303063</v>
      </c>
      <c r="Y43" s="8" t="s">
        <v>1010</v>
      </c>
      <c r="Z43" s="26" t="s">
        <v>1011</v>
      </c>
      <c r="AA43" s="13" t="s">
        <v>1012</v>
      </c>
      <c r="AB43" s="8" t="s">
        <v>1013</v>
      </c>
      <c r="AC43" s="14" t="s">
        <v>1014</v>
      </c>
      <c r="AD43" s="13" t="s">
        <v>1015</v>
      </c>
      <c r="AE43" t="s">
        <v>1016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f t="shared" si="2"/>
        <v>0.05</v>
      </c>
      <c r="M44" t="str">
        <f t="shared" si="1"/>
        <v>朴素的小裙子</v>
      </c>
      <c r="X44">
        <v>303071</v>
      </c>
      <c r="Y44" s="8" t="s">
        <v>1017</v>
      </c>
      <c r="Z44" s="8" t="s">
        <v>1018</v>
      </c>
      <c r="AA44" s="13" t="s">
        <v>1019</v>
      </c>
      <c r="AB44" s="8" t="s">
        <v>1020</v>
      </c>
      <c r="AC44" s="14" t="s">
        <v>1021</v>
      </c>
      <c r="AD44" s="13" t="s">
        <v>1022</v>
      </c>
      <c r="AE44" t="s">
        <v>1023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f t="shared" si="2"/>
        <v>2.5000000000000001E-2</v>
      </c>
      <c r="M45" t="str">
        <f t="shared" si="1"/>
        <v>蓝罐曲奇</v>
      </c>
      <c r="X45">
        <v>303072</v>
      </c>
      <c r="Y45" s="8" t="s">
        <v>1024</v>
      </c>
      <c r="Z45" s="8" t="s">
        <v>1025</v>
      </c>
      <c r="AA45" s="13" t="s">
        <v>1026</v>
      </c>
      <c r="AB45" s="8" t="s">
        <v>1027</v>
      </c>
      <c r="AC45" s="14" t="s">
        <v>1028</v>
      </c>
      <c r="AD45" s="13" t="s">
        <v>1029</v>
      </c>
      <c r="AE45" t="s">
        <v>1030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f t="shared" si="2"/>
        <v>2.5000000000000001E-2</v>
      </c>
      <c r="M46" t="str">
        <f t="shared" si="1"/>
        <v>Twitch掌机</v>
      </c>
      <c r="X46">
        <v>303073</v>
      </c>
      <c r="Y46" s="8" t="s">
        <v>1031</v>
      </c>
      <c r="Z46" s="8" t="s">
        <v>1032</v>
      </c>
      <c r="AA46" s="13" t="s">
        <v>1033</v>
      </c>
      <c r="AB46" s="8" t="s">
        <v>1034</v>
      </c>
      <c r="AC46" s="14" t="s">
        <v>1035</v>
      </c>
      <c r="AD46" s="13" t="s">
        <v>1036</v>
      </c>
      <c r="AE46" t="s">
        <v>1037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f t="shared" si="2"/>
        <v>2.5000000000000001E-2</v>
      </c>
      <c r="M47" t="str">
        <f t="shared" si="1"/>
        <v>精美挂画</v>
      </c>
      <c r="X47">
        <v>303081</v>
      </c>
      <c r="Y47" s="8" t="s">
        <v>1038</v>
      </c>
      <c r="Z47" s="8" t="s">
        <v>1039</v>
      </c>
      <c r="AA47" s="13" t="s">
        <v>1040</v>
      </c>
      <c r="AB47" s="8" t="s">
        <v>1041</v>
      </c>
      <c r="AC47" s="14" t="s">
        <v>1042</v>
      </c>
      <c r="AD47" s="13" t="s">
        <v>1043</v>
      </c>
      <c r="AE47" t="s">
        <v>1044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f t="shared" si="2"/>
        <v>2.5000000000000001E-2</v>
      </c>
      <c r="M48" t="str">
        <f t="shared" si="1"/>
        <v>香醇红酒</v>
      </c>
      <c r="X48">
        <v>303082</v>
      </c>
      <c r="Y48" s="8" t="s">
        <v>1045</v>
      </c>
      <c r="Z48" s="8" t="s">
        <v>1046</v>
      </c>
      <c r="AA48" s="13" t="s">
        <v>1047</v>
      </c>
      <c r="AB48" s="8" t="s">
        <v>1048</v>
      </c>
      <c r="AC48" s="14" t="s">
        <v>1049</v>
      </c>
      <c r="AD48" s="13" t="s">
        <v>1050</v>
      </c>
      <c r="AE48" t="s">
        <v>1051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f t="shared" si="2"/>
        <v>2.5000000000000001E-2</v>
      </c>
      <c r="M49" t="str">
        <f t="shared" si="1"/>
        <v>鸽子蛋宝石</v>
      </c>
      <c r="X49">
        <v>303083</v>
      </c>
      <c r="Y49" s="8" t="s">
        <v>1052</v>
      </c>
      <c r="Z49" s="8" t="s">
        <v>1053</v>
      </c>
      <c r="AA49" s="27" t="s">
        <v>1054</v>
      </c>
      <c r="AB49" s="8" t="s">
        <v>1055</v>
      </c>
      <c r="AC49" s="14" t="s">
        <v>1056</v>
      </c>
      <c r="AD49" s="27" t="s">
        <v>1057</v>
      </c>
      <c r="AE49" t="s">
        <v>1058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f t="shared" si="2"/>
        <v>2.5000000000000001E-2</v>
      </c>
      <c r="M50" t="str">
        <f t="shared" si="1"/>
        <v>熊公仔L</v>
      </c>
      <c r="X50">
        <v>303991</v>
      </c>
      <c r="Y50" s="8" t="s">
        <v>1059</v>
      </c>
      <c r="Z50" s="8" t="s">
        <v>1060</v>
      </c>
      <c r="AA50" s="28" t="s">
        <v>1061</v>
      </c>
      <c r="AB50" s="8" t="s">
        <v>1062</v>
      </c>
      <c r="AC50" s="14" t="s">
        <v>1063</v>
      </c>
      <c r="AD50" s="27" t="s">
        <v>1064</v>
      </c>
      <c r="AE50" t="s">
        <v>1065</v>
      </c>
      <c r="AF50" t="s">
        <v>1066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f t="shared" si="2"/>
        <v>2.5000000000000001E-2</v>
      </c>
      <c r="M51" t="str">
        <f t="shared" si="1"/>
        <v>简装同人志</v>
      </c>
      <c r="X51">
        <v>303992</v>
      </c>
      <c r="Y51" s="8" t="s">
        <v>1067</v>
      </c>
      <c r="Z51" s="8" t="s">
        <v>1068</v>
      </c>
      <c r="AA51" s="28" t="s">
        <v>1069</v>
      </c>
      <c r="AB51" s="8" t="s">
        <v>1070</v>
      </c>
      <c r="AC51" s="14" t="s">
        <v>1063</v>
      </c>
      <c r="AD51" s="27" t="s">
        <v>1071</v>
      </c>
      <c r="AE51" t="s">
        <v>1072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f t="shared" si="2"/>
        <v>2.5000000000000001E-2</v>
      </c>
      <c r="M52" t="str">
        <f t="shared" si="1"/>
        <v>普通的小裙子</v>
      </c>
      <c r="X52">
        <v>303112</v>
      </c>
      <c r="Y52" s="8" t="s">
        <v>898</v>
      </c>
      <c r="Z52" s="8" t="s">
        <v>899</v>
      </c>
      <c r="AA52" s="13" t="s">
        <v>900</v>
      </c>
      <c r="AB52" s="8" t="s">
        <v>1073</v>
      </c>
      <c r="AC52" s="14" t="s">
        <v>1074</v>
      </c>
      <c r="AD52" s="13" t="s">
        <v>1075</v>
      </c>
      <c r="AE52" t="s">
        <v>1076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f t="shared" si="2"/>
        <v>0</v>
      </c>
      <c r="M53" t="str">
        <f t="shared" si="1"/>
        <v>香喷喷曲奇</v>
      </c>
      <c r="X53">
        <v>303113</v>
      </c>
      <c r="Y53" s="8" t="s">
        <v>905</v>
      </c>
      <c r="Z53" s="8" t="s">
        <v>906</v>
      </c>
      <c r="AA53" s="13" t="s">
        <v>907</v>
      </c>
      <c r="AB53" s="8" t="s">
        <v>1077</v>
      </c>
      <c r="AC53" s="14" t="s">
        <v>1078</v>
      </c>
      <c r="AD53" s="13" t="s">
        <v>1079</v>
      </c>
      <c r="AE53" t="s">
        <v>1080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f t="shared" si="2"/>
        <v>0</v>
      </c>
      <c r="M54" t="str">
        <f t="shared" si="1"/>
        <v>次世代游戏机</v>
      </c>
      <c r="X54">
        <v>303122</v>
      </c>
      <c r="Y54" s="8" t="s">
        <v>919</v>
      </c>
      <c r="Z54" s="8" t="s">
        <v>920</v>
      </c>
      <c r="AA54" s="23" t="s">
        <v>921</v>
      </c>
      <c r="AB54" s="8" t="s">
        <v>1081</v>
      </c>
      <c r="AC54" s="14" t="s">
        <v>1082</v>
      </c>
      <c r="AD54" s="13" t="s">
        <v>1083</v>
      </c>
      <c r="AE54" t="s">
        <v>1084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f t="shared" si="2"/>
        <v>0</v>
      </c>
      <c r="M55" t="str">
        <f t="shared" si="1"/>
        <v>经典名画</v>
      </c>
      <c r="X55">
        <v>303123</v>
      </c>
      <c r="Y55" s="8" t="s">
        <v>926</v>
      </c>
      <c r="Z55" s="8" t="s">
        <v>927</v>
      </c>
      <c r="AA55" s="13" t="s">
        <v>928</v>
      </c>
      <c r="AB55" s="8" t="s">
        <v>1085</v>
      </c>
      <c r="AC55" s="14" t="s">
        <v>1086</v>
      </c>
      <c r="AD55" s="13" t="s">
        <v>1087</v>
      </c>
      <c r="AE55" t="s">
        <v>1088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f t="shared" si="2"/>
        <v>0</v>
      </c>
      <c r="M56" t="str">
        <f t="shared" si="1"/>
        <v>82年的拉菲</v>
      </c>
      <c r="X56">
        <v>303132</v>
      </c>
      <c r="Y56" s="8" t="s">
        <v>940</v>
      </c>
      <c r="Z56" s="8" t="s">
        <v>941</v>
      </c>
      <c r="AA56" s="13" t="s">
        <v>942</v>
      </c>
      <c r="AB56" s="8" t="s">
        <v>1089</v>
      </c>
      <c r="AC56" s="14" t="s">
        <v>1090</v>
      </c>
      <c r="AD56" s="13" t="s">
        <v>1091</v>
      </c>
      <c r="AE56" t="s">
        <v>1092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f t="shared" si="2"/>
        <v>0</v>
      </c>
      <c r="M57" t="str">
        <f t="shared" si="1"/>
        <v>海洋之心</v>
      </c>
      <c r="X57">
        <v>303133</v>
      </c>
      <c r="Y57" s="8" t="s">
        <v>947</v>
      </c>
      <c r="Z57" s="8" t="s">
        <v>948</v>
      </c>
      <c r="AA57" s="13" t="s">
        <v>949</v>
      </c>
      <c r="AB57" s="8" t="s">
        <v>1093</v>
      </c>
      <c r="AC57" s="14" t="s">
        <v>1094</v>
      </c>
      <c r="AD57" s="13" t="s">
        <v>1095</v>
      </c>
      <c r="AE57" t="s">
        <v>1096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f t="shared" si="2"/>
        <v>0</v>
      </c>
      <c r="M58" t="str">
        <f t="shared" si="1"/>
        <v>熊公仔XXL</v>
      </c>
      <c r="X58">
        <v>303142</v>
      </c>
      <c r="Y58" s="8" t="s">
        <v>961</v>
      </c>
      <c r="Z58" s="25" t="s">
        <v>962</v>
      </c>
      <c r="AA58" s="8" t="s">
        <v>963</v>
      </c>
      <c r="AB58" s="8" t="s">
        <v>1097</v>
      </c>
      <c r="AC58" s="14" t="s">
        <v>1098</v>
      </c>
      <c r="AD58" s="8" t="s">
        <v>1099</v>
      </c>
      <c r="AE58" t="s">
        <v>1100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f t="shared" si="2"/>
        <v>0</v>
      </c>
      <c r="M59" t="str">
        <f t="shared" si="1"/>
        <v>精美同人志</v>
      </c>
      <c r="X59">
        <v>303143</v>
      </c>
      <c r="Y59" s="8" t="s">
        <v>968</v>
      </c>
      <c r="Z59" s="25" t="s">
        <v>969</v>
      </c>
      <c r="AA59" s="8" t="s">
        <v>970</v>
      </c>
      <c r="AB59" s="8" t="s">
        <v>1101</v>
      </c>
      <c r="AC59" s="14" t="s">
        <v>1102</v>
      </c>
      <c r="AD59" s="8" t="s">
        <v>1099</v>
      </c>
      <c r="AE59" t="s">
        <v>1103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f t="shared" si="2"/>
        <v>0</v>
      </c>
      <c r="M60" t="str">
        <f t="shared" si="1"/>
        <v>华丽的小裙子</v>
      </c>
      <c r="X60">
        <v>303152</v>
      </c>
      <c r="Y60" s="8" t="s">
        <v>982</v>
      </c>
      <c r="Z60" s="8" t="s">
        <v>983</v>
      </c>
      <c r="AA60" s="13" t="s">
        <v>984</v>
      </c>
      <c r="AB60" s="8" t="s">
        <v>1104</v>
      </c>
      <c r="AC60" s="14" t="s">
        <v>1105</v>
      </c>
      <c r="AD60" s="13" t="s">
        <v>1106</v>
      </c>
      <c r="AE60" t="s">
        <v>1107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f t="shared" si="2"/>
        <v>0.05</v>
      </c>
      <c r="M61" t="str">
        <f t="shared" si="1"/>
        <v>勇气宝玉</v>
      </c>
      <c r="X61">
        <v>303153</v>
      </c>
      <c r="Y61" s="8" t="s">
        <v>989</v>
      </c>
      <c r="Z61" s="8" t="s">
        <v>990</v>
      </c>
      <c r="AA61" s="13" t="s">
        <v>991</v>
      </c>
      <c r="AB61" s="8" t="s">
        <v>1108</v>
      </c>
      <c r="AC61" s="14" t="s">
        <v>1109</v>
      </c>
      <c r="AD61" s="13" t="s">
        <v>1110</v>
      </c>
      <c r="AE61" t="s">
        <v>1111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f t="shared" si="2"/>
        <v>0.05</v>
      </c>
      <c r="M62" t="str">
        <f t="shared" si="1"/>
        <v>意志宝玉</v>
      </c>
      <c r="X62">
        <v>303162</v>
      </c>
      <c r="Y62" s="8" t="s">
        <v>1003</v>
      </c>
      <c r="Z62" s="26" t="s">
        <v>1004</v>
      </c>
      <c r="AA62" s="13" t="s">
        <v>1005</v>
      </c>
      <c r="AB62" s="8" t="s">
        <v>1112</v>
      </c>
      <c r="AC62" s="14" t="s">
        <v>1113</v>
      </c>
      <c r="AD62" s="13" t="s">
        <v>1114</v>
      </c>
      <c r="AE62" t="s">
        <v>1115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f t="shared" si="2"/>
        <v>0.05</v>
      </c>
      <c r="M63" t="str">
        <f t="shared" si="1"/>
        <v>诚实宝玉</v>
      </c>
      <c r="X63">
        <v>303163</v>
      </c>
      <c r="Y63" s="8" t="s">
        <v>1010</v>
      </c>
      <c r="Z63" s="26" t="s">
        <v>1011</v>
      </c>
      <c r="AA63" s="13" t="s">
        <v>1012</v>
      </c>
      <c r="AB63" s="8" t="s">
        <v>1116</v>
      </c>
      <c r="AC63" s="14" t="s">
        <v>1117</v>
      </c>
      <c r="AD63" s="13" t="s">
        <v>1118</v>
      </c>
      <c r="AE63" t="s">
        <v>1119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f t="shared" si="2"/>
        <v>0.05</v>
      </c>
      <c r="M64" t="str">
        <f t="shared" si="1"/>
        <v>慈爱宝玉</v>
      </c>
      <c r="X64">
        <v>303172</v>
      </c>
      <c r="Y64" s="8" t="s">
        <v>1024</v>
      </c>
      <c r="Z64" s="8" t="s">
        <v>1025</v>
      </c>
      <c r="AA64" s="13" t="s">
        <v>1026</v>
      </c>
      <c r="AB64" s="8" t="s">
        <v>1120</v>
      </c>
      <c r="AC64" s="14" t="s">
        <v>1121</v>
      </c>
      <c r="AD64" s="13" t="s">
        <v>1122</v>
      </c>
      <c r="AE64" t="s">
        <v>1123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f t="shared" si="2"/>
        <v>0.05</v>
      </c>
      <c r="M65" t="str">
        <f t="shared" si="1"/>
        <v>智慧宝玉</v>
      </c>
      <c r="X65">
        <v>303173</v>
      </c>
      <c r="Y65" s="8" t="s">
        <v>1031</v>
      </c>
      <c r="Z65" s="8" t="s">
        <v>1032</v>
      </c>
      <c r="AA65" s="13" t="s">
        <v>1033</v>
      </c>
      <c r="AB65" s="8" t="s">
        <v>1124</v>
      </c>
      <c r="AC65" s="14" t="s">
        <v>1125</v>
      </c>
      <c r="AD65" s="13" t="s">
        <v>1126</v>
      </c>
      <c r="AE65" t="s">
        <v>1127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f t="shared" si="2"/>
        <v>0.05</v>
      </c>
      <c r="M66" t="str">
        <f t="shared" si="1"/>
        <v>纯真宝玉</v>
      </c>
      <c r="X66">
        <v>303182</v>
      </c>
      <c r="Y66" s="8" t="s">
        <v>1045</v>
      </c>
      <c r="Z66" s="8" t="s">
        <v>1046</v>
      </c>
      <c r="AA66" s="13" t="s">
        <v>1047</v>
      </c>
      <c r="AB66" s="8" t="s">
        <v>1128</v>
      </c>
      <c r="AC66" s="14" t="s">
        <v>1129</v>
      </c>
      <c r="AD66" s="13" t="s">
        <v>1130</v>
      </c>
      <c r="AE66" t="s">
        <v>1131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f t="shared" si="2"/>
        <v>0.05</v>
      </c>
      <c r="M67" t="str">
        <f t="shared" si="1"/>
        <v>希望宝玉</v>
      </c>
      <c r="X67">
        <v>303183</v>
      </c>
      <c r="Y67" s="8" t="s">
        <v>1052</v>
      </c>
      <c r="Z67" s="8" t="s">
        <v>1053</v>
      </c>
      <c r="AA67" s="27" t="s">
        <v>1054</v>
      </c>
      <c r="AB67" s="8" t="s">
        <v>1132</v>
      </c>
      <c r="AC67" s="14" t="s">
        <v>1133</v>
      </c>
      <c r="AD67" s="27" t="s">
        <v>1134</v>
      </c>
      <c r="AE67" t="s">
        <v>1135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f t="shared" si="2"/>
        <v>0.05</v>
      </c>
      <c r="M68" t="str">
        <f t="shared" si="1"/>
        <v>光明宝玉</v>
      </c>
      <c r="X68">
        <v>304001</v>
      </c>
      <c r="Y68" s="8" t="s">
        <v>610</v>
      </c>
      <c r="Z68" s="8" t="s">
        <v>1136</v>
      </c>
      <c r="AA68" s="13" t="s">
        <v>1137</v>
      </c>
      <c r="AB68" s="8" t="s">
        <v>1138</v>
      </c>
      <c r="AC68" s="14" t="s">
        <v>1139</v>
      </c>
      <c r="AD68" s="13" t="s">
        <v>1140</v>
      </c>
      <c r="AE68" t="s">
        <v>1141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654</v>
      </c>
      <c r="H69">
        <f>E69/SUM($E$69:$E$100)</f>
        <v>2.5000000000000001E-2</v>
      </c>
      <c r="M69" t="str">
        <f t="shared" si="1"/>
        <v>手工曲奇</v>
      </c>
      <c r="X69">
        <v>304002</v>
      </c>
      <c r="Y69" s="8" t="s">
        <v>644</v>
      </c>
      <c r="Z69" s="8" t="s">
        <v>1142</v>
      </c>
      <c r="AA69" s="13" t="s">
        <v>1143</v>
      </c>
      <c r="AB69" s="8" t="s">
        <v>1144</v>
      </c>
      <c r="AC69" s="14" t="s">
        <v>1145</v>
      </c>
      <c r="AD69" s="13" t="s">
        <v>1146</v>
      </c>
      <c r="AE69" t="s">
        <v>1147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f t="shared" ref="H70:H101" si="3">E70/SUM($E$69:$E$100)</f>
        <v>2.5000000000000001E-2</v>
      </c>
      <c r="M70" t="str">
        <f t="shared" ref="M70:M133" si="4">VLOOKUP(C70,X:Y,2,FALSE)</f>
        <v>怀旧掌机</v>
      </c>
      <c r="X70">
        <v>304003</v>
      </c>
      <c r="Y70" s="8" t="s">
        <v>645</v>
      </c>
      <c r="Z70" s="8" t="s">
        <v>1148</v>
      </c>
      <c r="AA70" s="13" t="s">
        <v>1149</v>
      </c>
      <c r="AB70" s="8" t="s">
        <v>1150</v>
      </c>
      <c r="AC70" s="14" t="s">
        <v>1151</v>
      </c>
      <c r="AD70" s="13" t="s">
        <v>1152</v>
      </c>
      <c r="AE70" t="s">
        <v>1153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f t="shared" si="3"/>
        <v>2.5000000000000001E-2</v>
      </c>
      <c r="M71" t="str">
        <f t="shared" si="4"/>
        <v>简易美术品</v>
      </c>
      <c r="X71">
        <v>304004</v>
      </c>
      <c r="Y71" s="8" t="s">
        <v>1154</v>
      </c>
      <c r="Z71" s="8" t="s">
        <v>1155</v>
      </c>
      <c r="AA71" s="13" t="s">
        <v>1156</v>
      </c>
      <c r="AB71" s="8" t="s">
        <v>1154</v>
      </c>
      <c r="AC71" s="14" t="s">
        <v>1155</v>
      </c>
      <c r="AD71" s="13" t="s">
        <v>1156</v>
      </c>
      <c r="AE71" t="s">
        <v>775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f t="shared" si="3"/>
        <v>2.5000000000000001E-2</v>
      </c>
      <c r="M72" t="str">
        <f t="shared" si="4"/>
        <v>美味果酒</v>
      </c>
      <c r="X72">
        <v>304005</v>
      </c>
      <c r="Y72" s="8" t="s">
        <v>1157</v>
      </c>
      <c r="Z72" t="s">
        <v>1158</v>
      </c>
      <c r="AA72" t="s">
        <v>1159</v>
      </c>
      <c r="AB72" s="8" t="s">
        <v>1160</v>
      </c>
      <c r="AC72" s="35" t="s">
        <v>1161</v>
      </c>
      <c r="AD72" t="s">
        <v>1162</v>
      </c>
      <c r="AE72" t="s">
        <v>1163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f t="shared" si="3"/>
        <v>2.5000000000000001E-2</v>
      </c>
      <c r="M73" t="str">
        <f t="shared" si="4"/>
        <v>普通的碎钻</v>
      </c>
      <c r="X73">
        <v>304006</v>
      </c>
      <c r="Y73" s="8" t="s">
        <v>1164</v>
      </c>
      <c r="Z73" t="s">
        <v>1165</v>
      </c>
      <c r="AA73" t="s">
        <v>1166</v>
      </c>
      <c r="AB73" s="8" t="s">
        <v>1167</v>
      </c>
      <c r="AC73" s="36" t="s">
        <v>1168</v>
      </c>
      <c r="AD73" t="s">
        <v>1169</v>
      </c>
      <c r="AE73" t="s">
        <v>1170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f t="shared" si="3"/>
        <v>2.5000000000000001E-2</v>
      </c>
      <c r="M74" t="str">
        <f t="shared" si="4"/>
        <v>熊公仔</v>
      </c>
      <c r="W74" s="33"/>
      <c r="X74" s="33">
        <v>304007</v>
      </c>
      <c r="Y74" s="37" t="s">
        <v>610</v>
      </c>
      <c r="Z74" s="37" t="s">
        <v>1136</v>
      </c>
      <c r="AA74" s="38" t="s">
        <v>1137</v>
      </c>
      <c r="AB74" s="8" t="s">
        <v>1171</v>
      </c>
      <c r="AC74" s="14" t="s">
        <v>1139</v>
      </c>
      <c r="AD74" s="13" t="s">
        <v>1140</v>
      </c>
      <c r="AE74" t="s">
        <v>1141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f t="shared" si="3"/>
        <v>2.5000000000000001E-2</v>
      </c>
      <c r="M75" t="str">
        <f t="shared" si="4"/>
        <v>同人小册子</v>
      </c>
      <c r="W75" s="33"/>
      <c r="X75" s="33">
        <v>304008</v>
      </c>
      <c r="Y75" s="37" t="s">
        <v>644</v>
      </c>
      <c r="Z75" s="37" t="s">
        <v>1142</v>
      </c>
      <c r="AA75" s="38" t="s">
        <v>1143</v>
      </c>
      <c r="AB75" s="8" t="s">
        <v>1172</v>
      </c>
      <c r="AC75" s="14" t="s">
        <v>1145</v>
      </c>
      <c r="AD75" s="13" t="s">
        <v>1146</v>
      </c>
      <c r="AE75" t="s">
        <v>1147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f t="shared" si="3"/>
        <v>2.5000000000000001E-2</v>
      </c>
      <c r="M76" t="str">
        <f t="shared" si="4"/>
        <v>朴素的小裙子</v>
      </c>
      <c r="W76" s="33"/>
      <c r="X76" s="33">
        <v>304009</v>
      </c>
      <c r="Y76" s="37" t="s">
        <v>645</v>
      </c>
      <c r="Z76" s="37" t="s">
        <v>1148</v>
      </c>
      <c r="AA76" s="38" t="s">
        <v>1149</v>
      </c>
      <c r="AB76" s="8" t="s">
        <v>1173</v>
      </c>
      <c r="AC76" s="14" t="s">
        <v>1151</v>
      </c>
      <c r="AD76" s="13" t="s">
        <v>1152</v>
      </c>
      <c r="AE76" t="s">
        <v>1153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f t="shared" si="3"/>
        <v>3.7499999999999999E-2</v>
      </c>
      <c r="I77">
        <f>SUM(H77:H84)</f>
        <v>0.3</v>
      </c>
      <c r="M77" t="str">
        <f t="shared" si="4"/>
        <v>蓝罐曲奇</v>
      </c>
      <c r="W77" s="4"/>
      <c r="X77" s="4">
        <v>304101</v>
      </c>
      <c r="Y77" s="39" t="s">
        <v>1174</v>
      </c>
      <c r="Z77" t="s">
        <v>1175</v>
      </c>
      <c r="AA77" t="s">
        <v>1176</v>
      </c>
      <c r="AB77" s="39" t="s">
        <v>1177</v>
      </c>
      <c r="AC77" t="s">
        <v>1178</v>
      </c>
      <c r="AD77" t="s">
        <v>1179</v>
      </c>
      <c r="AE77" t="s">
        <v>1180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f t="shared" si="3"/>
        <v>3.7499999999999999E-2</v>
      </c>
      <c r="M78" t="str">
        <f t="shared" si="4"/>
        <v>Twitch掌机</v>
      </c>
      <c r="W78" s="4"/>
      <c r="X78" s="4">
        <v>304102</v>
      </c>
      <c r="Y78" s="39" t="s">
        <v>1181</v>
      </c>
      <c r="Z78" t="s">
        <v>1182</v>
      </c>
      <c r="AA78" t="s">
        <v>1183</v>
      </c>
      <c r="AB78" s="39" t="s">
        <v>1184</v>
      </c>
      <c r="AC78" t="s">
        <v>1185</v>
      </c>
      <c r="AD78" t="s">
        <v>1186</v>
      </c>
      <c r="AE78" t="s">
        <v>1187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f t="shared" si="3"/>
        <v>3.7499999999999999E-2</v>
      </c>
      <c r="M79" t="str">
        <f t="shared" si="4"/>
        <v>精美挂画</v>
      </c>
      <c r="X79">
        <v>305001</v>
      </c>
      <c r="Y79" s="8" t="s">
        <v>176</v>
      </c>
      <c r="Z79" s="8" t="s">
        <v>178</v>
      </c>
      <c r="AA79" s="13" t="s">
        <v>179</v>
      </c>
      <c r="AB79" s="8" t="s">
        <v>1188</v>
      </c>
      <c r="AC79" s="17" t="s">
        <v>1189</v>
      </c>
      <c r="AD79" s="13" t="s">
        <v>1190</v>
      </c>
      <c r="AE79" t="s">
        <v>175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f t="shared" si="3"/>
        <v>3.7499999999999999E-2</v>
      </c>
      <c r="M80" t="str">
        <f t="shared" si="4"/>
        <v>香醇红酒</v>
      </c>
      <c r="X80">
        <v>305002</v>
      </c>
      <c r="Y80" s="8" t="s">
        <v>181</v>
      </c>
      <c r="Z80" s="8" t="s">
        <v>183</v>
      </c>
      <c r="AA80" s="13" t="s">
        <v>184</v>
      </c>
      <c r="AB80" s="8" t="s">
        <v>1191</v>
      </c>
      <c r="AC80" s="17" t="s">
        <v>1189</v>
      </c>
      <c r="AD80" s="13" t="s">
        <v>1192</v>
      </c>
      <c r="AE80" t="s">
        <v>180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f t="shared" si="3"/>
        <v>3.7499999999999999E-2</v>
      </c>
      <c r="M81" t="str">
        <f t="shared" si="4"/>
        <v>鸽子蛋宝石</v>
      </c>
      <c r="X81">
        <v>305003</v>
      </c>
      <c r="Y81" s="8" t="s">
        <v>186</v>
      </c>
      <c r="Z81" s="8" t="s">
        <v>188</v>
      </c>
      <c r="AA81" s="13" t="s">
        <v>189</v>
      </c>
      <c r="AB81" s="8" t="s">
        <v>1193</v>
      </c>
      <c r="AC81" s="17" t="s">
        <v>1189</v>
      </c>
      <c r="AD81" s="13" t="s">
        <v>1194</v>
      </c>
      <c r="AE81" t="s">
        <v>185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f t="shared" si="3"/>
        <v>3.7499999999999999E-2</v>
      </c>
      <c r="M82" t="str">
        <f t="shared" si="4"/>
        <v>熊公仔L</v>
      </c>
      <c r="X82">
        <v>305004</v>
      </c>
      <c r="Y82" s="8" t="s">
        <v>1195</v>
      </c>
      <c r="Z82" s="8" t="s">
        <v>1196</v>
      </c>
      <c r="AA82" s="13" t="s">
        <v>1197</v>
      </c>
      <c r="AB82" s="8" t="s">
        <v>1198</v>
      </c>
      <c r="AC82" s="17" t="s">
        <v>1189</v>
      </c>
      <c r="AD82" s="13" t="s">
        <v>1199</v>
      </c>
      <c r="AE82" t="s">
        <v>1200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f t="shared" si="3"/>
        <v>3.7499999999999999E-2</v>
      </c>
      <c r="M83" t="str">
        <f t="shared" si="4"/>
        <v>简装同人志</v>
      </c>
      <c r="X83">
        <v>305005</v>
      </c>
      <c r="Y83" s="8" t="s">
        <v>1201</v>
      </c>
      <c r="Z83" s="8" t="s">
        <v>1202</v>
      </c>
      <c r="AA83" s="13" t="s">
        <v>1203</v>
      </c>
      <c r="AB83" s="8" t="s">
        <v>1204</v>
      </c>
      <c r="AC83" s="17" t="s">
        <v>1189</v>
      </c>
      <c r="AD83" s="13" t="s">
        <v>1205</v>
      </c>
      <c r="AE83" t="s">
        <v>1206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f t="shared" si="3"/>
        <v>3.7499999999999999E-2</v>
      </c>
      <c r="M84" t="str">
        <f t="shared" si="4"/>
        <v>普通的小裙子</v>
      </c>
      <c r="X84">
        <v>305006</v>
      </c>
      <c r="Y84" s="8" t="s">
        <v>1207</v>
      </c>
      <c r="Z84" s="8" t="s">
        <v>1208</v>
      </c>
      <c r="AA84" s="13" t="s">
        <v>1209</v>
      </c>
      <c r="AB84" s="8" t="s">
        <v>1210</v>
      </c>
      <c r="AC84" s="17" t="s">
        <v>1189</v>
      </c>
      <c r="AD84" s="13" t="s">
        <v>1211</v>
      </c>
      <c r="AE84" t="s">
        <v>1212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f t="shared" si="3"/>
        <v>0</v>
      </c>
      <c r="M85" t="str">
        <f t="shared" si="4"/>
        <v>香喷喷曲奇</v>
      </c>
      <c r="X85">
        <v>305007</v>
      </c>
      <c r="Y85" s="8" t="s">
        <v>1213</v>
      </c>
      <c r="Z85" s="8" t="s">
        <v>148</v>
      </c>
      <c r="AA85" s="13" t="s">
        <v>149</v>
      </c>
      <c r="AB85" s="8" t="s">
        <v>1214</v>
      </c>
      <c r="AC85" s="17" t="s">
        <v>1215</v>
      </c>
      <c r="AD85" s="13" t="s">
        <v>1216</v>
      </c>
      <c r="AE85" t="s">
        <v>146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f t="shared" si="3"/>
        <v>0</v>
      </c>
      <c r="M86" t="str">
        <f t="shared" si="4"/>
        <v>次世代游戏机</v>
      </c>
      <c r="X86">
        <v>305008</v>
      </c>
      <c r="Y86" s="8" t="s">
        <v>1217</v>
      </c>
      <c r="Z86" s="8" t="s">
        <v>153</v>
      </c>
      <c r="AA86" s="13" t="s">
        <v>154</v>
      </c>
      <c r="AB86" s="8" t="s">
        <v>1218</v>
      </c>
      <c r="AC86" s="17" t="s">
        <v>1215</v>
      </c>
      <c r="AD86" s="13" t="s">
        <v>1219</v>
      </c>
      <c r="AE86" t="s">
        <v>150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f t="shared" si="3"/>
        <v>0</v>
      </c>
      <c r="M87" t="str">
        <f t="shared" si="4"/>
        <v>经典名画</v>
      </c>
      <c r="X87">
        <v>305009</v>
      </c>
      <c r="Y87" s="8" t="s">
        <v>1220</v>
      </c>
      <c r="Z87" s="8" t="s">
        <v>158</v>
      </c>
      <c r="AA87" s="13" t="s">
        <v>159</v>
      </c>
      <c r="AB87" s="8" t="s">
        <v>1221</v>
      </c>
      <c r="AC87" s="17" t="s">
        <v>1215</v>
      </c>
      <c r="AD87" s="13" t="s">
        <v>1222</v>
      </c>
      <c r="AE87" t="s">
        <v>155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f t="shared" si="3"/>
        <v>0</v>
      </c>
      <c r="M88" t="str">
        <f t="shared" si="4"/>
        <v>82年的拉菲</v>
      </c>
      <c r="X88">
        <v>305010</v>
      </c>
      <c r="Y88" s="8" t="s">
        <v>1223</v>
      </c>
      <c r="Z88" s="8" t="s">
        <v>127</v>
      </c>
      <c r="AA88" s="13" t="s">
        <v>128</v>
      </c>
      <c r="AB88" s="8" t="s">
        <v>1224</v>
      </c>
      <c r="AC88" s="17" t="s">
        <v>1225</v>
      </c>
      <c r="AD88" s="13" t="s">
        <v>1226</v>
      </c>
      <c r="AE88" t="s">
        <v>124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f t="shared" si="3"/>
        <v>0</v>
      </c>
      <c r="M89" t="str">
        <f t="shared" si="4"/>
        <v>海洋之心</v>
      </c>
      <c r="X89">
        <v>305011</v>
      </c>
      <c r="Y89" s="8" t="s">
        <v>161</v>
      </c>
      <c r="Z89" s="8" t="s">
        <v>163</v>
      </c>
      <c r="AA89" s="13" t="s">
        <v>164</v>
      </c>
      <c r="AB89" s="8" t="s">
        <v>1227</v>
      </c>
      <c r="AC89" s="17" t="s">
        <v>1228</v>
      </c>
      <c r="AD89" s="13" t="s">
        <v>1229</v>
      </c>
      <c r="AE89" t="s">
        <v>160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f t="shared" si="3"/>
        <v>0</v>
      </c>
      <c r="M90" t="str">
        <f t="shared" si="4"/>
        <v>熊公仔XXL</v>
      </c>
      <c r="X90">
        <v>305012</v>
      </c>
      <c r="Y90" t="s">
        <v>1230</v>
      </c>
      <c r="Z90" t="s">
        <v>1231</v>
      </c>
      <c r="AA90" s="11" t="s">
        <v>1232</v>
      </c>
      <c r="AB90" t="s">
        <v>1233</v>
      </c>
      <c r="AC90" s="40" t="s">
        <v>1234</v>
      </c>
      <c r="AD90" s="11" t="s">
        <v>1235</v>
      </c>
      <c r="AE90" t="s">
        <v>1236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f t="shared" si="3"/>
        <v>0</v>
      </c>
      <c r="M91" t="str">
        <f t="shared" si="4"/>
        <v>精美同人志</v>
      </c>
      <c r="X91">
        <v>305013</v>
      </c>
      <c r="Y91" t="s">
        <v>1237</v>
      </c>
      <c r="Z91" t="s">
        <v>1238</v>
      </c>
      <c r="AA91" s="11" t="s">
        <v>1239</v>
      </c>
      <c r="AB91" t="s">
        <v>1233</v>
      </c>
      <c r="AC91" s="40" t="s">
        <v>1234</v>
      </c>
      <c r="AD91" s="11" t="s">
        <v>1235</v>
      </c>
      <c r="AE91" t="s">
        <v>1240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f t="shared" si="3"/>
        <v>0</v>
      </c>
      <c r="M92" t="str">
        <f t="shared" si="4"/>
        <v>华丽的小裙子</v>
      </c>
      <c r="X92">
        <v>305014</v>
      </c>
      <c r="Y92" t="s">
        <v>1241</v>
      </c>
      <c r="Z92" t="s">
        <v>1242</v>
      </c>
      <c r="AA92" s="11" t="s">
        <v>1243</v>
      </c>
      <c r="AB92" t="s">
        <v>1233</v>
      </c>
      <c r="AC92" s="40" t="s">
        <v>1234</v>
      </c>
      <c r="AD92" s="11" t="s">
        <v>1235</v>
      </c>
      <c r="AE92" t="s">
        <v>1244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f t="shared" si="3"/>
        <v>6.25E-2</v>
      </c>
      <c r="I93">
        <f>SUM(H93:H100)</f>
        <v>0.5</v>
      </c>
      <c r="M93" t="str">
        <f t="shared" si="4"/>
        <v>勇气宝玉</v>
      </c>
      <c r="X93">
        <v>305015</v>
      </c>
      <c r="Y93" t="s">
        <v>1245</v>
      </c>
      <c r="Z93" t="s">
        <v>1246</v>
      </c>
      <c r="AA93" s="11" t="s">
        <v>1247</v>
      </c>
      <c r="AB93" t="s">
        <v>1248</v>
      </c>
      <c r="AC93" s="40" t="s">
        <v>1234</v>
      </c>
      <c r="AD93" s="11" t="s">
        <v>1249</v>
      </c>
      <c r="AE93" t="s">
        <v>1250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f t="shared" si="3"/>
        <v>6.25E-2</v>
      </c>
      <c r="M94" t="str">
        <f t="shared" si="4"/>
        <v>意志宝玉</v>
      </c>
      <c r="X94">
        <v>305016</v>
      </c>
      <c r="Y94" t="s">
        <v>1251</v>
      </c>
      <c r="Z94" t="s">
        <v>1252</v>
      </c>
      <c r="AA94" s="11" t="s">
        <v>1253</v>
      </c>
      <c r="AB94" t="s">
        <v>1248</v>
      </c>
      <c r="AC94" s="40" t="s">
        <v>1234</v>
      </c>
      <c r="AD94" s="11" t="s">
        <v>1249</v>
      </c>
      <c r="AE94" t="s">
        <v>1254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f t="shared" si="3"/>
        <v>6.25E-2</v>
      </c>
      <c r="M95" t="str">
        <f t="shared" si="4"/>
        <v>诚实宝玉</v>
      </c>
      <c r="X95">
        <v>305017</v>
      </c>
      <c r="Y95" t="s">
        <v>1255</v>
      </c>
      <c r="Z95" t="s">
        <v>1256</v>
      </c>
      <c r="AA95" s="11" t="s">
        <v>1257</v>
      </c>
      <c r="AB95" t="s">
        <v>1248</v>
      </c>
      <c r="AC95" s="40" t="s">
        <v>1234</v>
      </c>
      <c r="AD95" s="11" t="s">
        <v>1249</v>
      </c>
      <c r="AE95" t="s">
        <v>1258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f t="shared" si="3"/>
        <v>6.25E-2</v>
      </c>
      <c r="M96" t="str">
        <f t="shared" si="4"/>
        <v>慈爱宝玉</v>
      </c>
      <c r="X96">
        <v>305018</v>
      </c>
      <c r="Y96" s="8" t="s">
        <v>191</v>
      </c>
      <c r="Z96" s="8" t="s">
        <v>193</v>
      </c>
      <c r="AA96" s="13" t="s">
        <v>194</v>
      </c>
      <c r="AB96" s="8" t="s">
        <v>1259</v>
      </c>
      <c r="AC96" s="17" t="s">
        <v>1225</v>
      </c>
      <c r="AD96" s="13" t="s">
        <v>1260</v>
      </c>
      <c r="AE96" t="s">
        <v>190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f t="shared" si="3"/>
        <v>6.25E-2</v>
      </c>
      <c r="M97" t="str">
        <f t="shared" si="4"/>
        <v>智慧宝玉</v>
      </c>
      <c r="X97">
        <v>305019</v>
      </c>
      <c r="Y97" s="8" t="s">
        <v>196</v>
      </c>
      <c r="Z97" s="8" t="s">
        <v>197</v>
      </c>
      <c r="AA97" s="13" t="s">
        <v>1261</v>
      </c>
      <c r="AB97" s="8" t="s">
        <v>1262</v>
      </c>
      <c r="AC97" s="17" t="s">
        <v>1225</v>
      </c>
      <c r="AD97" s="13" t="s">
        <v>1263</v>
      </c>
      <c r="AE97" t="s">
        <v>195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f t="shared" si="3"/>
        <v>6.25E-2</v>
      </c>
      <c r="M98" t="str">
        <f t="shared" si="4"/>
        <v>纯真宝玉</v>
      </c>
      <c r="X98">
        <v>305020</v>
      </c>
      <c r="Y98" s="8" t="s">
        <v>1264</v>
      </c>
      <c r="Z98" s="8" t="s">
        <v>1265</v>
      </c>
      <c r="AA98" s="13" t="s">
        <v>1266</v>
      </c>
      <c r="AB98" s="8" t="s">
        <v>1267</v>
      </c>
      <c r="AC98" s="40" t="s">
        <v>1234</v>
      </c>
      <c r="AD98" s="13" t="s">
        <v>1268</v>
      </c>
      <c r="AE98" t="s">
        <v>1269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f t="shared" si="3"/>
        <v>6.25E-2</v>
      </c>
      <c r="M99" t="str">
        <f t="shared" si="4"/>
        <v>希望宝玉</v>
      </c>
      <c r="X99">
        <v>305021</v>
      </c>
      <c r="Y99" s="8" t="s">
        <v>1270</v>
      </c>
      <c r="Z99" s="8" t="s">
        <v>131</v>
      </c>
      <c r="AA99" s="13" t="s">
        <v>132</v>
      </c>
      <c r="AB99" s="8" t="s">
        <v>1271</v>
      </c>
      <c r="AC99" s="17" t="s">
        <v>1225</v>
      </c>
      <c r="AD99" s="13" t="s">
        <v>1272</v>
      </c>
      <c r="AE99" t="s">
        <v>129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f t="shared" si="3"/>
        <v>6.25E-2</v>
      </c>
      <c r="M100" t="str">
        <f t="shared" si="4"/>
        <v>光明宝玉</v>
      </c>
      <c r="X100">
        <v>305022</v>
      </c>
      <c r="Y100" s="8" t="s">
        <v>1273</v>
      </c>
      <c r="Z100" s="8" t="s">
        <v>135</v>
      </c>
      <c r="AA100" s="13" t="s">
        <v>136</v>
      </c>
      <c r="AB100" s="8" t="s">
        <v>1274</v>
      </c>
      <c r="AC100" s="17" t="s">
        <v>1225</v>
      </c>
      <c r="AD100" s="13" t="s">
        <v>1275</v>
      </c>
      <c r="AE100" t="s">
        <v>133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1276</v>
      </c>
      <c r="H101">
        <f t="shared" si="3"/>
        <v>2.5000000000000001E-2</v>
      </c>
      <c r="M101" t="str">
        <f t="shared" si="4"/>
        <v>手工曲奇</v>
      </c>
      <c r="X101">
        <v>305023</v>
      </c>
      <c r="Y101" s="8" t="s">
        <v>1277</v>
      </c>
      <c r="Z101" s="41" t="s">
        <v>139</v>
      </c>
      <c r="AA101" s="13" t="s">
        <v>140</v>
      </c>
      <c r="AB101" s="8" t="s">
        <v>1278</v>
      </c>
      <c r="AC101" s="17" t="s">
        <v>1215</v>
      </c>
      <c r="AD101" s="13" t="s">
        <v>1279</v>
      </c>
      <c r="AE101" t="s">
        <v>137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f t="shared" ref="H102:H132" si="5">E102/SUM($E$69:$E$100)</f>
        <v>2.5000000000000001E-2</v>
      </c>
      <c r="M102" t="str">
        <f t="shared" si="4"/>
        <v>怀旧掌机</v>
      </c>
      <c r="X102">
        <v>305024</v>
      </c>
      <c r="Y102" s="8" t="s">
        <v>1280</v>
      </c>
      <c r="Z102" s="8" t="s">
        <v>210</v>
      </c>
      <c r="AA102" s="13" t="s">
        <v>1281</v>
      </c>
      <c r="AB102" s="8" t="s">
        <v>1282</v>
      </c>
      <c r="AC102" s="40" t="s">
        <v>1234</v>
      </c>
      <c r="AD102" s="13" t="s">
        <v>1283</v>
      </c>
      <c r="AE102" t="s">
        <v>208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f t="shared" si="5"/>
        <v>2.5000000000000001E-2</v>
      </c>
      <c r="M103" t="str">
        <f t="shared" si="4"/>
        <v>简易美术品</v>
      </c>
      <c r="X103">
        <v>305025</v>
      </c>
      <c r="Y103" s="8" t="s">
        <v>200</v>
      </c>
      <c r="Z103" s="8" t="s">
        <v>202</v>
      </c>
      <c r="AA103" s="13" t="s">
        <v>203</v>
      </c>
      <c r="AB103" s="8" t="s">
        <v>1284</v>
      </c>
      <c r="AC103" s="14" t="s">
        <v>1285</v>
      </c>
      <c r="AD103" s="13" t="s">
        <v>1286</v>
      </c>
      <c r="AE103" t="s">
        <v>199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1287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f t="shared" si="5"/>
        <v>2.5000000000000001E-2</v>
      </c>
      <c r="M104" t="str">
        <f t="shared" si="4"/>
        <v>美味果酒</v>
      </c>
      <c r="X104">
        <v>305026</v>
      </c>
      <c r="Y104" s="8" t="s">
        <v>204</v>
      </c>
      <c r="Z104" s="8" t="s">
        <v>206</v>
      </c>
      <c r="AA104" s="13" t="s">
        <v>207</v>
      </c>
      <c r="AB104" s="8" t="s">
        <v>1288</v>
      </c>
      <c r="AC104" s="14" t="s">
        <v>1289</v>
      </c>
      <c r="AD104" s="13" t="s">
        <v>1290</v>
      </c>
      <c r="AE104" t="s">
        <v>199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1291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f t="shared" si="5"/>
        <v>2.5000000000000001E-2</v>
      </c>
      <c r="M105" t="str">
        <f t="shared" si="4"/>
        <v>普通的碎钻</v>
      </c>
      <c r="X105">
        <v>305027</v>
      </c>
      <c r="Y105" s="8" t="s">
        <v>397</v>
      </c>
      <c r="Z105" s="8" t="s">
        <v>168</v>
      </c>
      <c r="AA105" s="13" t="s">
        <v>169</v>
      </c>
      <c r="AB105" s="8" t="s">
        <v>1292</v>
      </c>
      <c r="AC105" s="14" t="s">
        <v>1293</v>
      </c>
      <c r="AD105" s="13" t="s">
        <v>1294</v>
      </c>
      <c r="AE105" t="s">
        <v>165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f t="shared" si="5"/>
        <v>2.5000000000000001E-2</v>
      </c>
      <c r="M106" t="str">
        <f t="shared" si="4"/>
        <v>熊公仔</v>
      </c>
      <c r="X106">
        <v>305028</v>
      </c>
      <c r="Y106" s="8" t="s">
        <v>399</v>
      </c>
      <c r="Z106" s="8" t="s">
        <v>173</v>
      </c>
      <c r="AA106" s="13" t="s">
        <v>174</v>
      </c>
      <c r="AB106" s="8" t="s">
        <v>1295</v>
      </c>
      <c r="AC106" s="14" t="s">
        <v>1293</v>
      </c>
      <c r="AD106" s="13" t="s">
        <v>1296</v>
      </c>
      <c r="AE106" t="s">
        <v>170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f t="shared" si="5"/>
        <v>2.5000000000000001E-2</v>
      </c>
      <c r="M107" t="str">
        <f t="shared" si="4"/>
        <v>同人小册子</v>
      </c>
      <c r="X107">
        <v>305029</v>
      </c>
      <c r="Y107" s="8" t="s">
        <v>385</v>
      </c>
      <c r="Z107" s="8" t="s">
        <v>144</v>
      </c>
      <c r="AA107" s="13" t="s">
        <v>145</v>
      </c>
      <c r="AB107" s="8" t="s">
        <v>1297</v>
      </c>
      <c r="AC107" s="14" t="s">
        <v>1215</v>
      </c>
      <c r="AD107" s="13" t="s">
        <v>1298</v>
      </c>
      <c r="AE107" t="s">
        <v>141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f t="shared" si="5"/>
        <v>2.5000000000000001E-2</v>
      </c>
      <c r="M108" t="str">
        <f t="shared" si="4"/>
        <v>朴素的小裙子</v>
      </c>
      <c r="X108">
        <v>305030</v>
      </c>
      <c r="Y108" s="8" t="s">
        <v>1299</v>
      </c>
      <c r="Z108" s="8" t="s">
        <v>1300</v>
      </c>
      <c r="AA108" s="42" t="s">
        <v>1301</v>
      </c>
      <c r="AB108" s="8" t="s">
        <v>1302</v>
      </c>
      <c r="AC108" s="17" t="s">
        <v>1228</v>
      </c>
      <c r="AD108" s="13" t="s">
        <v>1303</v>
      </c>
      <c r="AE108" t="s">
        <v>1304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f t="shared" si="5"/>
        <v>3.7499999999999999E-2</v>
      </c>
      <c r="I109">
        <f>SUM(H109:H116)</f>
        <v>0.3</v>
      </c>
      <c r="M109" t="str">
        <f t="shared" si="4"/>
        <v>蓝罐曲奇</v>
      </c>
      <c r="X109">
        <v>305031</v>
      </c>
      <c r="Y109" s="8" t="s">
        <v>1305</v>
      </c>
      <c r="Z109" s="8" t="s">
        <v>1306</v>
      </c>
      <c r="AA109" s="42" t="s">
        <v>1307</v>
      </c>
      <c r="AB109" s="8" t="s">
        <v>1308</v>
      </c>
      <c r="AC109" s="17" t="s">
        <v>1228</v>
      </c>
      <c r="AD109" s="13" t="s">
        <v>1309</v>
      </c>
      <c r="AE109" t="s">
        <v>1310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f t="shared" si="5"/>
        <v>3.7499999999999999E-2</v>
      </c>
      <c r="M110" t="str">
        <f t="shared" si="4"/>
        <v>Twitch掌机</v>
      </c>
      <c r="X110">
        <v>305032</v>
      </c>
      <c r="Y110" s="8" t="s">
        <v>213</v>
      </c>
      <c r="Z110" s="43" t="s">
        <v>214</v>
      </c>
      <c r="AA110" s="44" t="s">
        <v>215</v>
      </c>
      <c r="AB110" s="8" t="s">
        <v>1311</v>
      </c>
      <c r="AC110" s="17" t="s">
        <v>1225</v>
      </c>
      <c r="AD110" s="44" t="s">
        <v>1312</v>
      </c>
      <c r="AE110" t="s">
        <v>212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f t="shared" si="5"/>
        <v>3.7499999999999999E-2</v>
      </c>
      <c r="M111" t="str">
        <f t="shared" si="4"/>
        <v>精美挂画</v>
      </c>
      <c r="X111">
        <v>305033</v>
      </c>
      <c r="Y111" s="8" t="s">
        <v>217</v>
      </c>
      <c r="Z111" s="43" t="s">
        <v>219</v>
      </c>
      <c r="AA111" s="44" t="s">
        <v>220</v>
      </c>
      <c r="AB111" s="8" t="s">
        <v>1313</v>
      </c>
      <c r="AC111" s="17" t="s">
        <v>1225</v>
      </c>
      <c r="AD111" s="44" t="s">
        <v>1314</v>
      </c>
      <c r="AE111" t="s">
        <v>216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f t="shared" si="5"/>
        <v>3.7499999999999999E-2</v>
      </c>
      <c r="M112" t="str">
        <f t="shared" si="4"/>
        <v>香醇红酒</v>
      </c>
      <c r="X112">
        <v>305034</v>
      </c>
      <c r="Y112" s="8" t="s">
        <v>222</v>
      </c>
      <c r="Z112" s="43" t="s">
        <v>224</v>
      </c>
      <c r="AA112" s="44" t="s">
        <v>225</v>
      </c>
      <c r="AB112" s="8" t="s">
        <v>1315</v>
      </c>
      <c r="AC112" s="17" t="s">
        <v>1215</v>
      </c>
      <c r="AD112" s="44" t="s">
        <v>1316</v>
      </c>
      <c r="AE112" t="s">
        <v>221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f t="shared" si="5"/>
        <v>3.7499999999999999E-2</v>
      </c>
      <c r="M113" t="str">
        <f t="shared" si="4"/>
        <v>鸽子蛋宝石</v>
      </c>
      <c r="X113">
        <v>305035</v>
      </c>
      <c r="Y113" s="8" t="s">
        <v>227</v>
      </c>
      <c r="Z113" s="43" t="s">
        <v>229</v>
      </c>
      <c r="AA113" s="44" t="s">
        <v>230</v>
      </c>
      <c r="AB113" s="8" t="s">
        <v>1317</v>
      </c>
      <c r="AC113" s="17" t="s">
        <v>1215</v>
      </c>
      <c r="AD113" s="44" t="s">
        <v>1318</v>
      </c>
      <c r="AE113" t="s">
        <v>226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f t="shared" si="5"/>
        <v>3.7499999999999999E-2</v>
      </c>
      <c r="M114" t="str">
        <f t="shared" si="4"/>
        <v>熊公仔L</v>
      </c>
      <c r="X114">
        <v>305036</v>
      </c>
      <c r="Y114" s="8" t="s">
        <v>232</v>
      </c>
      <c r="Z114" s="43" t="s">
        <v>234</v>
      </c>
      <c r="AA114" s="44" t="s">
        <v>235</v>
      </c>
      <c r="AB114" s="8" t="s">
        <v>1319</v>
      </c>
      <c r="AC114" s="17" t="s">
        <v>1215</v>
      </c>
      <c r="AD114" s="44" t="s">
        <v>1320</v>
      </c>
      <c r="AE114" t="s">
        <v>231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f t="shared" si="5"/>
        <v>3.7499999999999999E-2</v>
      </c>
      <c r="M115" t="str">
        <f t="shared" si="4"/>
        <v>简装同人志</v>
      </c>
      <c r="W115" s="34"/>
      <c r="X115" s="34">
        <v>305037</v>
      </c>
      <c r="Y115" s="45" t="s">
        <v>264</v>
      </c>
      <c r="Z115" s="46" t="s">
        <v>265</v>
      </c>
      <c r="AA115" s="47" t="s">
        <v>266</v>
      </c>
      <c r="AB115" s="48" t="s">
        <v>1321</v>
      </c>
      <c r="AC115" s="49" t="s">
        <v>1225</v>
      </c>
      <c r="AD115" s="50" t="s">
        <v>1322</v>
      </c>
      <c r="AE115" s="34" t="s">
        <v>263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f t="shared" si="5"/>
        <v>3.7499999999999999E-2</v>
      </c>
      <c r="M116" t="str">
        <f t="shared" si="4"/>
        <v>普通的小裙子</v>
      </c>
      <c r="W116" s="34"/>
      <c r="X116" s="34">
        <v>305038</v>
      </c>
      <c r="Y116" s="45" t="s">
        <v>268</v>
      </c>
      <c r="Z116" s="46" t="s">
        <v>270</v>
      </c>
      <c r="AA116" s="50" t="s">
        <v>271</v>
      </c>
      <c r="AB116" s="48" t="s">
        <v>1323</v>
      </c>
      <c r="AC116" s="49" t="s">
        <v>1225</v>
      </c>
      <c r="AD116" s="50" t="s">
        <v>1324</v>
      </c>
      <c r="AE116" s="34" t="s">
        <v>267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f t="shared" si="5"/>
        <v>0</v>
      </c>
      <c r="M117" t="str">
        <f t="shared" si="4"/>
        <v>香喷喷曲奇</v>
      </c>
      <c r="W117" s="34"/>
      <c r="X117" s="34">
        <v>305039</v>
      </c>
      <c r="Y117" s="45" t="s">
        <v>273</v>
      </c>
      <c r="Z117" s="46" t="s">
        <v>274</v>
      </c>
      <c r="AA117" s="50" t="s">
        <v>275</v>
      </c>
      <c r="AB117" s="48" t="s">
        <v>1325</v>
      </c>
      <c r="AC117" s="51" t="s">
        <v>1215</v>
      </c>
      <c r="AD117" s="50" t="s">
        <v>1326</v>
      </c>
      <c r="AE117" s="34" t="s">
        <v>272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f t="shared" si="5"/>
        <v>0</v>
      </c>
      <c r="M118" t="str">
        <f t="shared" si="4"/>
        <v>次世代游戏机</v>
      </c>
      <c r="W118" s="34"/>
      <c r="X118" s="34">
        <v>305040</v>
      </c>
      <c r="Y118" s="45" t="s">
        <v>277</v>
      </c>
      <c r="Z118" s="46" t="s">
        <v>279</v>
      </c>
      <c r="AA118" s="50" t="s">
        <v>1327</v>
      </c>
      <c r="AB118" s="48" t="s">
        <v>1328</v>
      </c>
      <c r="AC118" s="51" t="s">
        <v>1215</v>
      </c>
      <c r="AD118" s="50" t="s">
        <v>1329</v>
      </c>
      <c r="AE118" s="34" t="s">
        <v>276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f t="shared" si="5"/>
        <v>0</v>
      </c>
      <c r="M119" t="str">
        <f t="shared" si="4"/>
        <v>经典名画</v>
      </c>
      <c r="W119" s="34"/>
      <c r="X119" s="34">
        <v>305041</v>
      </c>
      <c r="Y119" s="45" t="s">
        <v>282</v>
      </c>
      <c r="Z119" s="46" t="s">
        <v>284</v>
      </c>
      <c r="AA119" s="50" t="s">
        <v>285</v>
      </c>
      <c r="AB119" s="48" t="s">
        <v>1330</v>
      </c>
      <c r="AC119" s="49" t="s">
        <v>1189</v>
      </c>
      <c r="AD119" s="50" t="s">
        <v>1331</v>
      </c>
      <c r="AE119" s="34" t="s">
        <v>281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f t="shared" si="5"/>
        <v>0</v>
      </c>
      <c r="M120" t="str">
        <f t="shared" si="4"/>
        <v>82年的拉菲</v>
      </c>
      <c r="W120" s="34"/>
      <c r="X120" s="34">
        <v>305042</v>
      </c>
      <c r="Y120" s="45" t="s">
        <v>287</v>
      </c>
      <c r="Z120" s="46" t="s">
        <v>289</v>
      </c>
      <c r="AA120" s="50" t="s">
        <v>290</v>
      </c>
      <c r="AB120" s="48" t="s">
        <v>1332</v>
      </c>
      <c r="AC120" s="49" t="s">
        <v>1189</v>
      </c>
      <c r="AD120" s="50" t="s">
        <v>1333</v>
      </c>
      <c r="AE120" s="34" t="s">
        <v>286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f t="shared" si="5"/>
        <v>0</v>
      </c>
      <c r="M121" t="str">
        <f t="shared" si="4"/>
        <v>海洋之心</v>
      </c>
      <c r="W121" s="4"/>
      <c r="X121">
        <v>305044</v>
      </c>
      <c r="Y121" t="s">
        <v>1334</v>
      </c>
      <c r="Z121" s="52" t="s">
        <v>1335</v>
      </c>
      <c r="AA121" t="s">
        <v>1336</v>
      </c>
      <c r="AB121" t="s">
        <v>1233</v>
      </c>
      <c r="AC121" s="40" t="s">
        <v>1234</v>
      </c>
      <c r="AD121" s="11" t="s">
        <v>1235</v>
      </c>
      <c r="AE121" t="s">
        <v>1337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f t="shared" si="5"/>
        <v>0</v>
      </c>
      <c r="M122" t="str">
        <f t="shared" si="4"/>
        <v>熊公仔XXL</v>
      </c>
      <c r="W122" s="4"/>
      <c r="X122">
        <v>305045</v>
      </c>
      <c r="Y122" t="s">
        <v>1338</v>
      </c>
      <c r="Z122" s="52" t="s">
        <v>1339</v>
      </c>
      <c r="AA122" t="s">
        <v>1340</v>
      </c>
      <c r="AB122" t="s">
        <v>1248</v>
      </c>
      <c r="AC122" s="40" t="s">
        <v>1234</v>
      </c>
      <c r="AD122" s="11" t="s">
        <v>1235</v>
      </c>
      <c r="AE122" t="s">
        <v>1341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f t="shared" si="5"/>
        <v>0</v>
      </c>
      <c r="M123" t="str">
        <f t="shared" si="4"/>
        <v>精美同人志</v>
      </c>
      <c r="W123" s="34"/>
      <c r="X123" s="34">
        <v>305046</v>
      </c>
      <c r="Y123" s="45" t="s">
        <v>309</v>
      </c>
      <c r="Z123" s="53" t="s">
        <v>310</v>
      </c>
      <c r="AA123" s="50" t="s">
        <v>311</v>
      </c>
      <c r="AB123" s="45" t="s">
        <v>1342</v>
      </c>
      <c r="AC123" s="46" t="s">
        <v>1234</v>
      </c>
      <c r="AD123" s="50" t="s">
        <v>1343</v>
      </c>
      <c r="AE123" s="34" t="s">
        <v>308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f t="shared" si="5"/>
        <v>0</v>
      </c>
      <c r="M124" t="str">
        <f t="shared" si="4"/>
        <v>华丽的小裙子</v>
      </c>
      <c r="W124" s="34"/>
      <c r="X124" s="34">
        <v>305048</v>
      </c>
      <c r="Y124" s="45" t="s">
        <v>305</v>
      </c>
      <c r="Z124" s="54" t="s">
        <v>306</v>
      </c>
      <c r="AA124" s="55" t="s">
        <v>307</v>
      </c>
      <c r="AB124" s="45" t="s">
        <v>1344</v>
      </c>
      <c r="AC124" s="46" t="s">
        <v>1234</v>
      </c>
      <c r="AD124" s="34" t="s">
        <v>1345</v>
      </c>
      <c r="AE124" s="34" t="s">
        <v>304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f t="shared" si="5"/>
        <v>6.25E-2</v>
      </c>
      <c r="I125">
        <f>SUM(H125:H132)</f>
        <v>0.5</v>
      </c>
      <c r="M125" t="str">
        <f t="shared" si="4"/>
        <v>勇气宝玉</v>
      </c>
      <c r="W125" s="34"/>
      <c r="X125" s="34">
        <v>305049</v>
      </c>
      <c r="Y125" s="45" t="s">
        <v>1346</v>
      </c>
      <c r="Z125" s="56" t="s">
        <v>1347</v>
      </c>
      <c r="AA125" s="56" t="s">
        <v>1348</v>
      </c>
      <c r="AB125" s="45" t="s">
        <v>1349</v>
      </c>
      <c r="AC125" s="56" t="s">
        <v>1189</v>
      </c>
      <c r="AD125" s="56" t="s">
        <v>1350</v>
      </c>
      <c r="AE125" s="34" t="s">
        <v>1351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f t="shared" si="5"/>
        <v>6.25E-2</v>
      </c>
      <c r="M126" t="str">
        <f t="shared" si="4"/>
        <v>意志宝玉</v>
      </c>
      <c r="W126" s="34"/>
      <c r="X126" s="34">
        <v>305050</v>
      </c>
      <c r="Y126" s="45" t="s">
        <v>300</v>
      </c>
      <c r="Z126" s="57" t="s">
        <v>302</v>
      </c>
      <c r="AA126" s="56" t="s">
        <v>303</v>
      </c>
      <c r="AB126" s="45" t="s">
        <v>1352</v>
      </c>
      <c r="AC126" s="58" t="s">
        <v>1353</v>
      </c>
      <c r="AD126" s="59" t="s">
        <v>1354</v>
      </c>
      <c r="AE126" s="34" t="s">
        <v>199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1355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f t="shared" si="5"/>
        <v>6.25E-2</v>
      </c>
      <c r="M127" t="str">
        <f t="shared" si="4"/>
        <v>诚实宝玉</v>
      </c>
      <c r="W127" s="34"/>
      <c r="X127" s="34">
        <v>305051</v>
      </c>
      <c r="Y127" t="s">
        <v>340</v>
      </c>
      <c r="Z127" s="60" t="s">
        <v>342</v>
      </c>
      <c r="AA127" s="61" t="s">
        <v>343</v>
      </c>
      <c r="AB127" s="45" t="s">
        <v>1356</v>
      </c>
      <c r="AC127" s="62" t="s">
        <v>1357</v>
      </c>
      <c r="AD127" s="61" t="s">
        <v>1358</v>
      </c>
      <c r="AE127" s="34" t="s">
        <v>199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1359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f t="shared" si="5"/>
        <v>6.25E-2</v>
      </c>
      <c r="M128" t="str">
        <f t="shared" si="4"/>
        <v>慈爱宝玉</v>
      </c>
      <c r="X128">
        <v>305200</v>
      </c>
      <c r="Y128" s="8" t="s">
        <v>313</v>
      </c>
      <c r="Z128" s="63" t="s">
        <v>315</v>
      </c>
      <c r="AA128" s="64" t="s">
        <v>316</v>
      </c>
      <c r="AB128" s="8" t="s">
        <v>1360</v>
      </c>
      <c r="AC128" s="65" t="s">
        <v>1215</v>
      </c>
      <c r="AD128" s="64" t="s">
        <v>1361</v>
      </c>
      <c r="AE128" t="s">
        <v>312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f t="shared" si="5"/>
        <v>6.25E-2</v>
      </c>
      <c r="M129" t="str">
        <f t="shared" si="4"/>
        <v>智慧宝玉</v>
      </c>
      <c r="W129" s="34"/>
      <c r="X129" s="34">
        <v>305201</v>
      </c>
      <c r="Y129" s="45" t="s">
        <v>345</v>
      </c>
      <c r="Z129" s="75" t="s">
        <v>347</v>
      </c>
      <c r="AA129" s="56" t="s">
        <v>348</v>
      </c>
      <c r="AB129" s="45" t="s">
        <v>1362</v>
      </c>
      <c r="AC129" s="75" t="s">
        <v>1215</v>
      </c>
      <c r="AD129" s="76" t="s">
        <v>1363</v>
      </c>
      <c r="AE129" s="34" t="s">
        <v>344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f t="shared" si="5"/>
        <v>6.25E-2</v>
      </c>
      <c r="M130" t="str">
        <f t="shared" si="4"/>
        <v>纯真宝玉</v>
      </c>
      <c r="W130" s="34"/>
      <c r="X130" s="34">
        <v>305202</v>
      </c>
      <c r="Y130" s="45" t="s">
        <v>350</v>
      </c>
      <c r="Z130" s="75" t="s">
        <v>351</v>
      </c>
      <c r="AA130" s="76" t="s">
        <v>352</v>
      </c>
      <c r="AB130" s="45" t="s">
        <v>1364</v>
      </c>
      <c r="AC130" s="75" t="s">
        <v>1215</v>
      </c>
      <c r="AD130" s="76" t="s">
        <v>1365</v>
      </c>
      <c r="AE130" s="34" t="s">
        <v>349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f t="shared" si="5"/>
        <v>6.25E-2</v>
      </c>
      <c r="M131" t="str">
        <f t="shared" si="4"/>
        <v>希望宝玉</v>
      </c>
      <c r="W131" s="69"/>
      <c r="X131" s="69">
        <v>305203</v>
      </c>
      <c r="Y131" s="70" t="s">
        <v>1366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f t="shared" si="5"/>
        <v>6.25E-2</v>
      </c>
      <c r="M132" t="str">
        <f t="shared" si="4"/>
        <v>光明宝玉</v>
      </c>
      <c r="X132">
        <v>305300</v>
      </c>
      <c r="Y132" s="8" t="s">
        <v>318</v>
      </c>
      <c r="Z132" s="64" t="s">
        <v>1367</v>
      </c>
      <c r="AA132" s="64" t="s">
        <v>321</v>
      </c>
      <c r="AB132" s="8" t="s">
        <v>1368</v>
      </c>
      <c r="AC132" s="65" t="s">
        <v>1215</v>
      </c>
      <c r="AD132" s="64" t="s">
        <v>1369</v>
      </c>
      <c r="AE132" t="s">
        <v>317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656</v>
      </c>
      <c r="M133" t="str">
        <f t="shared" si="4"/>
        <v>手工曲奇</v>
      </c>
      <c r="W133" s="34"/>
      <c r="X133" s="34">
        <v>305301</v>
      </c>
      <c r="Y133" s="45" t="s">
        <v>354</v>
      </c>
      <c r="Z133" s="75" t="s">
        <v>356</v>
      </c>
      <c r="AA133" s="76" t="s">
        <v>357</v>
      </c>
      <c r="AB133" s="79" t="s">
        <v>1370</v>
      </c>
      <c r="AC133" s="75" t="s">
        <v>1225</v>
      </c>
      <c r="AD133" s="76" t="s">
        <v>1371</v>
      </c>
      <c r="AE133" s="34" t="s">
        <v>353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tr">
        <f t="shared" ref="M134:M197" si="6">VLOOKUP(C134,X:Y,2,FALSE)</f>
        <v>怀旧掌机</v>
      </c>
      <c r="W134" s="34"/>
      <c r="X134" s="34">
        <v>305302</v>
      </c>
      <c r="Y134" s="45" t="s">
        <v>359</v>
      </c>
      <c r="Z134" s="75" t="s">
        <v>360</v>
      </c>
      <c r="AA134" s="76" t="s">
        <v>361</v>
      </c>
      <c r="AB134" s="79" t="s">
        <v>1372</v>
      </c>
      <c r="AC134" s="75" t="s">
        <v>1225</v>
      </c>
      <c r="AD134" s="76" t="s">
        <v>1373</v>
      </c>
      <c r="AE134" s="34" t="s">
        <v>358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tr">
        <f t="shared" si="6"/>
        <v>简易美术品</v>
      </c>
      <c r="W135" s="69"/>
      <c r="X135" s="69">
        <v>305303</v>
      </c>
      <c r="Y135" s="70" t="s">
        <v>1374</v>
      </c>
      <c r="Z135" s="77"/>
      <c r="AA135" s="78"/>
      <c r="AB135" s="80"/>
      <c r="AC135" s="77"/>
      <c r="AD135" s="78"/>
      <c r="AE135"/>
      <c r="AF135" s="69"/>
      <c r="AG135"/>
      <c r="AH135"/>
      <c r="AI135"/>
      <c r="AJ135" s="69"/>
      <c r="AK135" s="69"/>
      <c r="AL135" s="69"/>
      <c r="AM135"/>
      <c r="AN135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tr">
        <f t="shared" si="6"/>
        <v>美味果酒</v>
      </c>
      <c r="W136"/>
      <c r="X136">
        <v>305500</v>
      </c>
      <c r="Y136" s="8" t="s">
        <v>1375</v>
      </c>
      <c r="Z136" s="81" t="s">
        <v>1376</v>
      </c>
      <c r="AA136" s="64" t="s">
        <v>1377</v>
      </c>
      <c r="AB136" t="s">
        <v>1378</v>
      </c>
      <c r="AC136" s="64" t="s">
        <v>1379</v>
      </c>
      <c r="AD136" s="64" t="s">
        <v>1380</v>
      </c>
      <c r="AE136" t="s">
        <v>1381</v>
      </c>
      <c r="AF136"/>
      <c r="AG136">
        <v>5</v>
      </c>
      <c r="AH136">
        <v>5</v>
      </c>
      <c r="AI136">
        <v>1</v>
      </c>
      <c r="AJ136"/>
      <c r="AK136"/>
      <c r="AL136"/>
      <c r="AM136"/>
      <c r="AN136"/>
      <c r="AO136"/>
      <c r="AP136"/>
      <c r="AQ136"/>
      <c r="AR136"/>
      <c r="AS136"/>
      <c r="AT136"/>
      <c r="AU136"/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tr">
        <f t="shared" si="6"/>
        <v>普通的碎钻</v>
      </c>
      <c r="W137"/>
      <c r="X137">
        <v>305501</v>
      </c>
      <c r="Y137" s="8" t="s">
        <v>1382</v>
      </c>
      <c r="Z137" s="82" t="s">
        <v>1383</v>
      </c>
      <c r="AA137" s="64" t="s">
        <v>1384</v>
      </c>
      <c r="AB137" s="8" t="s">
        <v>1385</v>
      </c>
      <c r="AC137" s="14"/>
      <c r="AD137" s="22"/>
      <c r="AE137" t="s">
        <v>1386</v>
      </c>
      <c r="AF137"/>
      <c r="AG137">
        <v>5</v>
      </c>
      <c r="AH137">
        <v>5</v>
      </c>
      <c r="AI137">
        <v>1</v>
      </c>
      <c r="AJ137"/>
      <c r="AK137"/>
      <c r="AL137"/>
      <c r="AM137"/>
      <c r="AN137"/>
      <c r="AO137"/>
      <c r="AP137"/>
      <c r="AQ137"/>
      <c r="AR137"/>
      <c r="AS137"/>
      <c r="AT137"/>
      <c r="AU137"/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tr">
        <f t="shared" si="6"/>
        <v>熊公仔</v>
      </c>
      <c r="W138"/>
      <c r="X138">
        <v>305600</v>
      </c>
      <c r="Y138" s="8" t="s">
        <v>323</v>
      </c>
      <c r="Z138" s="62" t="s">
        <v>325</v>
      </c>
      <c r="AA138" s="64" t="s">
        <v>1387</v>
      </c>
      <c r="AB138" s="8" t="s">
        <v>1388</v>
      </c>
      <c r="AC138" s="21" t="s">
        <v>1189</v>
      </c>
      <c r="AD138" s="64" t="s">
        <v>1389</v>
      </c>
      <c r="AE138" t="s">
        <v>322</v>
      </c>
      <c r="AF138"/>
      <c r="AG138">
        <v>5</v>
      </c>
      <c r="AH138">
        <v>0</v>
      </c>
      <c r="AI138">
        <v>1</v>
      </c>
      <c r="AJ138"/>
      <c r="AK138"/>
      <c r="AL138"/>
      <c r="AM138">
        <v>302003</v>
      </c>
      <c r="AN138">
        <v>5</v>
      </c>
      <c r="AO138"/>
      <c r="AP138"/>
      <c r="AQ138"/>
      <c r="AR138"/>
      <c r="AS138"/>
      <c r="AT138"/>
      <c r="AU138"/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tr">
        <f t="shared" si="6"/>
        <v>同人小册子</v>
      </c>
      <c r="W139" s="34"/>
      <c r="X139" s="34">
        <v>305601</v>
      </c>
      <c r="Y139" s="45" t="s">
        <v>363</v>
      </c>
      <c r="Z139" s="75" t="s">
        <v>364</v>
      </c>
      <c r="AA139" s="76" t="s">
        <v>365</v>
      </c>
      <c r="AB139" s="45" t="s">
        <v>1390</v>
      </c>
      <c r="AC139" s="75" t="s">
        <v>1189</v>
      </c>
      <c r="AD139" s="76" t="s">
        <v>1391</v>
      </c>
      <c r="AE139" s="34" t="s">
        <v>362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tr">
        <f t="shared" si="6"/>
        <v>朴素的小裙子</v>
      </c>
      <c r="W140" s="69"/>
      <c r="X140" s="69">
        <v>305602</v>
      </c>
      <c r="Y140" s="70" t="s">
        <v>402</v>
      </c>
      <c r="Z140" s="77"/>
      <c r="AA140" s="78"/>
      <c r="AB140" s="70"/>
      <c r="AC140" s="77"/>
      <c r="AD140" s="78"/>
      <c r="AE140"/>
      <c r="AF140" s="69"/>
      <c r="AG140"/>
      <c r="AH140"/>
      <c r="AI140"/>
      <c r="AJ140" s="69"/>
      <c r="AK140" s="69"/>
      <c r="AL140" s="69"/>
      <c r="AM140"/>
      <c r="AN140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tr">
        <f t="shared" si="6"/>
        <v>蓝罐曲奇</v>
      </c>
      <c r="W141"/>
      <c r="X141">
        <v>305700</v>
      </c>
      <c r="Y141" s="8" t="s">
        <v>328</v>
      </c>
      <c r="Z141" s="62" t="s">
        <v>330</v>
      </c>
      <c r="AA141" s="64" t="s">
        <v>331</v>
      </c>
      <c r="AB141" s="8" t="s">
        <v>1392</v>
      </c>
      <c r="AC141" s="62" t="s">
        <v>1393</v>
      </c>
      <c r="AD141" s="64" t="s">
        <v>1394</v>
      </c>
      <c r="AE141" t="s">
        <v>327</v>
      </c>
      <c r="AF141"/>
      <c r="AG141">
        <v>5</v>
      </c>
      <c r="AH141">
        <v>7</v>
      </c>
      <c r="AI141">
        <v>1</v>
      </c>
      <c r="AJ141"/>
      <c r="AK141"/>
      <c r="AL141"/>
      <c r="AM141">
        <v>302003</v>
      </c>
      <c r="AN141">
        <v>5</v>
      </c>
      <c r="AO141"/>
      <c r="AP141"/>
      <c r="AQ141"/>
      <c r="AR141"/>
      <c r="AS141"/>
      <c r="AT141"/>
      <c r="AU141"/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tr">
        <f t="shared" si="6"/>
        <v>Twitch掌机</v>
      </c>
      <c r="W142" s="70"/>
      <c r="X142" s="70">
        <v>305701</v>
      </c>
      <c r="Y142" s="70" t="s">
        <v>1395</v>
      </c>
      <c r="Z142" s="62"/>
      <c r="AA142" s="64"/>
      <c r="AB142" s="8"/>
      <c r="AC142" s="62"/>
      <c r="AD142" s="64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tr">
        <f t="shared" si="6"/>
        <v>精美挂画</v>
      </c>
      <c r="W143" s="70"/>
      <c r="X143" s="70">
        <v>305801</v>
      </c>
      <c r="Y143" s="70" t="s">
        <v>1396</v>
      </c>
      <c r="Z143" s="62"/>
      <c r="AA143" s="64"/>
      <c r="AB143" s="8"/>
      <c r="AC143" s="62"/>
      <c r="AD143" s="64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tr">
        <f t="shared" si="6"/>
        <v>香醇红酒</v>
      </c>
      <c r="W144"/>
      <c r="X144">
        <v>306001</v>
      </c>
      <c r="Y144" s="8" t="s">
        <v>1397</v>
      </c>
      <c r="Z144" s="83" t="s">
        <v>1398</v>
      </c>
      <c r="AA144" s="84" t="s">
        <v>1399</v>
      </c>
      <c r="AB144" s="8" t="s">
        <v>1400</v>
      </c>
      <c r="AC144" s="83" t="s">
        <v>1401</v>
      </c>
      <c r="AD144" s="85" t="s">
        <v>1402</v>
      </c>
      <c r="AE144" t="s">
        <v>1403</v>
      </c>
      <c r="AF144"/>
      <c r="AG144">
        <v>5</v>
      </c>
      <c r="AH144">
        <v>9</v>
      </c>
      <c r="AI144">
        <v>1</v>
      </c>
      <c r="AJ144"/>
      <c r="AK144"/>
      <c r="AL144"/>
      <c r="AM144"/>
      <c r="AN144"/>
      <c r="AO144"/>
      <c r="AP144"/>
      <c r="AQ144"/>
      <c r="AR144"/>
      <c r="AS144"/>
      <c r="AT144"/>
      <c r="AU144"/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tr">
        <f t="shared" si="6"/>
        <v>鸽子蛋宝石</v>
      </c>
      <c r="W145"/>
      <c r="X145">
        <v>306002</v>
      </c>
      <c r="Y145" t="s">
        <v>1404</v>
      </c>
      <c r="Z145" s="83" t="s">
        <v>1405</v>
      </c>
      <c r="AA145" s="84" t="s">
        <v>1406</v>
      </c>
      <c r="AB145" s="8" t="s">
        <v>1407</v>
      </c>
      <c r="AC145" s="83" t="s">
        <v>1408</v>
      </c>
      <c r="AD145" s="84" t="s">
        <v>1409</v>
      </c>
      <c r="AE145" t="s">
        <v>1403</v>
      </c>
      <c r="AF145"/>
      <c r="AG145">
        <v>5</v>
      </c>
      <c r="AH145">
        <v>9</v>
      </c>
      <c r="AI145">
        <v>1</v>
      </c>
      <c r="AJ145"/>
      <c r="AK145"/>
      <c r="AL145"/>
      <c r="AM145"/>
      <c r="AN145"/>
      <c r="AO145"/>
      <c r="AP145"/>
      <c r="AQ145"/>
      <c r="AR145"/>
      <c r="AS145"/>
      <c r="AT145"/>
      <c r="AU145"/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tr">
        <f t="shared" si="6"/>
        <v>熊公仔L</v>
      </c>
      <c r="W146"/>
      <c r="X146">
        <v>306101</v>
      </c>
      <c r="Y146" s="8" t="s">
        <v>1410</v>
      </c>
      <c r="Z146" s="83" t="s">
        <v>1411</v>
      </c>
      <c r="AA146" s="84" t="s">
        <v>1412</v>
      </c>
      <c r="AB146" s="8" t="s">
        <v>1413</v>
      </c>
      <c r="AC146" s="83" t="s">
        <v>1414</v>
      </c>
      <c r="AD146" s="84" t="s">
        <v>1415</v>
      </c>
      <c r="AE146" t="s">
        <v>507</v>
      </c>
      <c r="AF146"/>
      <c r="AG146">
        <v>5</v>
      </c>
      <c r="AH146">
        <v>9</v>
      </c>
      <c r="AI146">
        <v>1</v>
      </c>
      <c r="AJ146"/>
      <c r="AK146"/>
      <c r="AL146"/>
      <c r="AM146"/>
      <c r="AN146"/>
      <c r="AO146"/>
      <c r="AP146"/>
      <c r="AQ146"/>
      <c r="AR146"/>
      <c r="AS146"/>
      <c r="AT146"/>
      <c r="AU146"/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tr">
        <f t="shared" si="6"/>
        <v>简装同人志</v>
      </c>
      <c r="W147"/>
      <c r="X147">
        <v>307001</v>
      </c>
      <c r="Y147" s="8" t="s">
        <v>1416</v>
      </c>
      <c r="Z147" s="21" t="s">
        <v>1417</v>
      </c>
      <c r="AA147" s="64" t="s">
        <v>1418</v>
      </c>
      <c r="AB147" s="8" t="s">
        <v>1419</v>
      </c>
      <c r="AC147" s="52" t="s">
        <v>1420</v>
      </c>
      <c r="AD147" s="36" t="s">
        <v>1421</v>
      </c>
      <c r="AE147" t="s">
        <v>1422</v>
      </c>
      <c r="AF147"/>
      <c r="AG147">
        <v>5</v>
      </c>
      <c r="AH147">
        <v>8</v>
      </c>
      <c r="AI147">
        <v>1</v>
      </c>
      <c r="AJ147"/>
      <c r="AK147"/>
      <c r="AL147"/>
      <c r="AM147"/>
      <c r="AN147"/>
      <c r="AO147"/>
      <c r="AP147"/>
      <c r="AQ147"/>
      <c r="AR147"/>
      <c r="AS147"/>
      <c r="AT147"/>
      <c r="AU147"/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tr">
        <f t="shared" si="6"/>
        <v>普通的小裙子</v>
      </c>
      <c r="W148"/>
      <c r="X148">
        <v>307002</v>
      </c>
      <c r="Y148" s="8" t="s">
        <v>1423</v>
      </c>
      <c r="Z148" s="77" t="s">
        <v>1424</v>
      </c>
      <c r="AA148" s="78" t="s">
        <v>1425</v>
      </c>
      <c r="AB148" s="8" t="s">
        <v>1426</v>
      </c>
      <c r="AC148" s="64" t="s">
        <v>1427</v>
      </c>
      <c r="AD148" s="77" t="s">
        <v>1428</v>
      </c>
      <c r="AE148" t="s">
        <v>1429</v>
      </c>
      <c r="AF148"/>
      <c r="AG148">
        <v>5</v>
      </c>
      <c r="AH148">
        <v>8</v>
      </c>
      <c r="AI148">
        <v>1</v>
      </c>
      <c r="AJ148"/>
      <c r="AK148"/>
      <c r="AL148"/>
      <c r="AM148"/>
      <c r="AN148"/>
      <c r="AO148"/>
      <c r="AP148"/>
      <c r="AQ148"/>
      <c r="AR148"/>
      <c r="AS148"/>
      <c r="AT148"/>
      <c r="AU148"/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tr">
        <f t="shared" si="6"/>
        <v>香喷喷曲奇</v>
      </c>
      <c r="W149"/>
      <c r="X149" s="48">
        <v>307003</v>
      </c>
      <c r="Y149" s="8" t="s">
        <v>1430</v>
      </c>
      <c r="Z149" s="77" t="s">
        <v>1431</v>
      </c>
      <c r="AA149" s="78" t="s">
        <v>1432</v>
      </c>
      <c r="AB149" s="8" t="s">
        <v>1433</v>
      </c>
      <c r="AC149" s="77" t="s">
        <v>1434</v>
      </c>
      <c r="AD149" s="78" t="s">
        <v>1435</v>
      </c>
      <c r="AE149" t="s">
        <v>1436</v>
      </c>
      <c r="AF149"/>
      <c r="AG149">
        <v>5</v>
      </c>
      <c r="AH149">
        <v>8</v>
      </c>
      <c r="AI149">
        <v>1</v>
      </c>
      <c r="AJ149"/>
      <c r="AK149"/>
      <c r="AL149"/>
      <c r="AM149"/>
      <c r="AN149"/>
      <c r="AO149"/>
      <c r="AP149"/>
      <c r="AQ149"/>
      <c r="AR149"/>
      <c r="AS149"/>
      <c r="AT149"/>
      <c r="AU149"/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tr">
        <f t="shared" si="6"/>
        <v>次世代游戏机</v>
      </c>
      <c r="W150" s="71"/>
      <c r="X150" s="48">
        <v>307005</v>
      </c>
      <c r="Y150" s="48" t="s">
        <v>1437</v>
      </c>
      <c r="Z150" s="48" t="s">
        <v>1438</v>
      </c>
      <c r="AA150" s="86" t="s">
        <v>1439</v>
      </c>
      <c r="AB150" s="87" t="s">
        <v>1440</v>
      </c>
      <c r="AC150" s="48" t="s">
        <v>1441</v>
      </c>
      <c r="AD150" s="88" t="s">
        <v>1442</v>
      </c>
      <c r="AE150" s="71" t="s">
        <v>1443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tr">
        <f t="shared" si="6"/>
        <v>经典名画</v>
      </c>
      <c r="W151"/>
      <c r="X151">
        <v>309001</v>
      </c>
      <c r="Y151" t="s">
        <v>1444</v>
      </c>
      <c r="Z151" t="s">
        <v>1445</v>
      </c>
      <c r="AA151" s="11" t="s">
        <v>1446</v>
      </c>
      <c r="AB151" t="s">
        <v>1447</v>
      </c>
      <c r="AC151" s="9" t="s">
        <v>1448</v>
      </c>
      <c r="AD151" s="11" t="s">
        <v>1449</v>
      </c>
      <c r="AE151" t="s">
        <v>1450</v>
      </c>
      <c r="AF151" t="s">
        <v>1451</v>
      </c>
      <c r="AG151">
        <v>6</v>
      </c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tr">
        <f t="shared" si="6"/>
        <v>82年的拉菲</v>
      </c>
      <c r="W152"/>
      <c r="X152">
        <v>309002</v>
      </c>
      <c r="Y152" t="s">
        <v>1452</v>
      </c>
      <c r="Z152" t="s">
        <v>1453</v>
      </c>
      <c r="AA152" s="11" t="s">
        <v>1454</v>
      </c>
      <c r="AB152" t="s">
        <v>1455</v>
      </c>
      <c r="AC152" s="9" t="s">
        <v>1456</v>
      </c>
      <c r="AD152" s="11" t="s">
        <v>1457</v>
      </c>
      <c r="AE152" t="s">
        <v>1458</v>
      </c>
      <c r="AF152" t="s">
        <v>1459</v>
      </c>
      <c r="AG152">
        <v>6</v>
      </c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tr">
        <f t="shared" si="6"/>
        <v>海洋之心</v>
      </c>
      <c r="W153"/>
      <c r="X153">
        <v>309003</v>
      </c>
      <c r="Y153" s="8" t="s">
        <v>1460</v>
      </c>
      <c r="Z153" t="s">
        <v>1461</v>
      </c>
      <c r="AA153" s="13" t="s">
        <v>1462</v>
      </c>
      <c r="AB153" t="s">
        <v>1463</v>
      </c>
      <c r="AC153" s="9" t="s">
        <v>1464</v>
      </c>
      <c r="AD153" s="11" t="s">
        <v>1465</v>
      </c>
      <c r="AE153" t="s">
        <v>1466</v>
      </c>
      <c r="AF153" t="s">
        <v>1467</v>
      </c>
      <c r="AG153">
        <v>6</v>
      </c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tr">
        <f t="shared" si="6"/>
        <v>熊公仔XXL</v>
      </c>
      <c r="W154"/>
      <c r="X154">
        <v>309004</v>
      </c>
      <c r="Y154" s="8" t="s">
        <v>1468</v>
      </c>
      <c r="Z154" t="s">
        <v>1468</v>
      </c>
      <c r="AA154" s="13" t="s">
        <v>1469</v>
      </c>
      <c r="AB154" t="s">
        <v>1463</v>
      </c>
      <c r="AC154" s="9" t="s">
        <v>1464</v>
      </c>
      <c r="AD154" s="11" t="s">
        <v>1465</v>
      </c>
      <c r="AE154" t="s">
        <v>1470</v>
      </c>
      <c r="AF154" t="s">
        <v>1471</v>
      </c>
      <c r="AG154">
        <v>6</v>
      </c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tr">
        <f t="shared" si="6"/>
        <v>精美同人志</v>
      </c>
      <c r="W155"/>
      <c r="X155">
        <v>309005</v>
      </c>
      <c r="Y155" s="8" t="s">
        <v>1472</v>
      </c>
      <c r="Z155" t="s">
        <v>1473</v>
      </c>
      <c r="AA155" s="13" t="s">
        <v>1474</v>
      </c>
      <c r="AB155" t="s">
        <v>1463</v>
      </c>
      <c r="AC155" s="9" t="s">
        <v>1464</v>
      </c>
      <c r="AD155" s="11" t="s">
        <v>1465</v>
      </c>
      <c r="AE155" t="s">
        <v>1475</v>
      </c>
      <c r="AF155" t="s">
        <v>1476</v>
      </c>
      <c r="AG155">
        <v>6</v>
      </c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tr">
        <f t="shared" si="6"/>
        <v>华丽的小裙子</v>
      </c>
      <c r="W156"/>
      <c r="X156">
        <v>309006</v>
      </c>
      <c r="Y156" s="8" t="s">
        <v>1477</v>
      </c>
      <c r="Z156" t="s">
        <v>1478</v>
      </c>
      <c r="AA156" s="44" t="s">
        <v>1479</v>
      </c>
      <c r="AB156" t="s">
        <v>1480</v>
      </c>
      <c r="AC156" s="89" t="s">
        <v>1481</v>
      </c>
      <c r="AD156" s="44" t="s">
        <v>1482</v>
      </c>
      <c r="AE156" t="s">
        <v>1483</v>
      </c>
      <c r="AF156" t="s">
        <v>1484</v>
      </c>
      <c r="AG156">
        <v>6</v>
      </c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>
        <v>1</v>
      </c>
      <c r="AV156"/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tr">
        <f t="shared" si="6"/>
        <v>勇气宝玉</v>
      </c>
      <c r="W157"/>
      <c r="X157">
        <v>309007</v>
      </c>
      <c r="Y157" s="8" t="s">
        <v>1485</v>
      </c>
      <c r="Z157" t="s">
        <v>1486</v>
      </c>
      <c r="AA157" s="44" t="s">
        <v>1487</v>
      </c>
      <c r="AB157" t="s">
        <v>1488</v>
      </c>
      <c r="AC157" s="89" t="s">
        <v>1481</v>
      </c>
      <c r="AD157" s="44" t="s">
        <v>1489</v>
      </c>
      <c r="AE157" t="s">
        <v>1490</v>
      </c>
      <c r="AF157" t="s">
        <v>1491</v>
      </c>
      <c r="AG157">
        <v>6</v>
      </c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>
        <v>1</v>
      </c>
      <c r="AV157"/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tr">
        <f t="shared" si="6"/>
        <v>意志宝玉</v>
      </c>
      <c r="W158"/>
      <c r="X158">
        <v>309008</v>
      </c>
      <c r="Y158" s="90" t="s">
        <v>1492</v>
      </c>
      <c r="Z158" s="91" t="s">
        <v>1493</v>
      </c>
      <c r="AA158" s="92" t="s">
        <v>1494</v>
      </c>
      <c r="AB158" t="s">
        <v>1495</v>
      </c>
      <c r="AC158" s="91" t="s">
        <v>1496</v>
      </c>
      <c r="AD158" s="84" t="s">
        <v>1497</v>
      </c>
      <c r="AE158" t="s">
        <v>1498</v>
      </c>
      <c r="AF158" t="s">
        <v>1499</v>
      </c>
      <c r="AG158">
        <v>6</v>
      </c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>
        <v>1</v>
      </c>
      <c r="AV158"/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tr">
        <f t="shared" si="6"/>
        <v>诚实宝玉</v>
      </c>
      <c r="W159"/>
      <c r="X159">
        <v>309009</v>
      </c>
      <c r="Y159" s="90" t="s">
        <v>1500</v>
      </c>
      <c r="Z159" s="91" t="s">
        <v>1501</v>
      </c>
      <c r="AA159" s="92" t="s">
        <v>1502</v>
      </c>
      <c r="AB159" t="s">
        <v>1503</v>
      </c>
      <c r="AC159" s="91" t="s">
        <v>1496</v>
      </c>
      <c r="AD159" s="92" t="s">
        <v>1504</v>
      </c>
      <c r="AE159" t="s">
        <v>1505</v>
      </c>
      <c r="AF159" t="s">
        <v>1506</v>
      </c>
      <c r="AG159">
        <v>6</v>
      </c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>
        <v>1</v>
      </c>
      <c r="AV159"/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tr">
        <f t="shared" si="6"/>
        <v>慈爱宝玉</v>
      </c>
      <c r="W160"/>
      <c r="X160">
        <v>309010</v>
      </c>
      <c r="Y160" s="90" t="s">
        <v>1507</v>
      </c>
      <c r="Z160" s="91" t="s">
        <v>1508</v>
      </c>
      <c r="AA160" s="92" t="s">
        <v>1509</v>
      </c>
      <c r="AB160" t="s">
        <v>1510</v>
      </c>
      <c r="AC160" s="91" t="s">
        <v>1496</v>
      </c>
      <c r="AD160" s="92" t="s">
        <v>1511</v>
      </c>
      <c r="AE160" t="s">
        <v>1512</v>
      </c>
      <c r="AF160" t="s">
        <v>1513</v>
      </c>
      <c r="AG160">
        <v>6</v>
      </c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>
        <v>1</v>
      </c>
      <c r="AV160"/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tr">
        <f t="shared" si="6"/>
        <v>智慧宝玉</v>
      </c>
      <c r="W161"/>
      <c r="X161">
        <v>309011</v>
      </c>
      <c r="Y161" s="93" t="s">
        <v>1514</v>
      </c>
      <c r="Z161" s="22" t="s">
        <v>1515</v>
      </c>
      <c r="AA161" s="64" t="s">
        <v>1516</v>
      </c>
      <c r="AB161" t="s">
        <v>1517</v>
      </c>
      <c r="AC161" s="94" t="s">
        <v>1496</v>
      </c>
      <c r="AD161" s="22" t="s">
        <v>1518</v>
      </c>
      <c r="AE161" t="s">
        <v>1519</v>
      </c>
      <c r="AF161" t="s">
        <v>1520</v>
      </c>
      <c r="AG161">
        <v>6</v>
      </c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>
        <v>1</v>
      </c>
      <c r="AV161"/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tr">
        <f t="shared" si="6"/>
        <v>纯真宝玉</v>
      </c>
      <c r="W162"/>
      <c r="X162">
        <v>309012</v>
      </c>
      <c r="Y162" s="93" t="s">
        <v>1521</v>
      </c>
      <c r="Z162" s="22" t="s">
        <v>1522</v>
      </c>
      <c r="AA162" s="64" t="s">
        <v>1523</v>
      </c>
      <c r="AB162" t="s">
        <v>1524</v>
      </c>
      <c r="AC162" s="94" t="s">
        <v>1496</v>
      </c>
      <c r="AD162" s="22" t="s">
        <v>1525</v>
      </c>
      <c r="AE162" t="s">
        <v>1526</v>
      </c>
      <c r="AF162" t="s">
        <v>1527</v>
      </c>
      <c r="AG162">
        <v>6</v>
      </c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>
        <v>1</v>
      </c>
      <c r="AV162"/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tr">
        <f t="shared" si="6"/>
        <v>希望宝玉</v>
      </c>
      <c r="W163"/>
      <c r="X163">
        <v>309013</v>
      </c>
      <c r="Y163" t="s">
        <v>1528</v>
      </c>
      <c r="Z163" s="21" t="s">
        <v>1529</v>
      </c>
      <c r="AA163" s="64" t="s">
        <v>1530</v>
      </c>
      <c r="AB163" t="s">
        <v>1531</v>
      </c>
      <c r="AC163" s="64" t="s">
        <v>1496</v>
      </c>
      <c r="AD163" s="64" t="s">
        <v>1532</v>
      </c>
      <c r="AE163" t="s">
        <v>1533</v>
      </c>
      <c r="AF163" t="s">
        <v>1534</v>
      </c>
      <c r="AG163">
        <v>6</v>
      </c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>
        <v>1</v>
      </c>
      <c r="AV163"/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tr">
        <f t="shared" si="6"/>
        <v>光明宝玉</v>
      </c>
      <c r="W164"/>
      <c r="X164">
        <v>309014</v>
      </c>
      <c r="Y164" t="s">
        <v>1535</v>
      </c>
      <c r="Z164" s="21" t="s">
        <v>1536</v>
      </c>
      <c r="AA164" s="64" t="s">
        <v>1537</v>
      </c>
      <c r="AB164" t="s">
        <v>1538</v>
      </c>
      <c r="AC164" s="64" t="s">
        <v>1496</v>
      </c>
      <c r="AD164" s="64" t="s">
        <v>1539</v>
      </c>
      <c r="AE164" t="s">
        <v>1540</v>
      </c>
      <c r="AF164" t="s">
        <v>1541</v>
      </c>
      <c r="AG164">
        <v>6</v>
      </c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>
        <v>1</v>
      </c>
      <c r="AV164"/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1542</v>
      </c>
      <c r="H165" s="68">
        <f t="shared" ref="H165:H196" si="7">E165/SUM($E$165:$E$239)</f>
        <v>1.019346785937175E-2</v>
      </c>
      <c r="I165" s="68">
        <f>SUM(H165:H220)</f>
        <v>0.78260869565217372</v>
      </c>
      <c r="J165" s="68">
        <f>SUM(H165:H188)</f>
        <v>0.37944664031620556</v>
      </c>
      <c r="K165" s="2">
        <f>2*D165*H165+2*D166*H166+2*D167*H167</f>
        <v>0.28042438111087997</v>
      </c>
      <c r="M165" t="str">
        <f t="shared" si="6"/>
        <v>手工曲奇</v>
      </c>
      <c r="W165"/>
      <c r="X165">
        <v>309015</v>
      </c>
      <c r="Y165" t="s">
        <v>1543</v>
      </c>
      <c r="Z165" s="21" t="s">
        <v>1544</v>
      </c>
      <c r="AA165" s="64" t="s">
        <v>1545</v>
      </c>
      <c r="AB165" t="s">
        <v>1546</v>
      </c>
      <c r="AC165" s="64" t="s">
        <v>1496</v>
      </c>
      <c r="AD165" s="64" t="s">
        <v>1547</v>
      </c>
      <c r="AE165" t="s">
        <v>1548</v>
      </c>
      <c r="AF165" t="s">
        <v>1549</v>
      </c>
      <c r="AG165">
        <v>6</v>
      </c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>
        <v>1</v>
      </c>
      <c r="AV165"/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f t="shared" si="7"/>
        <v>2.9124193883919285E-2</v>
      </c>
      <c r="M166" t="str">
        <f t="shared" si="6"/>
        <v>手工曲奇</v>
      </c>
      <c r="W166"/>
      <c r="X166">
        <v>309016</v>
      </c>
      <c r="Y166" t="s">
        <v>1550</v>
      </c>
      <c r="Z166" s="77" t="s">
        <v>1551</v>
      </c>
      <c r="AA166" s="78" t="s">
        <v>1552</v>
      </c>
      <c r="AB166" t="s">
        <v>1553</v>
      </c>
      <c r="AC166" s="64" t="s">
        <v>1496</v>
      </c>
      <c r="AD166" s="78" t="s">
        <v>1554</v>
      </c>
      <c r="AE166" t="s">
        <v>1555</v>
      </c>
      <c r="AF166" t="s">
        <v>1556</v>
      </c>
      <c r="AG166">
        <v>6</v>
      </c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>
        <v>1</v>
      </c>
      <c r="AV166"/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f t="shared" si="7"/>
        <v>8.1131682962346571E-3</v>
      </c>
      <c r="M167" t="str">
        <f t="shared" si="6"/>
        <v>手工曲奇</v>
      </c>
      <c r="W167"/>
      <c r="X167">
        <v>309017</v>
      </c>
      <c r="Y167" t="s">
        <v>1557</v>
      </c>
      <c r="Z167" s="77" t="s">
        <v>1558</v>
      </c>
      <c r="AA167" s="78" t="s">
        <v>1559</v>
      </c>
      <c r="AB167" t="s">
        <v>1560</v>
      </c>
      <c r="AC167" s="64" t="s">
        <v>1496</v>
      </c>
      <c r="AD167" s="78" t="s">
        <v>1561</v>
      </c>
      <c r="AE167" t="s">
        <v>1562</v>
      </c>
      <c r="AF167" t="s">
        <v>1563</v>
      </c>
      <c r="AG167">
        <v>6</v>
      </c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>
        <v>1</v>
      </c>
      <c r="AV167"/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f t="shared" si="7"/>
        <v>1.019346785937175E-2</v>
      </c>
      <c r="M168" t="str">
        <f t="shared" si="6"/>
        <v>怀旧掌机</v>
      </c>
      <c r="W168"/>
      <c r="X168">
        <v>309101</v>
      </c>
      <c r="Y168" s="8" t="s">
        <v>1564</v>
      </c>
      <c r="Z168" t="s">
        <v>1565</v>
      </c>
      <c r="AA168" s="89" t="s">
        <v>1566</v>
      </c>
      <c r="AB168" t="s">
        <v>1567</v>
      </c>
      <c r="AC168" s="9" t="s">
        <v>1568</v>
      </c>
      <c r="AD168" t="s">
        <v>1569</v>
      </c>
      <c r="AE168" t="s">
        <v>1570</v>
      </c>
      <c r="AF168"/>
      <c r="AG168">
        <v>6</v>
      </c>
      <c r="AH168"/>
      <c r="AI168">
        <v>1</v>
      </c>
      <c r="AJ168"/>
      <c r="AK168"/>
      <c r="AL168"/>
      <c r="AM168"/>
      <c r="AN168"/>
      <c r="AO168"/>
      <c r="AP168"/>
      <c r="AQ168"/>
      <c r="AR168"/>
      <c r="AS168"/>
      <c r="AT168"/>
      <c r="AU168"/>
      <c r="AV168" s="30" t="s">
        <v>1571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f t="shared" si="7"/>
        <v>2.9124193883919285E-2</v>
      </c>
      <c r="M169" t="str">
        <f t="shared" si="6"/>
        <v>怀旧掌机</v>
      </c>
      <c r="W169"/>
      <c r="X169">
        <v>309102</v>
      </c>
      <c r="Y169" s="8" t="s">
        <v>1572</v>
      </c>
      <c r="Z169" t="s">
        <v>1573</v>
      </c>
      <c r="AA169" s="89" t="s">
        <v>1574</v>
      </c>
      <c r="AB169" t="s">
        <v>1575</v>
      </c>
      <c r="AC169" s="9" t="s">
        <v>1576</v>
      </c>
      <c r="AD169" t="s">
        <v>1577</v>
      </c>
      <c r="AE169" t="s">
        <v>1578</v>
      </c>
      <c r="AF169"/>
      <c r="AG169">
        <v>6</v>
      </c>
      <c r="AH169"/>
      <c r="AI169">
        <v>1</v>
      </c>
      <c r="AJ169"/>
      <c r="AK169"/>
      <c r="AL169"/>
      <c r="AM169"/>
      <c r="AN169"/>
      <c r="AO169"/>
      <c r="AP169"/>
      <c r="AQ169"/>
      <c r="AR169"/>
      <c r="AS169"/>
      <c r="AT169"/>
      <c r="AU169"/>
      <c r="AV169" s="30" t="s">
        <v>1571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f t="shared" si="7"/>
        <v>8.1131682962346571E-3</v>
      </c>
      <c r="M170" t="str">
        <f t="shared" si="6"/>
        <v>怀旧掌机</v>
      </c>
      <c r="W170"/>
      <c r="X170">
        <v>309103</v>
      </c>
      <c r="Y170" s="8" t="s">
        <v>1579</v>
      </c>
      <c r="Z170" t="s">
        <v>1580</v>
      </c>
      <c r="AA170" s="89" t="s">
        <v>1581</v>
      </c>
      <c r="AB170" t="s">
        <v>1582</v>
      </c>
      <c r="AC170" s="9" t="s">
        <v>1583</v>
      </c>
      <c r="AD170" t="s">
        <v>1584</v>
      </c>
      <c r="AE170" t="s">
        <v>1585</v>
      </c>
      <c r="AF170"/>
      <c r="AG170">
        <v>6</v>
      </c>
      <c r="AH170"/>
      <c r="AI170">
        <v>1</v>
      </c>
      <c r="AJ170"/>
      <c r="AK170"/>
      <c r="AL170"/>
      <c r="AM170"/>
      <c r="AN170"/>
      <c r="AO170"/>
      <c r="AP170"/>
      <c r="AQ170"/>
      <c r="AR170"/>
      <c r="AS170"/>
      <c r="AT170"/>
      <c r="AU170"/>
      <c r="AV170" s="30" t="s">
        <v>1571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f t="shared" si="7"/>
        <v>1.019346785937175E-2</v>
      </c>
      <c r="M171" t="str">
        <f t="shared" si="6"/>
        <v>简易美术品</v>
      </c>
      <c r="W171"/>
      <c r="X171">
        <v>309104</v>
      </c>
      <c r="Y171" s="8" t="s">
        <v>1586</v>
      </c>
      <c r="Z171" t="s">
        <v>1587</v>
      </c>
      <c r="AA171" s="89" t="s">
        <v>1588</v>
      </c>
      <c r="AB171" t="s">
        <v>1589</v>
      </c>
      <c r="AC171" s="9" t="s">
        <v>1590</v>
      </c>
      <c r="AD171" t="s">
        <v>1591</v>
      </c>
      <c r="AE171" t="s">
        <v>1592</v>
      </c>
      <c r="AF171"/>
      <c r="AG171">
        <v>6</v>
      </c>
      <c r="AH171"/>
      <c r="AI171">
        <v>1</v>
      </c>
      <c r="AJ171"/>
      <c r="AK171"/>
      <c r="AL171"/>
      <c r="AM171"/>
      <c r="AN171"/>
      <c r="AO171"/>
      <c r="AP171"/>
      <c r="AQ171"/>
      <c r="AR171"/>
      <c r="AS171"/>
      <c r="AT171"/>
      <c r="AU171"/>
      <c r="AV171" s="30" t="s">
        <v>1571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f t="shared" si="7"/>
        <v>2.9124193883919285E-2</v>
      </c>
      <c r="M172" t="str">
        <f t="shared" si="6"/>
        <v>简易美术品</v>
      </c>
      <c r="W172"/>
      <c r="X172">
        <v>309105</v>
      </c>
      <c r="Y172" s="8" t="s">
        <v>1593</v>
      </c>
      <c r="Z172" t="s">
        <v>1594</v>
      </c>
      <c r="AA172" s="89" t="s">
        <v>1595</v>
      </c>
      <c r="AB172" t="s">
        <v>1596</v>
      </c>
      <c r="AC172" s="9" t="s">
        <v>1597</v>
      </c>
      <c r="AD172" t="s">
        <v>1598</v>
      </c>
      <c r="AE172" t="s">
        <v>1599</v>
      </c>
      <c r="AF172"/>
      <c r="AG172">
        <v>6</v>
      </c>
      <c r="AH172"/>
      <c r="AI172">
        <v>1</v>
      </c>
      <c r="AJ172"/>
      <c r="AK172"/>
      <c r="AL172"/>
      <c r="AM172"/>
      <c r="AN172"/>
      <c r="AO172"/>
      <c r="AP172"/>
      <c r="AQ172"/>
      <c r="AR172"/>
      <c r="AS172"/>
      <c r="AT172"/>
      <c r="AU172"/>
      <c r="AV172" s="30" t="s">
        <v>1571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f t="shared" si="7"/>
        <v>8.1131682962346571E-3</v>
      </c>
      <c r="M173" t="str">
        <f t="shared" si="6"/>
        <v>简易美术品</v>
      </c>
      <c r="W173"/>
      <c r="X173">
        <v>309106</v>
      </c>
      <c r="Y173" s="8" t="s">
        <v>1600</v>
      </c>
      <c r="Z173" t="s">
        <v>1601</v>
      </c>
      <c r="AA173" s="89" t="s">
        <v>1602</v>
      </c>
      <c r="AB173" t="s">
        <v>1603</v>
      </c>
      <c r="AC173" s="9" t="s">
        <v>1604</v>
      </c>
      <c r="AD173" t="s">
        <v>1605</v>
      </c>
      <c r="AE173" t="s">
        <v>1606</v>
      </c>
      <c r="AF173"/>
      <c r="AG173">
        <v>6</v>
      </c>
      <c r="AH173"/>
      <c r="AI173">
        <v>1</v>
      </c>
      <c r="AJ173"/>
      <c r="AK173"/>
      <c r="AL173"/>
      <c r="AM173"/>
      <c r="AN173"/>
      <c r="AO173"/>
      <c r="AP173"/>
      <c r="AQ173"/>
      <c r="AR173"/>
      <c r="AS173"/>
      <c r="AT173"/>
      <c r="AU173"/>
      <c r="AV173" s="30" t="s">
        <v>1571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f t="shared" si="7"/>
        <v>1.019346785937175E-2</v>
      </c>
      <c r="M174" t="str">
        <f t="shared" si="6"/>
        <v>美味果酒</v>
      </c>
      <c r="W174"/>
      <c r="X174">
        <v>309107</v>
      </c>
      <c r="Y174" s="8" t="s">
        <v>1607</v>
      </c>
      <c r="Z174" t="s">
        <v>1608</v>
      </c>
      <c r="AA174" s="89" t="s">
        <v>1609</v>
      </c>
      <c r="AB174" t="s">
        <v>1610</v>
      </c>
      <c r="AC174" s="9" t="s">
        <v>1611</v>
      </c>
      <c r="AD174" t="s">
        <v>1612</v>
      </c>
      <c r="AE174" t="s">
        <v>1613</v>
      </c>
      <c r="AF174"/>
      <c r="AG174">
        <v>6</v>
      </c>
      <c r="AH174"/>
      <c r="AI174">
        <v>1</v>
      </c>
      <c r="AJ174"/>
      <c r="AK174"/>
      <c r="AL174"/>
      <c r="AM174"/>
      <c r="AN174"/>
      <c r="AO174"/>
      <c r="AP174"/>
      <c r="AQ174"/>
      <c r="AR174"/>
      <c r="AS174"/>
      <c r="AT174"/>
      <c r="AU174"/>
      <c r="AV174" s="30" t="s">
        <v>1571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f t="shared" si="7"/>
        <v>2.9124193883919285E-2</v>
      </c>
      <c r="M175" t="str">
        <f t="shared" si="6"/>
        <v>美味果酒</v>
      </c>
      <c r="W175"/>
      <c r="X175">
        <v>309108</v>
      </c>
      <c r="Y175" s="8" t="s">
        <v>1614</v>
      </c>
      <c r="Z175" t="s">
        <v>1615</v>
      </c>
      <c r="AA175" s="89" t="s">
        <v>1616</v>
      </c>
      <c r="AB175" t="s">
        <v>1617</v>
      </c>
      <c r="AC175" s="9" t="s">
        <v>1618</v>
      </c>
      <c r="AD175" t="s">
        <v>1619</v>
      </c>
      <c r="AE175" t="s">
        <v>1620</v>
      </c>
      <c r="AF175"/>
      <c r="AG175">
        <v>6</v>
      </c>
      <c r="AH175"/>
      <c r="AI175">
        <v>1</v>
      </c>
      <c r="AJ175"/>
      <c r="AK175"/>
      <c r="AL175"/>
      <c r="AM175"/>
      <c r="AN175"/>
      <c r="AO175"/>
      <c r="AP175"/>
      <c r="AQ175"/>
      <c r="AR175"/>
      <c r="AS175"/>
      <c r="AT175"/>
      <c r="AU175"/>
      <c r="AV175" s="30" t="s">
        <v>1571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f t="shared" si="7"/>
        <v>8.1131682962346571E-3</v>
      </c>
      <c r="M176" t="str">
        <f t="shared" si="6"/>
        <v>美味果酒</v>
      </c>
      <c r="W176" s="72"/>
      <c r="X176" s="73">
        <v>309111</v>
      </c>
      <c r="Y176" s="95" t="s">
        <v>1564</v>
      </c>
      <c r="Z176" s="73"/>
      <c r="AA176" s="96"/>
      <c r="AB176" s="73" t="s">
        <v>1621</v>
      </c>
      <c r="AC176" s="97"/>
      <c r="AD176" s="98"/>
      <c r="AE176" s="73" t="s">
        <v>1570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1622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f t="shared" si="7"/>
        <v>1.019346785937175E-2</v>
      </c>
      <c r="M177" t="str">
        <f t="shared" si="6"/>
        <v>普通的碎钻</v>
      </c>
      <c r="W177" s="72"/>
      <c r="X177" s="73">
        <v>309112</v>
      </c>
      <c r="Y177" s="95" t="s">
        <v>1572</v>
      </c>
      <c r="Z177" s="73"/>
      <c r="AA177" s="96"/>
      <c r="AB177" s="73" t="s">
        <v>1623</v>
      </c>
      <c r="AC177" s="97"/>
      <c r="AD177" s="98"/>
      <c r="AE177" s="73" t="s">
        <v>1624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1622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f t="shared" si="7"/>
        <v>2.9124193883919285E-2</v>
      </c>
      <c r="M178" t="str">
        <f t="shared" si="6"/>
        <v>普通的碎钻</v>
      </c>
      <c r="W178" s="72"/>
      <c r="X178" s="73">
        <v>309113</v>
      </c>
      <c r="Y178" s="95" t="s">
        <v>1593</v>
      </c>
      <c r="Z178" s="73"/>
      <c r="AA178" s="96"/>
      <c r="AB178" s="73" t="s">
        <v>1625</v>
      </c>
      <c r="AC178" s="97"/>
      <c r="AD178" s="98"/>
      <c r="AE178" s="73" t="s">
        <v>1599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1622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f t="shared" si="7"/>
        <v>8.1131682962346571E-3</v>
      </c>
      <c r="M179" t="str">
        <f t="shared" si="6"/>
        <v>普通的碎钻</v>
      </c>
      <c r="W179" s="72"/>
      <c r="X179" s="73">
        <v>309114</v>
      </c>
      <c r="Y179" s="95" t="s">
        <v>1579</v>
      </c>
      <c r="Z179" s="73"/>
      <c r="AA179" s="96"/>
      <c r="AB179" s="73" t="s">
        <v>1626</v>
      </c>
      <c r="AC179" s="97"/>
      <c r="AD179" s="98"/>
      <c r="AE179" s="73" t="s">
        <v>1585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1622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f t="shared" si="7"/>
        <v>1.019346785937175E-2</v>
      </c>
      <c r="M180" t="str">
        <f t="shared" si="6"/>
        <v>熊公仔</v>
      </c>
      <c r="W180" s="72"/>
      <c r="X180" s="73">
        <v>309115</v>
      </c>
      <c r="Y180" s="95" t="s">
        <v>1586</v>
      </c>
      <c r="Z180" s="73"/>
      <c r="AA180" s="96"/>
      <c r="AB180" s="73" t="s">
        <v>1627</v>
      </c>
      <c r="AC180" s="97"/>
      <c r="AD180" s="98"/>
      <c r="AE180" s="73" t="s">
        <v>1628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1622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f t="shared" si="7"/>
        <v>2.9124193883919285E-2</v>
      </c>
      <c r="M181" t="str">
        <f t="shared" si="6"/>
        <v>熊公仔</v>
      </c>
      <c r="W181" s="72"/>
      <c r="X181" s="73">
        <v>309116</v>
      </c>
      <c r="Y181" s="95" t="s">
        <v>1600</v>
      </c>
      <c r="Z181" s="73"/>
      <c r="AA181" s="96"/>
      <c r="AB181" s="73" t="s">
        <v>1629</v>
      </c>
      <c r="AC181" s="97"/>
      <c r="AD181" s="98"/>
      <c r="AE181" s="73" t="s">
        <v>1606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1622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f t="shared" si="7"/>
        <v>8.1131682962346571E-3</v>
      </c>
      <c r="M182" t="str">
        <f t="shared" si="6"/>
        <v>熊公仔</v>
      </c>
      <c r="W182" s="72"/>
      <c r="X182" s="73">
        <v>309117</v>
      </c>
      <c r="Y182" s="95" t="s">
        <v>1607</v>
      </c>
      <c r="Z182" s="73"/>
      <c r="AA182" s="96"/>
      <c r="AB182" s="73" t="s">
        <v>1630</v>
      </c>
      <c r="AC182" s="97"/>
      <c r="AD182" s="98"/>
      <c r="AE182" s="73" t="s">
        <v>1631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1622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f t="shared" si="7"/>
        <v>1.019346785937175E-2</v>
      </c>
      <c r="M183" t="str">
        <f t="shared" si="6"/>
        <v>同人小册子</v>
      </c>
      <c r="W183" s="72"/>
      <c r="X183" s="73">
        <v>309118</v>
      </c>
      <c r="Y183" s="95" t="s">
        <v>1614</v>
      </c>
      <c r="Z183" s="73"/>
      <c r="AA183" s="96"/>
      <c r="AB183" s="73" t="s">
        <v>1632</v>
      </c>
      <c r="AC183" s="97"/>
      <c r="AD183" s="98"/>
      <c r="AE183" s="73" t="s">
        <v>1633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1622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f t="shared" si="7"/>
        <v>2.9124193883919285E-2</v>
      </c>
      <c r="M184" t="str">
        <f t="shared" si="6"/>
        <v>同人小册子</v>
      </c>
      <c r="W184" s="72"/>
      <c r="X184" s="73">
        <v>309119</v>
      </c>
      <c r="Y184" s="99" t="s">
        <v>1634</v>
      </c>
      <c r="Z184" s="73"/>
      <c r="AA184" s="96"/>
      <c r="AB184" s="73" t="s">
        <v>1635</v>
      </c>
      <c r="AC184" s="97"/>
      <c r="AD184" s="98"/>
      <c r="AE184" s="73" t="s">
        <v>1636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1622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f t="shared" si="7"/>
        <v>8.1131682962346571E-3</v>
      </c>
      <c r="M185" t="str">
        <f t="shared" si="6"/>
        <v>同人小册子</v>
      </c>
      <c r="W185" s="72"/>
      <c r="X185" s="73">
        <v>309120</v>
      </c>
      <c r="Y185" s="99" t="s">
        <v>1637</v>
      </c>
      <c r="Z185" s="73"/>
      <c r="AA185" s="96"/>
      <c r="AB185" s="73" t="s">
        <v>1638</v>
      </c>
      <c r="AC185" s="97"/>
      <c r="AD185" s="98"/>
      <c r="AE185" s="73" t="s">
        <v>1639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1622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f t="shared" si="7"/>
        <v>1.019346785937175E-2</v>
      </c>
      <c r="M186" t="str">
        <f t="shared" si="6"/>
        <v>朴素的小裙子</v>
      </c>
      <c r="W186" s="72"/>
      <c r="X186" s="73">
        <v>309121</v>
      </c>
      <c r="Y186" s="99" t="s">
        <v>1640</v>
      </c>
      <c r="Z186" s="73"/>
      <c r="AA186" s="96"/>
      <c r="AB186" s="73" t="s">
        <v>1641</v>
      </c>
      <c r="AC186" s="97"/>
      <c r="AD186" s="98"/>
      <c r="AE186" s="73" t="s">
        <v>1642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1622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f t="shared" si="7"/>
        <v>2.9124193883919285E-2</v>
      </c>
      <c r="M187" t="str">
        <f t="shared" si="6"/>
        <v>朴素的小裙子</v>
      </c>
      <c r="W187" s="74"/>
      <c r="X187" s="73">
        <v>309122</v>
      </c>
      <c r="Y187" s="100" t="s">
        <v>1643</v>
      </c>
      <c r="Z187" s="73"/>
      <c r="AA187" s="96"/>
      <c r="AB187" s="73" t="s">
        <v>1644</v>
      </c>
      <c r="AC187" s="97"/>
      <c r="AD187" s="98"/>
      <c r="AE187" s="73" t="s">
        <v>1645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1622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f t="shared" si="7"/>
        <v>8.1131682962346571E-3</v>
      </c>
      <c r="M188" t="str">
        <f t="shared" si="6"/>
        <v>朴素的小裙子</v>
      </c>
      <c r="W188" s="72"/>
      <c r="X188" s="73">
        <v>309123</v>
      </c>
      <c r="Y188" s="99" t="s">
        <v>1646</v>
      </c>
      <c r="Z188" s="73"/>
      <c r="AA188" s="96"/>
      <c r="AB188" s="73" t="s">
        <v>1647</v>
      </c>
      <c r="AC188" s="97"/>
      <c r="AD188" s="98"/>
      <c r="AE188" s="73" t="s">
        <v>1648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1622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f t="shared" si="7"/>
        <v>2.6835864364468484E-2</v>
      </c>
      <c r="J189" s="68">
        <f>SUM(H189:H212)</f>
        <v>0.35323486582067809</v>
      </c>
      <c r="M189" t="str">
        <f t="shared" si="6"/>
        <v>蓝罐曲奇</v>
      </c>
      <c r="W189" s="72"/>
      <c r="X189" s="73">
        <v>309124</v>
      </c>
      <c r="Y189" s="99" t="s">
        <v>1649</v>
      </c>
      <c r="Z189" s="73"/>
      <c r="AA189" s="96"/>
      <c r="AB189" s="73" t="s">
        <v>1650</v>
      </c>
      <c r="AC189" s="97"/>
      <c r="AD189" s="98"/>
      <c r="AE189" s="73" t="s">
        <v>1651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1622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f t="shared" si="7"/>
        <v>8.1131682962346571E-3</v>
      </c>
      <c r="M190" t="str">
        <f t="shared" si="6"/>
        <v>蓝罐曲奇</v>
      </c>
      <c r="W190" s="72"/>
      <c r="X190" s="73">
        <v>309125</v>
      </c>
      <c r="Y190" s="99" t="s">
        <v>1652</v>
      </c>
      <c r="Z190" s="73"/>
      <c r="AA190" s="96"/>
      <c r="AB190" s="73" t="s">
        <v>1653</v>
      </c>
      <c r="AC190" s="97"/>
      <c r="AD190" s="98"/>
      <c r="AE190" s="73" t="s">
        <v>1654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1622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f t="shared" si="7"/>
        <v>8.1131682962346571E-3</v>
      </c>
      <c r="M191" t="str">
        <f t="shared" si="6"/>
        <v>蓝罐曲奇</v>
      </c>
      <c r="W191" s="72"/>
      <c r="X191" s="73">
        <v>309126</v>
      </c>
      <c r="Y191" s="99" t="s">
        <v>1655</v>
      </c>
      <c r="Z191" s="73"/>
      <c r="AA191" s="96"/>
      <c r="AB191" s="73" t="s">
        <v>1656</v>
      </c>
      <c r="AC191" s="97"/>
      <c r="AD191" s="98"/>
      <c r="AE191" s="73" t="s">
        <v>1657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1622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f t="shared" si="7"/>
        <v>2.8084044102350738E-2</v>
      </c>
      <c r="M192" t="str">
        <f t="shared" si="6"/>
        <v>Twitch掌机</v>
      </c>
      <c r="W192" s="72"/>
      <c r="X192" s="73">
        <v>309127</v>
      </c>
      <c r="Y192" s="99" t="s">
        <v>1658</v>
      </c>
      <c r="Z192" s="73"/>
      <c r="AA192" s="96"/>
      <c r="AB192" s="73" t="s">
        <v>1659</v>
      </c>
      <c r="AC192" s="97"/>
      <c r="AD192" s="98"/>
      <c r="AE192" s="73" t="s">
        <v>1660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1622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f t="shared" si="7"/>
        <v>8.1131682962346571E-3</v>
      </c>
      <c r="M193" t="str">
        <f t="shared" si="6"/>
        <v>Twitch掌机</v>
      </c>
      <c r="W193" s="107"/>
      <c r="X193" s="73">
        <v>309128</v>
      </c>
      <c r="Y193" s="99" t="s">
        <v>1661</v>
      </c>
      <c r="Z193" s="73"/>
      <c r="AA193" s="96"/>
      <c r="AB193" s="73" t="s">
        <v>1662</v>
      </c>
      <c r="AC193" s="97"/>
      <c r="AD193" s="98"/>
      <c r="AE193" s="73" t="s">
        <v>1663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1622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f t="shared" si="7"/>
        <v>8.1131682962346571E-3</v>
      </c>
      <c r="M194" t="str">
        <f t="shared" si="6"/>
        <v>Twitch掌机</v>
      </c>
      <c r="W194" s="107"/>
      <c r="X194" s="73">
        <v>309129</v>
      </c>
      <c r="Y194" s="99" t="s">
        <v>1664</v>
      </c>
      <c r="Z194" s="73"/>
      <c r="AA194" s="96"/>
      <c r="AB194" s="73" t="s">
        <v>1665</v>
      </c>
      <c r="AC194" s="97"/>
      <c r="AD194" s="98"/>
      <c r="AE194" s="73" t="s">
        <v>1666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1622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f t="shared" si="7"/>
        <v>2.8084044102350738E-2</v>
      </c>
      <c r="M195" t="str">
        <f t="shared" si="6"/>
        <v>精美挂画</v>
      </c>
      <c r="W195" s="72"/>
      <c r="X195" s="73">
        <v>309130</v>
      </c>
      <c r="Y195" s="99" t="s">
        <v>1667</v>
      </c>
      <c r="Z195" s="73"/>
      <c r="AA195" s="96"/>
      <c r="AB195" s="73" t="s">
        <v>1668</v>
      </c>
      <c r="AC195" s="97"/>
      <c r="AD195" s="98"/>
      <c r="AE195" s="73" t="s">
        <v>1669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1622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f t="shared" si="7"/>
        <v>8.1131682962346571E-3</v>
      </c>
      <c r="M196" t="str">
        <f t="shared" si="6"/>
        <v>精美挂画</v>
      </c>
      <c r="W196" s="72"/>
      <c r="X196" s="73">
        <v>309131</v>
      </c>
      <c r="Y196" s="99" t="s">
        <v>1670</v>
      </c>
      <c r="Z196" s="73"/>
      <c r="AA196" s="96"/>
      <c r="AB196" s="73" t="s">
        <v>1671</v>
      </c>
      <c r="AC196" s="97"/>
      <c r="AD196" s="98"/>
      <c r="AE196" s="73" t="s">
        <v>1672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1622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f t="shared" ref="H197:H228" si="8">E197/SUM($E$165:$E$239)</f>
        <v>8.1131682962346571E-3</v>
      </c>
      <c r="M197" t="str">
        <f t="shared" si="6"/>
        <v>精美挂画</v>
      </c>
      <c r="W197" s="72"/>
      <c r="X197" s="73">
        <v>309132</v>
      </c>
      <c r="Y197" s="99" t="s">
        <v>1673</v>
      </c>
      <c r="Z197" s="73"/>
      <c r="AA197" s="96"/>
      <c r="AB197" s="73" t="s">
        <v>1674</v>
      </c>
      <c r="AC197" s="97"/>
      <c r="AD197" s="98"/>
      <c r="AE197" s="73" t="s">
        <v>1675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1622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f t="shared" si="8"/>
        <v>2.8084044102350738E-2</v>
      </c>
      <c r="M198" t="str">
        <f t="shared" ref="M198:M261" si="9">VLOOKUP(C198,X:Y,2,FALSE)</f>
        <v>香醇红酒</v>
      </c>
      <c r="W198" s="72"/>
      <c r="X198" s="73">
        <v>309133</v>
      </c>
      <c r="Y198" s="99" t="s">
        <v>1676</v>
      </c>
      <c r="Z198" s="73"/>
      <c r="AA198" s="96"/>
      <c r="AB198" s="73" t="s">
        <v>1677</v>
      </c>
      <c r="AC198" s="97"/>
      <c r="AD198" s="98"/>
      <c r="AE198" s="73" t="s">
        <v>1678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1622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f t="shared" si="8"/>
        <v>8.1131682962346571E-3</v>
      </c>
      <c r="M199" t="str">
        <f t="shared" si="9"/>
        <v>香醇红酒</v>
      </c>
      <c r="W199"/>
      <c r="X199">
        <v>309201</v>
      </c>
      <c r="Y199" s="8" t="s">
        <v>1679</v>
      </c>
      <c r="Z199" s="61" t="s">
        <v>1680</v>
      </c>
      <c r="AA199" s="61" t="s">
        <v>1681</v>
      </c>
      <c r="AB199" t="s">
        <v>1682</v>
      </c>
      <c r="AC199" s="9" t="s">
        <v>1683</v>
      </c>
      <c r="AD199" s="11" t="s">
        <v>1684</v>
      </c>
      <c r="AE199" t="s">
        <v>1685</v>
      </c>
      <c r="AF199"/>
      <c r="AG199">
        <v>6</v>
      </c>
      <c r="AH199"/>
      <c r="AI199">
        <v>1</v>
      </c>
      <c r="AJ199"/>
      <c r="AK199"/>
      <c r="AL199"/>
      <c r="AM199"/>
      <c r="AN199"/>
      <c r="AO199"/>
      <c r="AP199"/>
      <c r="AQ199"/>
      <c r="AR199"/>
      <c r="AS199"/>
      <c r="AT199"/>
      <c r="AU199"/>
      <c r="AV199" s="30" t="s">
        <v>1686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f t="shared" si="8"/>
        <v>8.1131682962346571E-3</v>
      </c>
      <c r="M200" t="str">
        <f t="shared" si="9"/>
        <v>香醇红酒</v>
      </c>
      <c r="W200" s="4"/>
      <c r="X200" s="4">
        <v>309202</v>
      </c>
      <c r="Y200" s="39" t="s">
        <v>1687</v>
      </c>
      <c r="Z200" s="21" t="s">
        <v>1688</v>
      </c>
      <c r="AA200" s="64" t="s">
        <v>1689</v>
      </c>
      <c r="AB200" s="109" t="s">
        <v>1690</v>
      </c>
      <c r="AC200" s="64" t="s">
        <v>1691</v>
      </c>
      <c r="AD200" s="64" t="s">
        <v>1692</v>
      </c>
      <c r="AE200" t="s">
        <v>1693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1694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f t="shared" si="8"/>
        <v>2.8084044102350738E-2</v>
      </c>
      <c r="M201" t="str">
        <f t="shared" si="9"/>
        <v>鸽子蛋宝石</v>
      </c>
      <c r="W201" s="4"/>
      <c r="X201" s="4">
        <v>309203</v>
      </c>
      <c r="Y201" s="39" t="s">
        <v>1695</v>
      </c>
      <c r="Z201" s="21" t="s">
        <v>1688</v>
      </c>
      <c r="AA201" s="64" t="s">
        <v>1689</v>
      </c>
      <c r="AB201" s="109"/>
      <c r="AC201" s="64" t="s">
        <v>1696</v>
      </c>
      <c r="AD201" s="64" t="s">
        <v>1697</v>
      </c>
      <c r="AE201" t="s">
        <v>1693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1698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f t="shared" si="8"/>
        <v>8.1131682962346571E-3</v>
      </c>
      <c r="M202" t="str">
        <f t="shared" si="9"/>
        <v>鸽子蛋宝石</v>
      </c>
      <c r="W202" s="4"/>
      <c r="X202" s="4">
        <v>309204</v>
      </c>
      <c r="Y202" t="s">
        <v>1699</v>
      </c>
      <c r="Z202" s="61" t="s">
        <v>1700</v>
      </c>
      <c r="AA202" s="64" t="s">
        <v>1701</v>
      </c>
      <c r="AB202" s="109" t="s">
        <v>1702</v>
      </c>
      <c r="AC202" s="64" t="s">
        <v>1703</v>
      </c>
      <c r="AD202" s="61" t="s">
        <v>1704</v>
      </c>
      <c r="AE202" t="s">
        <v>1705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1706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f t="shared" si="8"/>
        <v>8.1131682962346571E-3</v>
      </c>
      <c r="M203" t="str">
        <f t="shared" si="9"/>
        <v>鸽子蛋宝石</v>
      </c>
      <c r="W203" s="4"/>
      <c r="X203" s="4">
        <v>309205</v>
      </c>
      <c r="Y203" s="39" t="s">
        <v>1695</v>
      </c>
      <c r="Z203" s="21" t="s">
        <v>1688</v>
      </c>
      <c r="AA203" s="64" t="s">
        <v>1689</v>
      </c>
      <c r="AB203" s="109" t="s">
        <v>1707</v>
      </c>
      <c r="AC203" s="64" t="s">
        <v>1708</v>
      </c>
      <c r="AD203" t="s">
        <v>1709</v>
      </c>
      <c r="AE203" t="s">
        <v>1710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1711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f t="shared" si="8"/>
        <v>2.8084044102350738E-2</v>
      </c>
      <c r="M204" t="str">
        <f t="shared" si="9"/>
        <v>熊公仔L</v>
      </c>
      <c r="W204" s="4"/>
      <c r="X204" s="4">
        <v>309997</v>
      </c>
      <c r="Y204" s="39" t="s">
        <v>1712</v>
      </c>
      <c r="Z204" s="39" t="s">
        <v>1712</v>
      </c>
      <c r="AA204" s="39" t="s">
        <v>1712</v>
      </c>
      <c r="AB204" s="109" t="s">
        <v>1713</v>
      </c>
      <c r="AC204" s="109" t="s">
        <v>1713</v>
      </c>
      <c r="AD204" s="109" t="s">
        <v>1713</v>
      </c>
      <c r="AE204"/>
      <c r="AF204" s="4"/>
      <c r="AG204">
        <v>5</v>
      </c>
      <c r="AH204">
        <v>3</v>
      </c>
      <c r="AI204">
        <v>1</v>
      </c>
      <c r="AJ204"/>
      <c r="AK204"/>
      <c r="AL204"/>
      <c r="AM204"/>
      <c r="AN204"/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f t="shared" si="8"/>
        <v>8.1131682962346571E-3</v>
      </c>
      <c r="M205" t="str">
        <f t="shared" si="9"/>
        <v>熊公仔L</v>
      </c>
      <c r="W205" s="4"/>
      <c r="X205" s="4">
        <v>309998</v>
      </c>
      <c r="Y205" s="39" t="s">
        <v>1714</v>
      </c>
      <c r="Z205" s="39"/>
      <c r="AA205" s="39"/>
      <c r="AB205" s="109"/>
      <c r="AC205" s="109"/>
      <c r="AD205" s="109"/>
      <c r="AE205"/>
      <c r="AF205" s="4"/>
      <c r="AG205"/>
      <c r="AH205"/>
      <c r="AI205"/>
      <c r="AJ205"/>
      <c r="AK205"/>
      <c r="AL205"/>
      <c r="AM205"/>
      <c r="AN205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f t="shared" si="8"/>
        <v>8.1131682962346571E-3</v>
      </c>
      <c r="M206" t="str">
        <f t="shared" si="9"/>
        <v>熊公仔L</v>
      </c>
      <c r="W206" s="4"/>
      <c r="X206" s="4">
        <v>309999</v>
      </c>
      <c r="Y206" s="39" t="s">
        <v>1715</v>
      </c>
      <c r="Z206" s="39"/>
      <c r="AA206" s="39"/>
      <c r="AB206" s="109"/>
      <c r="AC206" s="109"/>
      <c r="AD206" s="109"/>
      <c r="AE206"/>
      <c r="AF206" s="4"/>
      <c r="AG206"/>
      <c r="AH206"/>
      <c r="AI206"/>
      <c r="AJ206"/>
      <c r="AK206"/>
      <c r="AL206"/>
      <c r="AM206"/>
      <c r="AN206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f t="shared" si="8"/>
        <v>2.8084044102350738E-2</v>
      </c>
      <c r="M207" t="str">
        <f t="shared" si="9"/>
        <v>简装同人志</v>
      </c>
      <c r="W207" s="108"/>
      <c r="X207">
        <v>302999</v>
      </c>
      <c r="Y207" s="8" t="s">
        <v>1716</v>
      </c>
      <c r="Z207"/>
      <c r="AA207"/>
      <c r="AB207"/>
      <c r="AC207" s="9"/>
      <c r="AD207"/>
      <c r="AE207" t="s">
        <v>1490</v>
      </c>
      <c r="AF207"/>
      <c r="AG207">
        <v>1</v>
      </c>
      <c r="AH207">
        <v>1</v>
      </c>
      <c r="AI207"/>
      <c r="AJ207"/>
      <c r="AK207"/>
      <c r="AL207"/>
      <c r="AM207"/>
      <c r="AN207">
        <v>10001</v>
      </c>
      <c r="AO207"/>
      <c r="AP207"/>
      <c r="AQ207"/>
      <c r="AR207"/>
      <c r="AS207"/>
      <c r="AT207"/>
      <c r="AU207"/>
      <c r="AV207"/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f t="shared" si="8"/>
        <v>8.1131682962346571E-3</v>
      </c>
      <c r="M208" t="str">
        <f t="shared" si="9"/>
        <v>简装同人志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f t="shared" si="8"/>
        <v>8.1131682962346571E-3</v>
      </c>
      <c r="M209" t="str">
        <f t="shared" si="9"/>
        <v>简装同人志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f t="shared" si="8"/>
        <v>2.8084044102350738E-2</v>
      </c>
      <c r="M210" t="str">
        <f t="shared" si="9"/>
        <v>普通的小裙子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f t="shared" si="8"/>
        <v>8.1131682962346571E-3</v>
      </c>
      <c r="M211" t="str">
        <f t="shared" si="9"/>
        <v>普通的小裙子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f t="shared" si="8"/>
        <v>8.1131682962346571E-3</v>
      </c>
      <c r="M212" t="str">
        <f t="shared" si="9"/>
        <v>普通的小裙子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f t="shared" si="8"/>
        <v>6.2408986894112754E-3</v>
      </c>
      <c r="J213" s="68">
        <f>SUM(H213:H220)</f>
        <v>4.9927189515290196E-2</v>
      </c>
      <c r="M213" t="str">
        <f t="shared" si="9"/>
        <v>香喷喷曲奇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f t="shared" si="8"/>
        <v>6.2408986894112754E-3</v>
      </c>
      <c r="M214" t="str">
        <f t="shared" si="9"/>
        <v>次世代游戏机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f t="shared" si="8"/>
        <v>6.2408986894112754E-3</v>
      </c>
      <c r="M215" t="str">
        <f t="shared" si="9"/>
        <v>经典名画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f t="shared" si="8"/>
        <v>6.2408986894112754E-3</v>
      </c>
      <c r="M216" t="str">
        <f t="shared" si="9"/>
        <v>82年的拉菲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f t="shared" si="8"/>
        <v>6.2408986894112754E-3</v>
      </c>
      <c r="M217" t="str">
        <f t="shared" si="9"/>
        <v>海洋之心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f t="shared" si="8"/>
        <v>6.2408986894112754E-3</v>
      </c>
      <c r="M218" t="str">
        <f t="shared" si="9"/>
        <v>熊公仔XXL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f t="shared" si="8"/>
        <v>6.2408986894112754E-3</v>
      </c>
      <c r="M219" t="str">
        <f t="shared" si="9"/>
        <v>精美同人志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f t="shared" si="8"/>
        <v>6.2408986894112754E-3</v>
      </c>
      <c r="M220" t="str">
        <f t="shared" si="9"/>
        <v>华丽的小裙子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f t="shared" si="8"/>
        <v>6.2408986894112754E-3</v>
      </c>
      <c r="I221" s="68">
        <f>SUM(H221:H233)</f>
        <v>0.14874141876430205</v>
      </c>
      <c r="M221" t="str">
        <f t="shared" si="9"/>
        <v>咸鱼立直棒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f t="shared" si="8"/>
        <v>6.2408986894112754E-3</v>
      </c>
      <c r="M222" t="str">
        <f t="shared" si="9"/>
        <v>大葱立直棒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f t="shared" si="8"/>
        <v>6.2408986894112754E-3</v>
      </c>
      <c r="M223" t="str">
        <f t="shared" si="9"/>
        <v>狗骨头立直棒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f t="shared" si="8"/>
        <v>1.6642396505096736E-2</v>
      </c>
      <c r="M224" t="str">
        <f t="shared" si="9"/>
        <v>和牌-烈焰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f t="shared" si="8"/>
        <v>1.6642396505096736E-2</v>
      </c>
      <c r="M225" t="str">
        <f t="shared" si="9"/>
        <v>和牌-旋风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f t="shared" si="8"/>
        <v>1.6642396505096736E-2</v>
      </c>
      <c r="M226" t="str">
        <f t="shared" si="9"/>
        <v>和牌-樱花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f t="shared" si="8"/>
        <v>1.1441647597254004E-2</v>
      </c>
      <c r="M227" t="str">
        <f t="shared" si="9"/>
        <v>立直-苍火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f t="shared" si="8"/>
        <v>1.1441647597254004E-2</v>
      </c>
      <c r="M228" t="str">
        <f t="shared" si="9"/>
        <v>孔雀绿桌布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f t="shared" ref="H229:H239" si="10">E229/SUM($E$165:$E$239)</f>
        <v>1.1441647597254004E-2</v>
      </c>
      <c r="M229" t="str">
        <f t="shared" si="9"/>
        <v>莲藕紫桌布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f t="shared" si="10"/>
        <v>1.1441647597254004E-2</v>
      </c>
      <c r="M230" t="str">
        <f t="shared" si="9"/>
        <v>紫罗兰桌布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f t="shared" si="10"/>
        <v>1.1441647597254004E-2</v>
      </c>
      <c r="M231" t="str">
        <f t="shared" si="9"/>
        <v>淡黄牌背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f t="shared" si="10"/>
        <v>1.1441647597254004E-2</v>
      </c>
      <c r="M232" t="str">
        <f t="shared" si="9"/>
        <v>果绿牌背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f t="shared" si="10"/>
        <v>1.1441647597254004E-2</v>
      </c>
      <c r="M233" t="str">
        <f t="shared" si="9"/>
        <v>玫瑰红牌背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f t="shared" si="10"/>
        <v>1.1441647597254004E-2</v>
      </c>
      <c r="M234" t="str">
        <f t="shared" si="9"/>
        <v>猩红立直棒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f t="shared" si="10"/>
        <v>1.1441647597254004E-2</v>
      </c>
      <c r="M235" t="str">
        <f t="shared" si="9"/>
        <v>24K金棒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f t="shared" si="10"/>
        <v>1.1441647597254004E-2</v>
      </c>
      <c r="I236" s="68">
        <f>SUM(H236:H239)</f>
        <v>4.5766590389016017E-2</v>
      </c>
      <c r="M236" t="e">
        <f t="shared" si="9"/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f t="shared" si="10"/>
        <v>1.1441647597254004E-2</v>
      </c>
      <c r="M237" t="e">
        <f t="shared" si="9"/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f t="shared" si="10"/>
        <v>1.1441647597254004E-2</v>
      </c>
      <c r="M238" t="e">
        <f t="shared" si="9"/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f t="shared" si="10"/>
        <v>1.1441647597254004E-2</v>
      </c>
      <c r="M239" t="e">
        <f t="shared" si="9"/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f t="shared" ref="H240:H247" si="11">E240/SUM($E$240:$E$247)</f>
        <v>0.125</v>
      </c>
      <c r="I240" t="s">
        <v>657</v>
      </c>
      <c r="M240" t="str">
        <f t="shared" si="9"/>
        <v>香喷喷曲奇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f t="shared" si="11"/>
        <v>0.125</v>
      </c>
      <c r="M241" t="str">
        <f t="shared" si="9"/>
        <v>次世代游戏机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f t="shared" si="11"/>
        <v>0.125</v>
      </c>
      <c r="M242" t="str">
        <f t="shared" si="9"/>
        <v>经典名画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f t="shared" si="11"/>
        <v>0.125</v>
      </c>
      <c r="M243" t="str">
        <f t="shared" si="9"/>
        <v>82年的拉菲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f t="shared" si="11"/>
        <v>0.125</v>
      </c>
      <c r="M244" t="str">
        <f t="shared" si="9"/>
        <v>海洋之心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f t="shared" si="11"/>
        <v>0.125</v>
      </c>
      <c r="M245" t="str">
        <f t="shared" si="9"/>
        <v>熊公仔XXL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f t="shared" si="11"/>
        <v>0.125</v>
      </c>
      <c r="M246" t="str">
        <f t="shared" si="9"/>
        <v>精美同人志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f t="shared" si="11"/>
        <v>0.125</v>
      </c>
      <c r="M247" t="str">
        <f t="shared" si="9"/>
        <v>华丽的小裙子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1717</v>
      </c>
      <c r="H248" s="104">
        <f t="shared" ref="H248:H279" si="12">E248/SUM($E$248:$E$324)</f>
        <v>5.0041701417848203E-4</v>
      </c>
      <c r="I248" s="104">
        <f>SUM(H248:H324)</f>
        <v>0.99999999999999922</v>
      </c>
      <c r="J248" s="104">
        <f>SUM(H248:H271)</f>
        <v>0.84470391993327731</v>
      </c>
      <c r="K248">
        <f>2*D248*H248+2*D249*H249+2*D250*H250</f>
        <v>6.0050041701417839E-3</v>
      </c>
      <c r="M248" t="str">
        <f t="shared" si="9"/>
        <v>手工曲奇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f t="shared" si="12"/>
        <v>5.0041701417848203E-4</v>
      </c>
      <c r="M249" t="str">
        <f t="shared" si="9"/>
        <v>怀旧掌机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f t="shared" si="12"/>
        <v>5.0041701417848203E-4</v>
      </c>
      <c r="M250" t="str">
        <f t="shared" si="9"/>
        <v>简易美术品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f t="shared" si="12"/>
        <v>5.0041701417848203E-4</v>
      </c>
      <c r="M251" t="str">
        <f t="shared" si="9"/>
        <v>美味果酒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f t="shared" si="12"/>
        <v>5.0041701417848203E-4</v>
      </c>
      <c r="M252" t="str">
        <f t="shared" si="9"/>
        <v>普通的碎钻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f t="shared" si="12"/>
        <v>5.0041701417848203E-4</v>
      </c>
      <c r="M253" t="str">
        <f t="shared" si="9"/>
        <v>熊公仔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f t="shared" si="12"/>
        <v>5.0041701417848203E-4</v>
      </c>
      <c r="M254" t="str">
        <f t="shared" si="9"/>
        <v>同人小册子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f t="shared" si="12"/>
        <v>5.0041701417848203E-4</v>
      </c>
      <c r="M255" t="str">
        <f t="shared" si="9"/>
        <v>朴素的小裙子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f t="shared" si="12"/>
        <v>0.10008340283569642</v>
      </c>
      <c r="M256" t="str">
        <f t="shared" si="9"/>
        <v>蓝罐曲奇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f t="shared" si="12"/>
        <v>0.10008340283569642</v>
      </c>
      <c r="M257" t="str">
        <f t="shared" si="9"/>
        <v>Twitch掌机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f t="shared" si="12"/>
        <v>0.10008340283569642</v>
      </c>
      <c r="M258" t="str">
        <f t="shared" si="9"/>
        <v>精美挂画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f t="shared" si="12"/>
        <v>0.10008340283569642</v>
      </c>
      <c r="M259" t="str">
        <f t="shared" si="9"/>
        <v>香醇红酒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f t="shared" si="12"/>
        <v>0.10008340283569642</v>
      </c>
      <c r="M260" t="str">
        <f t="shared" si="9"/>
        <v>鸽子蛋宝石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f t="shared" si="12"/>
        <v>0.10008340283569642</v>
      </c>
      <c r="M261" t="str">
        <f t="shared" si="9"/>
        <v>熊公仔L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f t="shared" si="12"/>
        <v>0.10008340283569642</v>
      </c>
      <c r="M262" t="str">
        <f t="shared" ref="M262:M325" si="13">VLOOKUP(C262,X:Y,2,FALSE)</f>
        <v>简装同人志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f t="shared" si="12"/>
        <v>0.10008340283569642</v>
      </c>
      <c r="M263" t="str">
        <f t="shared" si="13"/>
        <v>普通的小裙子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f t="shared" si="12"/>
        <v>5.0041701417848205E-3</v>
      </c>
      <c r="M264" t="str">
        <f t="shared" si="13"/>
        <v>香喷喷曲奇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f t="shared" si="12"/>
        <v>5.0041701417848205E-3</v>
      </c>
      <c r="M265" t="str">
        <f t="shared" si="13"/>
        <v>次世代游戏机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f t="shared" si="12"/>
        <v>5.0041701417848205E-3</v>
      </c>
      <c r="M266" t="str">
        <f t="shared" si="13"/>
        <v>经典名画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f t="shared" si="12"/>
        <v>5.0041701417848205E-3</v>
      </c>
      <c r="M267" t="str">
        <f t="shared" si="13"/>
        <v>82年的拉菲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f t="shared" si="12"/>
        <v>5.0041701417848205E-3</v>
      </c>
      <c r="M268" t="str">
        <f t="shared" si="13"/>
        <v>海洋之心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f t="shared" si="12"/>
        <v>5.0041701417848205E-3</v>
      </c>
      <c r="M269" t="str">
        <f t="shared" si="13"/>
        <v>熊公仔XXL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f t="shared" si="12"/>
        <v>5.0041701417848205E-3</v>
      </c>
      <c r="M270" t="str">
        <f t="shared" si="13"/>
        <v>精美同人志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f t="shared" si="12"/>
        <v>5.0041701417848205E-3</v>
      </c>
      <c r="M271" t="str">
        <f t="shared" si="13"/>
        <v>华丽的小裙子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f t="shared" si="12"/>
        <v>3.5029190992493745E-3</v>
      </c>
      <c r="J272" s="104">
        <f>SUM(H272:H310)</f>
        <v>0.1366138448707257</v>
      </c>
      <c r="M272" t="str">
        <f t="shared" si="13"/>
        <v>咸鱼立直棒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f t="shared" si="12"/>
        <v>3.5029190992493745E-3</v>
      </c>
      <c r="M273" t="str">
        <f t="shared" si="13"/>
        <v>大葱立直棒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f t="shared" si="12"/>
        <v>3.5029190992493745E-3</v>
      </c>
      <c r="M274" t="str">
        <f t="shared" si="13"/>
        <v>狗骨头立直棒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f t="shared" si="12"/>
        <v>3.5029190992493745E-3</v>
      </c>
      <c r="M275" t="str">
        <f t="shared" si="13"/>
        <v>和牌-烈焰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f t="shared" si="12"/>
        <v>3.5029190992493745E-3</v>
      </c>
      <c r="M276" t="str">
        <f t="shared" si="13"/>
        <v>和牌-旋风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f t="shared" si="12"/>
        <v>3.5029190992493745E-3</v>
      </c>
      <c r="M277" t="str">
        <f t="shared" si="13"/>
        <v>和牌-樱花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f t="shared" si="12"/>
        <v>3.5029190992493745E-3</v>
      </c>
      <c r="M278" t="str">
        <f t="shared" si="13"/>
        <v>立直-苍火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f t="shared" si="12"/>
        <v>3.5029190992493745E-3</v>
      </c>
      <c r="M279" t="str">
        <f t="shared" si="13"/>
        <v>橘猫爪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f t="shared" ref="H280:H311" si="14">E280/SUM($E$248:$E$324)</f>
        <v>3.5029190992493745E-3</v>
      </c>
      <c r="M280" t="str">
        <f t="shared" si="13"/>
        <v>孔雀绿桌布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f t="shared" si="14"/>
        <v>3.5029190992493745E-3</v>
      </c>
      <c r="M281" t="str">
        <f t="shared" si="13"/>
        <v>莲藕紫桌布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f t="shared" si="14"/>
        <v>3.5029190992493745E-3</v>
      </c>
      <c r="M282" t="str">
        <f t="shared" si="13"/>
        <v>紫罗兰桌布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f t="shared" si="14"/>
        <v>3.5029190992493745E-3</v>
      </c>
      <c r="M283" t="str">
        <f t="shared" si="13"/>
        <v>淡黄牌背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f t="shared" si="14"/>
        <v>3.5029190992493745E-3</v>
      </c>
      <c r="M284" t="str">
        <f t="shared" si="13"/>
        <v>果绿牌背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f t="shared" si="14"/>
        <v>3.5029190992493745E-3</v>
      </c>
      <c r="M285" t="str">
        <f t="shared" si="13"/>
        <v>玫瑰红牌背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f t="shared" si="14"/>
        <v>3.5029190992493745E-3</v>
      </c>
      <c r="M286" t="str">
        <f t="shared" si="13"/>
        <v>猩红立直棒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f t="shared" si="14"/>
        <v>3.5029190992493745E-3</v>
      </c>
      <c r="M287" t="str">
        <f t="shared" si="13"/>
        <v>24K金棒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f t="shared" si="14"/>
        <v>3.5029190992493745E-3</v>
      </c>
      <c r="M288" t="str">
        <f t="shared" si="13"/>
        <v>立直-碎冰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f t="shared" si="14"/>
        <v>3.5029190992493745E-3</v>
      </c>
      <c r="M289" t="str">
        <f t="shared" si="13"/>
        <v>立直-火焰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f t="shared" si="14"/>
        <v>3.5029190992493745E-3</v>
      </c>
      <c r="M290" t="str">
        <f t="shared" si="13"/>
        <v>和牌-黑炎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f t="shared" si="14"/>
        <v>3.5029190992493745E-3</v>
      </c>
      <c r="M291" t="str">
        <f t="shared" si="13"/>
        <v>真剑胜负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f t="shared" si="14"/>
        <v>3.5029190992493745E-3</v>
      </c>
      <c r="M292" t="str">
        <f t="shared" si="13"/>
        <v>激斗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f t="shared" si="14"/>
        <v>3.5029190992493745E-3</v>
      </c>
      <c r="M293" t="str">
        <f t="shared" si="13"/>
        <v>立直-幻影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f t="shared" si="14"/>
        <v>3.5029190992493745E-3</v>
      </c>
      <c r="M294" t="str">
        <f t="shared" si="13"/>
        <v>立直-飞羽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f t="shared" si="14"/>
        <v>3.5029190992493745E-3</v>
      </c>
      <c r="M295" t="str">
        <f t="shared" si="13"/>
        <v>和牌-爆炎龙卷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f t="shared" si="14"/>
        <v>3.5029190992493745E-3</v>
      </c>
      <c r="M296" t="str">
        <f t="shared" si="13"/>
        <v>和牌-方舟反应堆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f t="shared" si="14"/>
        <v>3.5029190992493745E-3</v>
      </c>
      <c r="M297" t="str">
        <f t="shared" si="13"/>
        <v>和牌-红玫瑰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f t="shared" si="14"/>
        <v>3.5029190992493745E-3</v>
      </c>
      <c r="M298" t="str">
        <f t="shared" si="13"/>
        <v>立直-叮~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f t="shared" si="14"/>
        <v>3.5029190992493745E-3</v>
      </c>
      <c r="M299" t="str">
        <f t="shared" si="13"/>
        <v>立直-龙腾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f t="shared" si="14"/>
        <v>3.5029190992493745E-3</v>
      </c>
      <c r="M300" t="str">
        <f t="shared" si="13"/>
        <v>和牌-K.O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f t="shared" si="14"/>
        <v>3.5029190992493745E-3</v>
      </c>
      <c r="M301" t="str">
        <f t="shared" si="13"/>
        <v>和牌-逆鳞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f t="shared" si="14"/>
        <v>3.5029190992493745E-3</v>
      </c>
      <c r="M302" t="str">
        <f t="shared" si="13"/>
        <v>立直棒-断恶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f t="shared" si="14"/>
        <v>3.5029190992493745E-3</v>
      </c>
      <c r="M303" t="str">
        <f t="shared" si="13"/>
        <v>立直棒-雪糕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f t="shared" si="14"/>
        <v>3.5029190992493745E-3</v>
      </c>
      <c r="M304" t="str">
        <f t="shared" si="13"/>
        <v>出阵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f t="shared" si="14"/>
        <v>3.5029190992493745E-3</v>
      </c>
      <c r="M305" t="str">
        <f t="shared" si="13"/>
        <v>一触即发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f t="shared" si="14"/>
        <v>3.5029190992493745E-3</v>
      </c>
      <c r="M306" t="str">
        <f t="shared" si="13"/>
        <v>桌布-吃瓜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f t="shared" si="14"/>
        <v>3.5029190992493745E-3</v>
      </c>
      <c r="M307" t="str">
        <f t="shared" si="13"/>
        <v>和牌-幽灵嗷嗷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f t="shared" si="14"/>
        <v>3.5029190992493745E-3</v>
      </c>
      <c r="M308" t="str">
        <f t="shared" si="13"/>
        <v>立直-蝙蝠桀桀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f t="shared" si="14"/>
        <v>3.5029190992493745E-3</v>
      </c>
      <c r="M309" t="str">
        <f t="shared" si="13"/>
        <v>立直棒-小恶魔蝙蝠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f t="shared" si="14"/>
        <v>3.5029190992493745E-3</v>
      </c>
      <c r="M310" t="str">
        <f t="shared" si="13"/>
        <v>牌背-天然呆幽灵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f t="shared" si="14"/>
        <v>1.3344453711426189E-3</v>
      </c>
      <c r="J311" s="104">
        <f>SUM(H311:H324)</f>
        <v>1.8682235195996665E-2</v>
      </c>
      <c r="M311" t="e">
        <f t="shared" si="13"/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f t="shared" ref="H312:H324" si="15">E312/SUM($E$248:$E$324)</f>
        <v>1.3344453711426189E-3</v>
      </c>
      <c r="M312" t="e">
        <f t="shared" si="13"/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f t="shared" si="15"/>
        <v>1.3344453711426189E-3</v>
      </c>
      <c r="M313" t="e">
        <f t="shared" si="13"/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f t="shared" si="15"/>
        <v>1.3344453711426189E-3</v>
      </c>
      <c r="M314" t="e">
        <f t="shared" si="13"/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f t="shared" si="15"/>
        <v>1.3344453711426189E-3</v>
      </c>
      <c r="M315" t="e">
        <f t="shared" si="13"/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f t="shared" si="15"/>
        <v>1.3344453711426189E-3</v>
      </c>
      <c r="M316" t="e">
        <f t="shared" si="13"/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f t="shared" si="15"/>
        <v>1.3344453711426189E-3</v>
      </c>
      <c r="M317" t="e">
        <f t="shared" si="13"/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f t="shared" si="15"/>
        <v>1.3344453711426189E-3</v>
      </c>
      <c r="M318" t="e">
        <f t="shared" si="13"/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f t="shared" si="15"/>
        <v>1.3344453711426189E-3</v>
      </c>
      <c r="M319" t="e">
        <f t="shared" si="13"/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f t="shared" si="15"/>
        <v>1.3344453711426189E-3</v>
      </c>
      <c r="M320" t="e">
        <f t="shared" si="13"/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f t="shared" si="15"/>
        <v>1.3344453711426189E-3</v>
      </c>
      <c r="M321" t="e">
        <f t="shared" si="13"/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f t="shared" si="15"/>
        <v>1.3344453711426189E-3</v>
      </c>
      <c r="M322" t="e">
        <f t="shared" si="13"/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f t="shared" si="15"/>
        <v>1.3344453711426189E-3</v>
      </c>
      <c r="M323" t="e">
        <f t="shared" si="13"/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f t="shared" si="15"/>
        <v>1.3344453711426189E-3</v>
      </c>
      <c r="M324" t="e">
        <f t="shared" si="13"/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1718</v>
      </c>
      <c r="H325" s="114"/>
      <c r="M325" t="str">
        <f t="shared" si="13"/>
        <v>手工曲奇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tr">
        <f t="shared" ref="M326:M389" si="16">VLOOKUP(C326,X:Y,2,FALSE)</f>
        <v>怀旧掌机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tr">
        <f t="shared" si="16"/>
        <v>简易美术品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tr">
        <f t="shared" si="16"/>
        <v>美味果酒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tr">
        <f t="shared" si="16"/>
        <v>普通的碎钻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tr">
        <f t="shared" si="16"/>
        <v>熊公仔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tr">
        <f t="shared" si="16"/>
        <v>同人小册子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tr">
        <f t="shared" si="16"/>
        <v>朴素的小裙子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tr">
        <f t="shared" si="16"/>
        <v>蓝罐曲奇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tr">
        <f t="shared" si="16"/>
        <v>Twitch掌机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tr">
        <f t="shared" si="16"/>
        <v>精美挂画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tr">
        <f t="shared" si="16"/>
        <v>香醇红酒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tr">
        <f t="shared" si="16"/>
        <v>鸽子蛋宝石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tr">
        <f t="shared" si="16"/>
        <v>熊公仔L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tr">
        <f t="shared" si="16"/>
        <v>简装同人志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tr">
        <f t="shared" si="16"/>
        <v>普通的小裙子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tr">
        <f t="shared" si="16"/>
        <v>香喷喷曲奇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tr">
        <f t="shared" si="16"/>
        <v>次世代游戏机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tr">
        <f t="shared" si="16"/>
        <v>经典名画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tr">
        <f t="shared" si="16"/>
        <v>82年的拉菲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tr">
        <f t="shared" si="16"/>
        <v>海洋之心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tr">
        <f t="shared" si="16"/>
        <v>熊公仔XXL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tr">
        <f t="shared" si="16"/>
        <v>精美同人志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tr">
        <f t="shared" si="16"/>
        <v>华丽的小裙子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tr">
        <f t="shared" si="16"/>
        <v>咸鱼立直棒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tr">
        <f t="shared" si="16"/>
        <v>大葱立直棒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tr">
        <f t="shared" si="16"/>
        <v>狗骨头立直棒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tr">
        <f t="shared" si="16"/>
        <v>和牌-烈焰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tr">
        <f t="shared" si="16"/>
        <v>和牌-旋风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tr">
        <f t="shared" si="16"/>
        <v>和牌-樱花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tr">
        <f t="shared" si="16"/>
        <v>立直-苍火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tr">
        <f t="shared" si="16"/>
        <v>橘猫爪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tr">
        <f t="shared" si="16"/>
        <v>孔雀绿桌布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tr">
        <f t="shared" si="16"/>
        <v>莲藕紫桌布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tr">
        <f t="shared" si="16"/>
        <v>紫罗兰桌布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tr">
        <f t="shared" si="16"/>
        <v>淡黄牌背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tr">
        <f t="shared" si="16"/>
        <v>果绿牌背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tr">
        <f t="shared" si="16"/>
        <v>玫瑰红牌背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tr">
        <f t="shared" si="16"/>
        <v>猩红立直棒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tr">
        <f t="shared" si="16"/>
        <v>24K金棒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tr">
        <f t="shared" si="16"/>
        <v>立直-碎冰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tr">
        <f t="shared" si="16"/>
        <v>立直-火焰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tr">
        <f t="shared" si="16"/>
        <v>和牌-黑炎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tr">
        <f t="shared" si="16"/>
        <v>真剑胜负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tr">
        <f t="shared" si="16"/>
        <v>激斗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tr">
        <f t="shared" si="16"/>
        <v>立直-幻影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tr">
        <f t="shared" si="16"/>
        <v>立直-飞羽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tr">
        <f t="shared" si="16"/>
        <v>和牌-爆炎龙卷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tr">
        <f t="shared" si="16"/>
        <v>和牌-方舟反应堆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tr">
        <f t="shared" si="16"/>
        <v>和牌-红玫瑰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tr">
        <f t="shared" si="16"/>
        <v>立直-叮~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tr">
        <f t="shared" si="16"/>
        <v>立直-龙腾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tr">
        <f t="shared" si="16"/>
        <v>和牌-K.O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tr">
        <f t="shared" si="16"/>
        <v>和牌-逆鳞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tr">
        <f t="shared" si="16"/>
        <v>立直棒-断恶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tr">
        <f t="shared" si="16"/>
        <v>立直棒-雪糕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tr">
        <f t="shared" si="16"/>
        <v>出阵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tr">
        <f t="shared" si="16"/>
        <v>一触即发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tr">
        <f t="shared" si="16"/>
        <v>桌布-吃瓜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tr">
        <f t="shared" si="16"/>
        <v>和牌-幽灵嗷嗷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tr">
        <f t="shared" si="16"/>
        <v>立直-蝙蝠桀桀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tr">
        <f t="shared" si="16"/>
        <v>立直棒-小恶魔蝙蝠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tr">
        <f t="shared" si="16"/>
        <v>牌背-天然呆幽灵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f t="shared" si="16"/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f t="shared" si="16"/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f t="shared" ref="M390:M453" si="17">VLOOKUP(C390,X:Y,2,FALSE)</f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f t="shared" si="17"/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f t="shared" si="17"/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f t="shared" si="17"/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f t="shared" si="17"/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f t="shared" si="17"/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f t="shared" si="17"/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f t="shared" si="17"/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f t="shared" si="17"/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f t="shared" si="17"/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f t="shared" si="17"/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f t="shared" si="17"/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1719</v>
      </c>
      <c r="H402" s="114"/>
      <c r="M402" t="str">
        <f t="shared" si="17"/>
        <v>手工曲奇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tr">
        <f t="shared" si="17"/>
        <v>怀旧掌机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tr">
        <f t="shared" si="17"/>
        <v>简易美术品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tr">
        <f t="shared" si="17"/>
        <v>美味果酒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tr">
        <f t="shared" si="17"/>
        <v>普通的碎钻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tr">
        <f t="shared" si="17"/>
        <v>熊公仔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tr">
        <f t="shared" si="17"/>
        <v>同人小册子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tr">
        <f t="shared" si="17"/>
        <v>朴素的小裙子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tr">
        <f t="shared" si="17"/>
        <v>蓝罐曲奇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tr">
        <f t="shared" si="17"/>
        <v>Twitch掌机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tr">
        <f t="shared" si="17"/>
        <v>精美挂画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tr">
        <f t="shared" si="17"/>
        <v>香醇红酒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tr">
        <f t="shared" si="17"/>
        <v>鸽子蛋宝石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tr">
        <f t="shared" si="17"/>
        <v>熊公仔L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tr">
        <f t="shared" si="17"/>
        <v>简装同人志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tr">
        <f t="shared" si="17"/>
        <v>普通的小裙子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tr">
        <f t="shared" si="17"/>
        <v>香喷喷曲奇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tr">
        <f t="shared" si="17"/>
        <v>次世代游戏机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tr">
        <f t="shared" si="17"/>
        <v>经典名画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tr">
        <f t="shared" si="17"/>
        <v>82年的拉菲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tr">
        <f t="shared" si="17"/>
        <v>海洋之心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tr">
        <f t="shared" si="17"/>
        <v>熊公仔XXL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tr">
        <f t="shared" si="17"/>
        <v>精美同人志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tr">
        <f t="shared" si="17"/>
        <v>华丽的小裙子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tr">
        <f t="shared" si="17"/>
        <v>咸鱼立直棒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tr">
        <f t="shared" si="17"/>
        <v>大葱立直棒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tr">
        <f t="shared" si="17"/>
        <v>狗骨头立直棒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tr">
        <f t="shared" si="17"/>
        <v>和牌-烈焰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tr">
        <f t="shared" si="17"/>
        <v>和牌-旋风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tr">
        <f t="shared" si="17"/>
        <v>和牌-樱花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tr">
        <f t="shared" si="17"/>
        <v>立直-苍火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tr">
        <f t="shared" si="17"/>
        <v>橘猫爪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tr">
        <f t="shared" si="17"/>
        <v>孔雀绿桌布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tr">
        <f t="shared" si="17"/>
        <v>莲藕紫桌布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tr">
        <f t="shared" si="17"/>
        <v>紫罗兰桌布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tr">
        <f t="shared" si="17"/>
        <v>淡黄牌背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tr">
        <f t="shared" si="17"/>
        <v>果绿牌背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tr">
        <f t="shared" si="17"/>
        <v>玫瑰红牌背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tr">
        <f t="shared" si="17"/>
        <v>猩红立直棒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tr">
        <f t="shared" si="17"/>
        <v>24K金棒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tr">
        <f t="shared" si="17"/>
        <v>立直-碎冰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tr">
        <f t="shared" si="17"/>
        <v>立直-火焰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tr">
        <f t="shared" si="17"/>
        <v>和牌-黑炎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tr">
        <f t="shared" si="17"/>
        <v>真剑胜负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tr">
        <f t="shared" si="17"/>
        <v>激斗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tr">
        <f t="shared" si="17"/>
        <v>立直-幻影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tr">
        <f t="shared" si="17"/>
        <v>立直-飞羽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tr">
        <f t="shared" si="17"/>
        <v>和牌-爆炎龙卷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tr">
        <f t="shared" si="17"/>
        <v>和牌-方舟反应堆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tr">
        <f t="shared" si="17"/>
        <v>和牌-红玫瑰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tr">
        <f t="shared" si="17"/>
        <v>立直-叮~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tr">
        <f t="shared" si="17"/>
        <v>立直-龙腾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tr">
        <f t="shared" ref="M454:M517" si="18">VLOOKUP(C454,X:Y,2,FALSE)</f>
        <v>和牌-K.O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tr">
        <f t="shared" si="18"/>
        <v>和牌-逆鳞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tr">
        <f t="shared" si="18"/>
        <v>立直棒-断恶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tr">
        <f t="shared" si="18"/>
        <v>立直棒-雪糕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tr">
        <f t="shared" si="18"/>
        <v>出阵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tr">
        <f t="shared" si="18"/>
        <v>一触即发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tr">
        <f t="shared" si="18"/>
        <v>桌布-吃瓜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tr">
        <f t="shared" si="18"/>
        <v>和牌-幽灵嗷嗷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tr">
        <f t="shared" si="18"/>
        <v>立直-蝙蝠桀桀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tr">
        <f t="shared" si="18"/>
        <v>立直棒-小恶魔蝙蝠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tr">
        <f t="shared" si="18"/>
        <v>牌背-天然呆幽灵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f t="shared" si="18"/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f t="shared" si="18"/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f t="shared" si="18"/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f t="shared" si="18"/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f t="shared" si="18"/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f t="shared" si="18"/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f t="shared" si="18"/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f t="shared" si="18"/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f t="shared" si="18"/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f t="shared" si="18"/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f t="shared" si="18"/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f t="shared" si="18"/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f t="shared" si="18"/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f t="shared" si="18"/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1720</v>
      </c>
      <c r="H479" s="114"/>
      <c r="M479" t="str">
        <f t="shared" si="18"/>
        <v>手工曲奇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tr">
        <f t="shared" si="18"/>
        <v>怀旧掌机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tr">
        <f t="shared" si="18"/>
        <v>简易美术品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tr">
        <f t="shared" si="18"/>
        <v>美味果酒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tr">
        <f t="shared" si="18"/>
        <v>普通的碎钻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tr">
        <f t="shared" si="18"/>
        <v>熊公仔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tr">
        <f t="shared" si="18"/>
        <v>同人小册子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tr">
        <f t="shared" si="18"/>
        <v>朴素的小裙子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tr">
        <f t="shared" si="18"/>
        <v>蓝罐曲奇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tr">
        <f t="shared" si="18"/>
        <v>Twitch掌机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tr">
        <f t="shared" si="18"/>
        <v>精美挂画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tr">
        <f t="shared" si="18"/>
        <v>香醇红酒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tr">
        <f t="shared" si="18"/>
        <v>鸽子蛋宝石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tr">
        <f t="shared" si="18"/>
        <v>熊公仔L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tr">
        <f t="shared" si="18"/>
        <v>简装同人志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tr">
        <f t="shared" si="18"/>
        <v>普通的小裙子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tr">
        <f t="shared" si="18"/>
        <v>香喷喷曲奇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tr">
        <f t="shared" si="18"/>
        <v>次世代游戏机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tr">
        <f t="shared" si="18"/>
        <v>经典名画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tr">
        <f t="shared" si="18"/>
        <v>82年的拉菲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tr">
        <f t="shared" si="18"/>
        <v>海洋之心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tr">
        <f t="shared" si="18"/>
        <v>熊公仔XXL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tr">
        <f t="shared" si="18"/>
        <v>精美同人志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tr">
        <f t="shared" si="18"/>
        <v>华丽的小裙子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tr">
        <f t="shared" si="18"/>
        <v>咸鱼立直棒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tr">
        <f t="shared" si="18"/>
        <v>大葱立直棒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tr">
        <f t="shared" si="18"/>
        <v>狗骨头立直棒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tr">
        <f t="shared" si="18"/>
        <v>和牌-烈焰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tr">
        <f t="shared" si="18"/>
        <v>和牌-旋风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tr">
        <f t="shared" si="18"/>
        <v>和牌-樱花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tr">
        <f t="shared" si="18"/>
        <v>立直-苍火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tr">
        <f t="shared" si="18"/>
        <v>橘猫爪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tr">
        <f t="shared" si="18"/>
        <v>孔雀绿桌布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tr">
        <f t="shared" si="18"/>
        <v>莲藕紫桌布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tr">
        <f t="shared" si="18"/>
        <v>紫罗兰桌布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tr">
        <f t="shared" si="18"/>
        <v>淡黄牌背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tr">
        <f t="shared" si="18"/>
        <v>果绿牌背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tr">
        <f t="shared" si="18"/>
        <v>玫瑰红牌背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tr">
        <f t="shared" si="18"/>
        <v>猩红立直棒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tr">
        <f t="shared" ref="M518:M581" si="19">VLOOKUP(C518,X:Y,2,FALSE)</f>
        <v>24K金棒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tr">
        <f t="shared" si="19"/>
        <v>立直-碎冰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tr">
        <f t="shared" si="19"/>
        <v>立直-火焰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tr">
        <f t="shared" si="19"/>
        <v>和牌-黑炎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tr">
        <f t="shared" si="19"/>
        <v>真剑胜负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tr">
        <f t="shared" si="19"/>
        <v>激斗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tr">
        <f t="shared" si="19"/>
        <v>立直-幻影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tr">
        <f t="shared" si="19"/>
        <v>立直-飞羽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tr">
        <f t="shared" si="19"/>
        <v>和牌-爆炎龙卷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tr">
        <f t="shared" si="19"/>
        <v>和牌-方舟反应堆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tr">
        <f t="shared" si="19"/>
        <v>和牌-红玫瑰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tr">
        <f t="shared" si="19"/>
        <v>立直-叮~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tr">
        <f t="shared" si="19"/>
        <v>立直-龙腾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tr">
        <f t="shared" si="19"/>
        <v>和牌-K.O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tr">
        <f t="shared" si="19"/>
        <v>和牌-逆鳞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tr">
        <f t="shared" si="19"/>
        <v>立直棒-断恶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tr">
        <f t="shared" si="19"/>
        <v>立直棒-雪糕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tr">
        <f t="shared" si="19"/>
        <v>出阵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tr">
        <f t="shared" si="19"/>
        <v>一触即发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tr">
        <f t="shared" si="19"/>
        <v>桌布-吃瓜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tr">
        <f t="shared" si="19"/>
        <v>和牌-幽灵嗷嗷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tr">
        <f t="shared" si="19"/>
        <v>立直-蝙蝠桀桀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tr">
        <f t="shared" si="19"/>
        <v>立直棒-小恶魔蝙蝠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tr">
        <f t="shared" si="19"/>
        <v>牌背-天然呆幽灵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f t="shared" si="19"/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f t="shared" si="19"/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f t="shared" si="19"/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f t="shared" si="19"/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f t="shared" si="19"/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f t="shared" si="19"/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f t="shared" si="19"/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f t="shared" si="19"/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f t="shared" si="19"/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f t="shared" si="19"/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f t="shared" si="19"/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f t="shared" si="19"/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f t="shared" si="19"/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f t="shared" si="19"/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1721</v>
      </c>
      <c r="H556" s="114"/>
      <c r="M556" t="str">
        <f t="shared" si="19"/>
        <v>手工曲奇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tr">
        <f t="shared" si="19"/>
        <v>怀旧掌机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tr">
        <f t="shared" si="19"/>
        <v>简易美术品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tr">
        <f t="shared" si="19"/>
        <v>美味果酒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tr">
        <f t="shared" si="19"/>
        <v>普通的碎钻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tr">
        <f t="shared" si="19"/>
        <v>熊公仔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tr">
        <f t="shared" si="19"/>
        <v>同人小册子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tr">
        <f t="shared" si="19"/>
        <v>朴素的小裙子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tr">
        <f t="shared" si="19"/>
        <v>蓝罐曲奇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tr">
        <f t="shared" si="19"/>
        <v>Twitch掌机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tr">
        <f t="shared" si="19"/>
        <v>精美挂画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tr">
        <f t="shared" si="19"/>
        <v>香醇红酒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tr">
        <f t="shared" si="19"/>
        <v>鸽子蛋宝石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tr">
        <f t="shared" si="19"/>
        <v>熊公仔L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tr">
        <f t="shared" si="19"/>
        <v>简装同人志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tr">
        <f t="shared" si="19"/>
        <v>普通的小裙子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tr">
        <f t="shared" si="19"/>
        <v>香喷喷曲奇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tr">
        <f t="shared" si="19"/>
        <v>次世代游戏机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tr">
        <f t="shared" si="19"/>
        <v>经典名画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tr">
        <f t="shared" si="19"/>
        <v>82年的拉菲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tr">
        <f t="shared" si="19"/>
        <v>海洋之心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tr">
        <f t="shared" si="19"/>
        <v>熊公仔XXL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tr">
        <f t="shared" si="19"/>
        <v>精美同人志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tr">
        <f t="shared" si="19"/>
        <v>华丽的小裙子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tr">
        <f t="shared" si="19"/>
        <v>咸鱼立直棒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tr">
        <f t="shared" si="19"/>
        <v>大葱立直棒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tr">
        <f t="shared" ref="M582:M645" si="20">VLOOKUP(C582,X:Y,2,FALSE)</f>
        <v>狗骨头立直棒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tr">
        <f t="shared" si="20"/>
        <v>和牌-烈焰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tr">
        <f t="shared" si="20"/>
        <v>和牌-旋风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tr">
        <f t="shared" si="20"/>
        <v>和牌-樱花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tr">
        <f t="shared" si="20"/>
        <v>立直-苍火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tr">
        <f t="shared" si="20"/>
        <v>橘猫爪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tr">
        <f t="shared" si="20"/>
        <v>孔雀绿桌布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tr">
        <f t="shared" si="20"/>
        <v>莲藕紫桌布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tr">
        <f t="shared" si="20"/>
        <v>紫罗兰桌布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tr">
        <f t="shared" si="20"/>
        <v>淡黄牌背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tr">
        <f t="shared" si="20"/>
        <v>果绿牌背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tr">
        <f t="shared" si="20"/>
        <v>玫瑰红牌背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tr">
        <f t="shared" si="20"/>
        <v>猩红立直棒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tr">
        <f t="shared" si="20"/>
        <v>24K金棒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tr">
        <f t="shared" si="20"/>
        <v>立直-碎冰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tr">
        <f t="shared" si="20"/>
        <v>立直-火焰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tr">
        <f t="shared" si="20"/>
        <v>和牌-黑炎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tr">
        <f t="shared" si="20"/>
        <v>真剑胜负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tr">
        <f t="shared" si="20"/>
        <v>激斗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tr">
        <f t="shared" si="20"/>
        <v>立直-幻影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tr">
        <f t="shared" si="20"/>
        <v>立直-飞羽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tr">
        <f t="shared" si="20"/>
        <v>和牌-爆炎龙卷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tr">
        <f t="shared" si="20"/>
        <v>和牌-方舟反应堆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tr">
        <f t="shared" si="20"/>
        <v>和牌-红玫瑰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tr">
        <f t="shared" si="20"/>
        <v>立直-叮~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tr">
        <f t="shared" si="20"/>
        <v>立直-龙腾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tr">
        <f t="shared" si="20"/>
        <v>和牌-K.O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tr">
        <f t="shared" si="20"/>
        <v>和牌-逆鳞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tr">
        <f t="shared" si="20"/>
        <v>立直棒-断恶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tr">
        <f t="shared" si="20"/>
        <v>立直棒-雪糕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tr">
        <f t="shared" si="20"/>
        <v>出阵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tr">
        <f t="shared" si="20"/>
        <v>一触即发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tr">
        <f t="shared" si="20"/>
        <v>桌布-吃瓜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tr">
        <f t="shared" si="20"/>
        <v>和牌-幽灵嗷嗷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tr">
        <f t="shared" si="20"/>
        <v>立直-蝙蝠桀桀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tr">
        <f t="shared" si="20"/>
        <v>立直棒-小恶魔蝙蝠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tr">
        <f t="shared" si="20"/>
        <v>牌背-天然呆幽灵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f t="shared" si="20"/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f t="shared" si="20"/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f t="shared" si="20"/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f t="shared" si="20"/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f t="shared" si="20"/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f t="shared" si="20"/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f t="shared" si="20"/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f t="shared" si="20"/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f t="shared" si="20"/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f t="shared" si="20"/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f t="shared" si="20"/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f t="shared" si="20"/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f t="shared" si="20"/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f t="shared" si="20"/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1722</v>
      </c>
      <c r="H633" s="114"/>
      <c r="M633" t="str">
        <f t="shared" si="20"/>
        <v>手工曲奇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tr">
        <f t="shared" si="20"/>
        <v>怀旧掌机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tr">
        <f t="shared" si="20"/>
        <v>简易美术品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tr">
        <f t="shared" si="20"/>
        <v>美味果酒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tr">
        <f t="shared" si="20"/>
        <v>普通的碎钻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tr">
        <f t="shared" si="20"/>
        <v>熊公仔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tr">
        <f t="shared" si="20"/>
        <v>同人小册子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tr">
        <f t="shared" si="20"/>
        <v>朴素的小裙子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tr">
        <f t="shared" si="20"/>
        <v>蓝罐曲奇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tr">
        <f t="shared" si="20"/>
        <v>Twitch掌机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tr">
        <f t="shared" si="20"/>
        <v>精美挂画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tr">
        <f t="shared" si="20"/>
        <v>香醇红酒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tr">
        <f t="shared" si="20"/>
        <v>鸽子蛋宝石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tr">
        <f t="shared" ref="M646:M709" si="21">VLOOKUP(C646,X:Y,2,FALSE)</f>
        <v>熊公仔L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tr">
        <f t="shared" si="21"/>
        <v>简装同人志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tr">
        <f t="shared" si="21"/>
        <v>普通的小裙子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tr">
        <f t="shared" si="21"/>
        <v>香喷喷曲奇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tr">
        <f t="shared" si="21"/>
        <v>次世代游戏机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tr">
        <f t="shared" si="21"/>
        <v>经典名画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tr">
        <f t="shared" si="21"/>
        <v>82年的拉菲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tr">
        <f t="shared" si="21"/>
        <v>海洋之心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tr">
        <f t="shared" si="21"/>
        <v>熊公仔XXL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tr">
        <f t="shared" si="21"/>
        <v>精美同人志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tr">
        <f t="shared" si="21"/>
        <v>华丽的小裙子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tr">
        <f t="shared" si="21"/>
        <v>咸鱼立直棒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tr">
        <f t="shared" si="21"/>
        <v>大葱立直棒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tr">
        <f t="shared" si="21"/>
        <v>狗骨头立直棒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tr">
        <f t="shared" si="21"/>
        <v>和牌-烈焰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tr">
        <f t="shared" si="21"/>
        <v>和牌-旋风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tr">
        <f t="shared" si="21"/>
        <v>和牌-樱花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tr">
        <f t="shared" si="21"/>
        <v>立直-苍火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tr">
        <f t="shared" si="21"/>
        <v>橘猫爪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tr">
        <f t="shared" si="21"/>
        <v>孔雀绿桌布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tr">
        <f t="shared" si="21"/>
        <v>莲藕紫桌布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tr">
        <f t="shared" si="21"/>
        <v>紫罗兰桌布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tr">
        <f t="shared" si="21"/>
        <v>淡黄牌背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tr">
        <f t="shared" si="21"/>
        <v>果绿牌背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tr">
        <f t="shared" si="21"/>
        <v>玫瑰红牌背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tr">
        <f t="shared" si="21"/>
        <v>猩红立直棒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tr">
        <f t="shared" si="21"/>
        <v>24K金棒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tr">
        <f t="shared" si="21"/>
        <v>立直-碎冰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tr">
        <f t="shared" si="21"/>
        <v>立直-火焰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tr">
        <f t="shared" si="21"/>
        <v>和牌-黑炎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tr">
        <f t="shared" si="21"/>
        <v>真剑胜负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tr">
        <f t="shared" si="21"/>
        <v>激斗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tr">
        <f t="shared" si="21"/>
        <v>立直-幻影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tr">
        <f t="shared" si="21"/>
        <v>立直-飞羽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tr">
        <f t="shared" si="21"/>
        <v>和牌-爆炎龙卷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tr">
        <f t="shared" si="21"/>
        <v>和牌-方舟反应堆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tr">
        <f t="shared" si="21"/>
        <v>和牌-红玫瑰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tr">
        <f t="shared" si="21"/>
        <v>立直-叮~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tr">
        <f t="shared" si="21"/>
        <v>立直-龙腾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tr">
        <f t="shared" si="21"/>
        <v>和牌-K.O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tr">
        <f t="shared" si="21"/>
        <v>和牌-逆鳞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tr">
        <f t="shared" si="21"/>
        <v>立直棒-断恶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tr">
        <f t="shared" si="21"/>
        <v>立直棒-雪糕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tr">
        <f t="shared" si="21"/>
        <v>出阵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tr">
        <f t="shared" si="21"/>
        <v>一触即发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tr">
        <f t="shared" si="21"/>
        <v>桌布-吃瓜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tr">
        <f t="shared" si="21"/>
        <v>和牌-幽灵嗷嗷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tr">
        <f t="shared" si="21"/>
        <v>立直-蝙蝠桀桀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tr">
        <f t="shared" si="21"/>
        <v>立直棒-小恶魔蝙蝠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tr">
        <f t="shared" si="21"/>
        <v>牌背-天然呆幽灵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f t="shared" si="21"/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f t="shared" si="21"/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f t="shared" si="21"/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f t="shared" si="21"/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f t="shared" si="21"/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f t="shared" si="21"/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f t="shared" si="21"/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f t="shared" si="21"/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f t="shared" si="21"/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f t="shared" si="21"/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f t="shared" si="21"/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f t="shared" si="21"/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f t="shared" si="21"/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f t="shared" si="21"/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1723</v>
      </c>
      <c r="H710" s="114"/>
      <c r="M710" t="str">
        <f t="shared" ref="M710:M773" si="22">VLOOKUP(C710,X:Y,2,FALSE)</f>
        <v>手工曲奇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tr">
        <f t="shared" si="22"/>
        <v>怀旧掌机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tr">
        <f t="shared" si="22"/>
        <v>简易美术品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tr">
        <f t="shared" si="22"/>
        <v>美味果酒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tr">
        <f t="shared" si="22"/>
        <v>普通的碎钻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tr">
        <f t="shared" si="22"/>
        <v>熊公仔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tr">
        <f t="shared" si="22"/>
        <v>同人小册子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tr">
        <f t="shared" si="22"/>
        <v>朴素的小裙子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tr">
        <f t="shared" si="22"/>
        <v>蓝罐曲奇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tr">
        <f t="shared" si="22"/>
        <v>Twitch掌机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tr">
        <f t="shared" si="22"/>
        <v>精美挂画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tr">
        <f t="shared" si="22"/>
        <v>香醇红酒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tr">
        <f t="shared" si="22"/>
        <v>鸽子蛋宝石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tr">
        <f t="shared" si="22"/>
        <v>熊公仔L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tr">
        <f t="shared" si="22"/>
        <v>简装同人志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tr">
        <f t="shared" si="22"/>
        <v>普通的小裙子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tr">
        <f t="shared" si="22"/>
        <v>香喷喷曲奇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tr">
        <f t="shared" si="22"/>
        <v>次世代游戏机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tr">
        <f t="shared" si="22"/>
        <v>经典名画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tr">
        <f t="shared" si="22"/>
        <v>82年的拉菲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tr">
        <f t="shared" si="22"/>
        <v>海洋之心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tr">
        <f t="shared" si="22"/>
        <v>熊公仔XXL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tr">
        <f t="shared" si="22"/>
        <v>精美同人志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tr">
        <f t="shared" si="22"/>
        <v>华丽的小裙子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tr">
        <f t="shared" si="22"/>
        <v>咸鱼立直棒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tr">
        <f t="shared" si="22"/>
        <v>大葱立直棒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tr">
        <f t="shared" si="22"/>
        <v>狗骨头立直棒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tr">
        <f t="shared" si="22"/>
        <v>和牌-烈焰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tr">
        <f t="shared" si="22"/>
        <v>和牌-旋风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tr">
        <f t="shared" si="22"/>
        <v>和牌-樱花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tr">
        <f t="shared" si="22"/>
        <v>立直-苍火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tr">
        <f t="shared" si="22"/>
        <v>橘猫爪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tr">
        <f t="shared" si="22"/>
        <v>孔雀绿桌布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tr">
        <f t="shared" si="22"/>
        <v>莲藕紫桌布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tr">
        <f t="shared" si="22"/>
        <v>紫罗兰桌布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tr">
        <f t="shared" si="22"/>
        <v>淡黄牌背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tr">
        <f t="shared" si="22"/>
        <v>果绿牌背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tr">
        <f t="shared" si="22"/>
        <v>玫瑰红牌背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tr">
        <f t="shared" si="22"/>
        <v>猩红立直棒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tr">
        <f t="shared" si="22"/>
        <v>24K金棒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tr">
        <f t="shared" si="22"/>
        <v>立直-碎冰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tr">
        <f t="shared" si="22"/>
        <v>立直-火焰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tr">
        <f t="shared" si="22"/>
        <v>和牌-黑炎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tr">
        <f t="shared" si="22"/>
        <v>真剑胜负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tr">
        <f t="shared" si="22"/>
        <v>激斗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tr">
        <f t="shared" si="22"/>
        <v>立直-幻影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tr">
        <f t="shared" si="22"/>
        <v>立直-飞羽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tr">
        <f t="shared" si="22"/>
        <v>和牌-爆炎龙卷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tr">
        <f t="shared" si="22"/>
        <v>和牌-方舟反应堆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tr">
        <f t="shared" si="22"/>
        <v>和牌-红玫瑰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tr">
        <f t="shared" si="22"/>
        <v>立直-叮~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tr">
        <f t="shared" si="22"/>
        <v>立直-龙腾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tr">
        <f t="shared" si="22"/>
        <v>和牌-K.O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tr">
        <f t="shared" si="22"/>
        <v>和牌-逆鳞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tr">
        <f t="shared" si="22"/>
        <v>立直棒-断恶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tr">
        <f t="shared" si="22"/>
        <v>立直棒-雪糕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tr">
        <f t="shared" si="22"/>
        <v>出阵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tr">
        <f t="shared" si="22"/>
        <v>一触即发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tr">
        <f t="shared" si="22"/>
        <v>桌布-吃瓜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tr">
        <f t="shared" si="22"/>
        <v>和牌-幽灵嗷嗷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tr">
        <f t="shared" si="22"/>
        <v>立直-蝙蝠桀桀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tr">
        <f t="shared" si="22"/>
        <v>立直棒-小恶魔蝙蝠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tr">
        <f t="shared" si="22"/>
        <v>牌背-天然呆幽灵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f t="shared" si="22"/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f t="shared" ref="M774:M837" si="23">VLOOKUP(C774,X:Y,2,FALSE)</f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f t="shared" si="23"/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f t="shared" si="23"/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f t="shared" si="23"/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f t="shared" si="23"/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f t="shared" si="23"/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f t="shared" si="23"/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f t="shared" si="23"/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f t="shared" si="23"/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f t="shared" si="23"/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f t="shared" si="23"/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f t="shared" si="23"/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f t="shared" si="23"/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1724</v>
      </c>
      <c r="H787" s="114"/>
      <c r="M787" t="str">
        <f t="shared" si="23"/>
        <v>手工曲奇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tr">
        <f t="shared" si="23"/>
        <v>怀旧掌机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tr">
        <f t="shared" si="23"/>
        <v>简易美术品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tr">
        <f t="shared" si="23"/>
        <v>美味果酒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tr">
        <f t="shared" si="23"/>
        <v>普通的碎钻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tr">
        <f t="shared" si="23"/>
        <v>熊公仔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tr">
        <f t="shared" si="23"/>
        <v>同人小册子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tr">
        <f t="shared" si="23"/>
        <v>朴素的小裙子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tr">
        <f t="shared" si="23"/>
        <v>蓝罐曲奇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tr">
        <f t="shared" si="23"/>
        <v>Twitch掌机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tr">
        <f t="shared" si="23"/>
        <v>精美挂画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tr">
        <f t="shared" si="23"/>
        <v>香醇红酒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tr">
        <f t="shared" si="23"/>
        <v>鸽子蛋宝石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tr">
        <f t="shared" si="23"/>
        <v>熊公仔L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tr">
        <f t="shared" si="23"/>
        <v>简装同人志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tr">
        <f t="shared" si="23"/>
        <v>普通的小裙子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tr">
        <f t="shared" si="23"/>
        <v>香喷喷曲奇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tr">
        <f t="shared" si="23"/>
        <v>次世代游戏机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tr">
        <f t="shared" si="23"/>
        <v>经典名画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tr">
        <f t="shared" si="23"/>
        <v>82年的拉菲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tr">
        <f t="shared" si="23"/>
        <v>海洋之心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tr">
        <f t="shared" si="23"/>
        <v>熊公仔XXL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tr">
        <f t="shared" si="23"/>
        <v>精美同人志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tr">
        <f t="shared" si="23"/>
        <v>华丽的小裙子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tr">
        <f t="shared" si="23"/>
        <v>咸鱼立直棒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tr">
        <f t="shared" si="23"/>
        <v>大葱立直棒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tr">
        <f t="shared" si="23"/>
        <v>狗骨头立直棒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tr">
        <f t="shared" si="23"/>
        <v>和牌-烈焰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tr">
        <f t="shared" si="23"/>
        <v>和牌-旋风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tr">
        <f t="shared" si="23"/>
        <v>和牌-樱花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tr">
        <f t="shared" si="23"/>
        <v>立直-苍火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tr">
        <f t="shared" si="23"/>
        <v>橘猫爪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tr">
        <f t="shared" si="23"/>
        <v>孔雀绿桌布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tr">
        <f t="shared" si="23"/>
        <v>莲藕紫桌布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tr">
        <f t="shared" si="23"/>
        <v>紫罗兰桌布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tr">
        <f t="shared" si="23"/>
        <v>淡黄牌背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tr">
        <f t="shared" si="23"/>
        <v>果绿牌背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tr">
        <f t="shared" si="23"/>
        <v>玫瑰红牌背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tr">
        <f t="shared" si="23"/>
        <v>猩红立直棒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tr">
        <f t="shared" si="23"/>
        <v>24K金棒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tr">
        <f t="shared" si="23"/>
        <v>立直-碎冰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tr">
        <f t="shared" si="23"/>
        <v>立直-火焰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tr">
        <f t="shared" si="23"/>
        <v>和牌-黑炎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tr">
        <f t="shared" si="23"/>
        <v>真剑胜负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tr">
        <f t="shared" si="23"/>
        <v>激斗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tr">
        <f t="shared" si="23"/>
        <v>立直-幻影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tr">
        <f t="shared" si="23"/>
        <v>立直-飞羽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tr">
        <f t="shared" si="23"/>
        <v>和牌-爆炎龙卷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tr">
        <f t="shared" si="23"/>
        <v>和牌-方舟反应堆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tr">
        <f t="shared" si="23"/>
        <v>和牌-红玫瑰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tr">
        <f t="shared" si="23"/>
        <v>立直-叮~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tr">
        <f t="shared" ref="M838:M901" si="24">VLOOKUP(C838,X:Y,2,FALSE)</f>
        <v>立直-龙腾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tr">
        <f t="shared" si="24"/>
        <v>和牌-K.O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tr">
        <f t="shared" si="24"/>
        <v>和牌-逆鳞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tr">
        <f t="shared" si="24"/>
        <v>立直棒-断恶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tr">
        <f t="shared" si="24"/>
        <v>立直棒-雪糕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tr">
        <f t="shared" si="24"/>
        <v>出阵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tr">
        <f t="shared" si="24"/>
        <v>一触即发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tr">
        <f t="shared" si="24"/>
        <v>桌布-吃瓜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tr">
        <f t="shared" si="24"/>
        <v>和牌-幽灵嗷嗷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tr">
        <f t="shared" si="24"/>
        <v>立直-蝙蝠桀桀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tr">
        <f t="shared" si="24"/>
        <v>立直棒-小恶魔蝙蝠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tr">
        <f t="shared" si="24"/>
        <v>牌背-天然呆幽灵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f t="shared" si="24"/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f t="shared" si="24"/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f t="shared" si="24"/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f t="shared" si="24"/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f t="shared" si="24"/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f t="shared" si="24"/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f t="shared" si="24"/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f t="shared" si="24"/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f t="shared" si="24"/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f t="shared" si="24"/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f t="shared" si="24"/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f t="shared" si="24"/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f t="shared" si="24"/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f t="shared" si="24"/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610</v>
      </c>
      <c r="M864" t="str">
        <f t="shared" si="24"/>
        <v>手工曲奇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tr">
        <f t="shared" si="24"/>
        <v>怀旧掌机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tr">
        <f t="shared" si="24"/>
        <v>简易美术品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tr">
        <f t="shared" si="24"/>
        <v>美味果酒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tr">
        <f t="shared" si="24"/>
        <v>普通的碎钻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tr">
        <f t="shared" si="24"/>
        <v>熊公仔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tr">
        <f t="shared" si="24"/>
        <v>同人小册子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tr">
        <f t="shared" si="24"/>
        <v>朴素的小裙子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644</v>
      </c>
      <c r="M872" t="str">
        <f t="shared" si="24"/>
        <v>蓝罐曲奇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tr">
        <f t="shared" si="24"/>
        <v>Twitch掌机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tr">
        <f t="shared" si="24"/>
        <v>精美挂画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tr">
        <f t="shared" si="24"/>
        <v>香醇红酒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tr">
        <f t="shared" si="24"/>
        <v>鸽子蛋宝石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tr">
        <f t="shared" si="24"/>
        <v>熊公仔L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tr">
        <f t="shared" si="24"/>
        <v>简装同人志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tr">
        <f t="shared" si="24"/>
        <v>普通的小裙子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645</v>
      </c>
      <c r="M880" t="str">
        <f t="shared" si="24"/>
        <v>香喷喷曲奇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tr">
        <f t="shared" si="24"/>
        <v>次世代游戏机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tr">
        <f t="shared" si="24"/>
        <v>经典名画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tr">
        <f t="shared" si="24"/>
        <v>82年的拉菲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tr">
        <f t="shared" si="24"/>
        <v>海洋之心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tr">
        <f t="shared" si="24"/>
        <v>熊公仔XXL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tr">
        <f t="shared" si="24"/>
        <v>精美同人志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tr">
        <f t="shared" si="24"/>
        <v>华丽的小裙子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666</v>
      </c>
      <c r="M888" t="str">
        <f t="shared" si="24"/>
        <v>蓝罐曲奇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tr">
        <f t="shared" si="24"/>
        <v>Twitch掌机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tr">
        <f t="shared" si="24"/>
        <v>精美挂画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tr">
        <f t="shared" si="24"/>
        <v>香醇红酒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tr">
        <f t="shared" si="24"/>
        <v>鸽子蛋宝石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tr">
        <f t="shared" si="24"/>
        <v>熊公仔L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tr">
        <f t="shared" si="24"/>
        <v>简装同人志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tr">
        <f t="shared" si="24"/>
        <v>普通的小裙子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667</v>
      </c>
      <c r="M896" t="str">
        <f t="shared" si="24"/>
        <v>香喷喷曲奇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tr">
        <f t="shared" si="24"/>
        <v>次世代游戏机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tr">
        <f t="shared" si="24"/>
        <v>经典名画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tr">
        <f t="shared" si="24"/>
        <v>82年的拉菲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tr">
        <f t="shared" si="24"/>
        <v>海洋之心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tr">
        <f t="shared" si="24"/>
        <v>熊公仔XXL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tr">
        <f t="shared" ref="M902:M965" si="25">VLOOKUP(C902,X:Y,2,FALSE)</f>
        <v>精美同人志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tr">
        <f t="shared" si="25"/>
        <v>华丽的小裙子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1725</v>
      </c>
      <c r="H904"/>
      <c r="I904"/>
      <c r="J904"/>
      <c r="K904"/>
      <c r="L904"/>
      <c r="M904" t="str">
        <f t="shared" si="25"/>
        <v>手工曲奇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tr">
        <f t="shared" si="25"/>
        <v>怀旧掌机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tr">
        <f t="shared" si="25"/>
        <v>简易美术品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tr">
        <f t="shared" si="25"/>
        <v>美味果酒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tr">
        <f t="shared" si="25"/>
        <v>普通的碎钻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tr">
        <f t="shared" si="25"/>
        <v>熊公仔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tr">
        <f t="shared" si="25"/>
        <v>同人小册子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tr">
        <f t="shared" si="25"/>
        <v>朴素的小裙子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tr">
        <f t="shared" si="25"/>
        <v>蓝罐曲奇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tr">
        <f t="shared" si="25"/>
        <v>Twitch掌机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tr">
        <f t="shared" si="25"/>
        <v>精美挂画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tr">
        <f t="shared" si="25"/>
        <v>香醇红酒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tr">
        <f t="shared" si="25"/>
        <v>鸽子蛋宝石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tr">
        <f t="shared" si="25"/>
        <v>熊公仔L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tr">
        <f t="shared" si="25"/>
        <v>简装同人志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tr">
        <f t="shared" si="25"/>
        <v>普通的小裙子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tr">
        <f t="shared" si="25"/>
        <v>香喷喷曲奇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tr">
        <f t="shared" si="25"/>
        <v>次世代游戏机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tr">
        <f t="shared" si="25"/>
        <v>经典名画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tr">
        <f t="shared" si="25"/>
        <v>82年的拉菲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tr">
        <f t="shared" si="25"/>
        <v>海洋之心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tr">
        <f t="shared" si="25"/>
        <v>熊公仔XXL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tr">
        <f t="shared" si="25"/>
        <v>精美同人志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tr">
        <f t="shared" si="25"/>
        <v>华丽的小裙子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tr">
        <f t="shared" si="25"/>
        <v>咸鱼立直棒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tr">
        <f t="shared" si="25"/>
        <v>大葱立直棒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tr">
        <f t="shared" si="25"/>
        <v>狗骨头立直棒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tr">
        <f t="shared" si="25"/>
        <v>和牌-烈焰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tr">
        <f t="shared" si="25"/>
        <v>和牌-旋风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tr">
        <f t="shared" si="25"/>
        <v>和牌-樱花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tr">
        <f t="shared" si="25"/>
        <v>立直-苍火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tr">
        <f t="shared" si="25"/>
        <v>橘猫爪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tr">
        <f t="shared" si="25"/>
        <v>孔雀绿桌布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tr">
        <f t="shared" si="25"/>
        <v>莲藕紫桌布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tr">
        <f t="shared" si="25"/>
        <v>紫罗兰桌布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tr">
        <f t="shared" si="25"/>
        <v>淡黄牌背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tr">
        <f t="shared" si="25"/>
        <v>果绿牌背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tr">
        <f t="shared" si="25"/>
        <v>玫瑰红牌背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tr">
        <f t="shared" si="25"/>
        <v>猩红立直棒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tr">
        <f t="shared" si="25"/>
        <v>24K金棒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tr">
        <f t="shared" si="25"/>
        <v>立直-碎冰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tr">
        <f t="shared" si="25"/>
        <v>立直-火焰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tr">
        <f t="shared" si="25"/>
        <v>和牌-黑炎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tr">
        <f t="shared" si="25"/>
        <v>真剑胜负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tr">
        <f t="shared" si="25"/>
        <v>激斗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tr">
        <f t="shared" si="25"/>
        <v>立直-幻影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tr">
        <f t="shared" si="25"/>
        <v>立直-飞羽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tr">
        <f t="shared" si="25"/>
        <v>和牌-爆炎龙卷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tr">
        <f t="shared" si="25"/>
        <v>和牌-方舟反应堆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tr">
        <f t="shared" si="25"/>
        <v>和牌-红玫瑰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tr">
        <f t="shared" si="25"/>
        <v>立直-叮~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tr">
        <f t="shared" si="25"/>
        <v>立直-龙腾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tr">
        <f t="shared" si="25"/>
        <v>和牌-K.O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tr">
        <f t="shared" si="25"/>
        <v>和牌-逆鳞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tr">
        <f t="shared" si="25"/>
        <v>立直棒-断恶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tr">
        <f t="shared" si="25"/>
        <v>立直棒-雪糕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tr">
        <f t="shared" si="25"/>
        <v>出阵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tr">
        <f t="shared" si="25"/>
        <v>一触即发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tr">
        <f t="shared" si="25"/>
        <v>桌布-吃瓜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tr">
        <f t="shared" si="25"/>
        <v>和牌-幽灵嗷嗷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tr">
        <f t="shared" si="25"/>
        <v>和牌-歌剧魅影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tr">
        <f t="shared" si="25"/>
        <v>和牌-魔法少女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tr">
        <f t="shared" ref="M966:M1029" si="26">VLOOKUP(C966,X:Y,2,FALSE)</f>
        <v>立直-蝙蝠桀桀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tr">
        <f t="shared" si="26"/>
        <v>立直-非常事态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tr">
        <f t="shared" si="26"/>
        <v>立直-魔法少女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tr">
        <f t="shared" si="26"/>
        <v>立直棒-小恶魔蝙蝠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tr">
        <f t="shared" si="26"/>
        <v>立直棒-魔法棒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tr">
        <f t="shared" si="26"/>
        <v>牌背-天然呆幽灵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f t="shared" si="26"/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f t="shared" si="26"/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f t="shared" si="26"/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f t="shared" si="26"/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f t="shared" si="26"/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f t="shared" si="26"/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f t="shared" si="26"/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f t="shared" si="26"/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f t="shared" si="26"/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f t="shared" si="26"/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f t="shared" si="26"/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f t="shared" si="26"/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f t="shared" si="26"/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f t="shared" si="26"/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1726</v>
      </c>
      <c r="H986" s="114"/>
      <c r="M986" t="str">
        <f t="shared" si="26"/>
        <v>手工曲奇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tr">
        <f t="shared" si="26"/>
        <v>怀旧掌机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tr">
        <f t="shared" si="26"/>
        <v>简易美术品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tr">
        <f t="shared" si="26"/>
        <v>美味果酒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tr">
        <f t="shared" si="26"/>
        <v>普通的碎钻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tr">
        <f t="shared" si="26"/>
        <v>熊公仔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tr">
        <f t="shared" si="26"/>
        <v>同人小册子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tr">
        <f t="shared" si="26"/>
        <v>朴素的小裙子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tr">
        <f t="shared" si="26"/>
        <v>蓝罐曲奇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tr">
        <f t="shared" si="26"/>
        <v>Twitch掌机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tr">
        <f t="shared" si="26"/>
        <v>精美挂画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tr">
        <f t="shared" si="26"/>
        <v>香醇红酒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tr">
        <f t="shared" si="26"/>
        <v>鸽子蛋宝石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tr">
        <f t="shared" si="26"/>
        <v>熊公仔L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tr">
        <f t="shared" si="26"/>
        <v>简装同人志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tr">
        <f t="shared" si="26"/>
        <v>普通的小裙子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tr">
        <f t="shared" si="26"/>
        <v>香喷喷曲奇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tr">
        <f t="shared" si="26"/>
        <v>次世代游戏机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tr">
        <f t="shared" si="26"/>
        <v>经典名画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tr">
        <f t="shared" si="26"/>
        <v>82年的拉菲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tr">
        <f t="shared" si="26"/>
        <v>海洋之心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tr">
        <f t="shared" si="26"/>
        <v>熊公仔XXL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tr">
        <f t="shared" si="26"/>
        <v>精美同人志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tr">
        <f t="shared" si="26"/>
        <v>华丽的小裙子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tr">
        <f t="shared" si="26"/>
        <v>咸鱼立直棒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tr">
        <f t="shared" si="26"/>
        <v>大葱立直棒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tr">
        <f t="shared" si="26"/>
        <v>狗骨头立直棒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tr">
        <f t="shared" si="26"/>
        <v>和牌-烈焰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tr">
        <f t="shared" si="26"/>
        <v>和牌-旋风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tr">
        <f t="shared" si="26"/>
        <v>和牌-樱花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tr">
        <f t="shared" si="26"/>
        <v>立直-苍火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tr">
        <f t="shared" si="26"/>
        <v>橘猫爪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tr">
        <f t="shared" si="26"/>
        <v>孔雀绿桌布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tr">
        <f t="shared" si="26"/>
        <v>莲藕紫桌布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tr">
        <f t="shared" si="26"/>
        <v>紫罗兰桌布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tr">
        <f t="shared" si="26"/>
        <v>淡黄牌背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tr">
        <f t="shared" si="26"/>
        <v>果绿牌背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tr">
        <f t="shared" si="26"/>
        <v>玫瑰红牌背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tr">
        <f t="shared" si="26"/>
        <v>猩红立直棒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tr">
        <f t="shared" si="26"/>
        <v>24K金棒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tr">
        <f t="shared" si="26"/>
        <v>立直-碎冰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tr">
        <f t="shared" si="26"/>
        <v>立直-火焰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tr">
        <f t="shared" si="26"/>
        <v>和牌-黑炎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tr">
        <f t="shared" si="26"/>
        <v>真剑胜负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tr">
        <f t="shared" ref="M1030:M1093" si="27">VLOOKUP(C1030,X:Y,2,FALSE)</f>
        <v>激斗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tr">
        <f t="shared" si="27"/>
        <v>立直-幻影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tr">
        <f t="shared" si="27"/>
        <v>立直-飞羽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tr">
        <f t="shared" si="27"/>
        <v>和牌-爆炎龙卷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tr">
        <f t="shared" si="27"/>
        <v>和牌-方舟反应堆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tr">
        <f t="shared" si="27"/>
        <v>和牌-红玫瑰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tr">
        <f t="shared" si="27"/>
        <v>立直-叮~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tr">
        <f t="shared" si="27"/>
        <v>立直-龙腾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tr">
        <f t="shared" si="27"/>
        <v>和牌-K.O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tr">
        <f t="shared" si="27"/>
        <v>和牌-逆鳞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tr">
        <f t="shared" si="27"/>
        <v>立直棒-断恶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tr">
        <f t="shared" si="27"/>
        <v>立直棒-雪糕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tr">
        <f t="shared" si="27"/>
        <v>出阵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tr">
        <f t="shared" si="27"/>
        <v>一触即发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tr">
        <f t="shared" si="27"/>
        <v>桌布-吃瓜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tr">
        <f t="shared" si="27"/>
        <v>和牌-幽灵嗷嗷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tr">
        <f t="shared" si="27"/>
        <v>和牌-歌剧魅影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tr">
        <f t="shared" si="27"/>
        <v>和牌-魔法少女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tr">
        <f t="shared" si="27"/>
        <v>立直-蝙蝠桀桀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tr">
        <f t="shared" si="27"/>
        <v>立直-非常事态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tr">
        <f t="shared" si="27"/>
        <v>立直-魔法少女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tr">
        <f t="shared" si="27"/>
        <v>立直棒-小恶魔蝙蝠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tr">
        <f t="shared" si="27"/>
        <v>立直棒-魔法棒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tr">
        <f t="shared" si="27"/>
        <v>牌背-天然呆幽灵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f t="shared" si="27"/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f t="shared" si="27"/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f t="shared" si="27"/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f t="shared" si="27"/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f t="shared" si="27"/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f t="shared" si="27"/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f t="shared" si="27"/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f t="shared" si="27"/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f t="shared" si="27"/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f t="shared" si="27"/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f t="shared" si="27"/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f t="shared" si="27"/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f t="shared" si="27"/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f t="shared" si="27"/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1727</v>
      </c>
      <c r="H1068" s="114"/>
      <c r="M1068" t="str">
        <f t="shared" si="27"/>
        <v>手工曲奇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tr">
        <f t="shared" si="27"/>
        <v>怀旧掌机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tr">
        <f t="shared" si="27"/>
        <v>简易美术品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tr">
        <f t="shared" si="27"/>
        <v>美味果酒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tr">
        <f t="shared" si="27"/>
        <v>普通的碎钻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tr">
        <f t="shared" si="27"/>
        <v>熊公仔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tr">
        <f t="shared" si="27"/>
        <v>同人小册子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tr">
        <f t="shared" si="27"/>
        <v>朴素的小裙子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tr">
        <f t="shared" si="27"/>
        <v>蓝罐曲奇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tr">
        <f t="shared" si="27"/>
        <v>Twitch掌机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tr">
        <f t="shared" si="27"/>
        <v>精美挂画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tr">
        <f t="shared" si="27"/>
        <v>香醇红酒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tr">
        <f t="shared" si="27"/>
        <v>鸽子蛋宝石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tr">
        <f t="shared" si="27"/>
        <v>熊公仔L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tr">
        <f t="shared" si="27"/>
        <v>简装同人志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tr">
        <f t="shared" si="27"/>
        <v>普通的小裙子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tr">
        <f t="shared" si="27"/>
        <v>香喷喷曲奇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tr">
        <f t="shared" si="27"/>
        <v>次世代游戏机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tr">
        <f t="shared" si="27"/>
        <v>经典名画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tr">
        <f t="shared" si="27"/>
        <v>82年的拉菲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tr">
        <f t="shared" si="27"/>
        <v>海洋之心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tr">
        <f t="shared" si="27"/>
        <v>熊公仔XXL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tr">
        <f t="shared" si="27"/>
        <v>精美同人志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tr">
        <f t="shared" si="27"/>
        <v>华丽的小裙子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tr">
        <f t="shared" si="27"/>
        <v>咸鱼立直棒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tr">
        <f t="shared" si="27"/>
        <v>大葱立直棒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tr">
        <f t="shared" ref="M1094:M1157" si="28">VLOOKUP(C1094,X:Y,2,FALSE)</f>
        <v>狗骨头立直棒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tr">
        <f t="shared" si="28"/>
        <v>和牌-烈焰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tr">
        <f t="shared" si="28"/>
        <v>和牌-旋风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tr">
        <f t="shared" si="28"/>
        <v>和牌-樱花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tr">
        <f t="shared" si="28"/>
        <v>立直-苍火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tr">
        <f t="shared" si="28"/>
        <v>橘猫爪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tr">
        <f t="shared" si="28"/>
        <v>孔雀绿桌布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tr">
        <f t="shared" si="28"/>
        <v>莲藕紫桌布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tr">
        <f t="shared" si="28"/>
        <v>紫罗兰桌布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tr">
        <f t="shared" si="28"/>
        <v>淡黄牌背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tr">
        <f t="shared" si="28"/>
        <v>果绿牌背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tr">
        <f t="shared" si="28"/>
        <v>玫瑰红牌背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tr">
        <f t="shared" si="28"/>
        <v>猩红立直棒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tr">
        <f t="shared" si="28"/>
        <v>24K金棒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tr">
        <f t="shared" si="28"/>
        <v>立直-碎冰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tr">
        <f t="shared" si="28"/>
        <v>立直-火焰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tr">
        <f t="shared" si="28"/>
        <v>和牌-黑炎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tr">
        <f t="shared" si="28"/>
        <v>真剑胜负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tr">
        <f t="shared" si="28"/>
        <v>激斗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tr">
        <f t="shared" si="28"/>
        <v>立直-幻影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tr">
        <f t="shared" si="28"/>
        <v>立直-飞羽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tr">
        <f t="shared" si="28"/>
        <v>和牌-爆炎龙卷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tr">
        <f t="shared" si="28"/>
        <v>和牌-方舟反应堆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tr">
        <f t="shared" si="28"/>
        <v>和牌-红玫瑰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tr">
        <f t="shared" si="28"/>
        <v>立直-叮~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tr">
        <f t="shared" si="28"/>
        <v>立直-龙腾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tr">
        <f t="shared" si="28"/>
        <v>和牌-K.O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tr">
        <f t="shared" si="28"/>
        <v>和牌-逆鳞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tr">
        <f t="shared" si="28"/>
        <v>立直棒-断恶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tr">
        <f t="shared" si="28"/>
        <v>立直棒-雪糕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tr">
        <f t="shared" si="28"/>
        <v>出阵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tr">
        <f t="shared" si="28"/>
        <v>一触即发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tr">
        <f t="shared" si="28"/>
        <v>桌布-吃瓜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tr">
        <f t="shared" si="28"/>
        <v>和牌-幽灵嗷嗷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tr">
        <f t="shared" si="28"/>
        <v>和牌-歌剧魅影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tr">
        <f t="shared" si="28"/>
        <v>和牌-魔法少女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tr">
        <f t="shared" si="28"/>
        <v>立直-蝙蝠桀桀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tr">
        <f t="shared" si="28"/>
        <v>立直-非常事态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tr">
        <f t="shared" si="28"/>
        <v>立直-魔法少女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tr">
        <f t="shared" si="28"/>
        <v>立直棒-小恶魔蝙蝠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tr">
        <f t="shared" si="28"/>
        <v>立直棒-魔法棒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tr">
        <f t="shared" si="28"/>
        <v>牌背-天然呆幽灵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f t="shared" si="28"/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f t="shared" si="28"/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f t="shared" si="28"/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f t="shared" si="28"/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f t="shared" si="28"/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f t="shared" si="28"/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f t="shared" si="28"/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f t="shared" si="28"/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f t="shared" si="28"/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f t="shared" si="28"/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f t="shared" si="28"/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f t="shared" si="28"/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f t="shared" si="28"/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f t="shared" si="28"/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1728</v>
      </c>
      <c r="H1150" s="114"/>
      <c r="M1150" t="str">
        <f t="shared" si="28"/>
        <v>手工曲奇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tr">
        <f t="shared" si="28"/>
        <v>怀旧掌机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tr">
        <f t="shared" si="28"/>
        <v>简易美术品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tr">
        <f t="shared" si="28"/>
        <v>美味果酒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tr">
        <f t="shared" si="28"/>
        <v>普通的碎钻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tr">
        <f t="shared" si="28"/>
        <v>熊公仔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tr">
        <f t="shared" si="28"/>
        <v>同人小册子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tr">
        <f t="shared" si="28"/>
        <v>朴素的小裙子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tr">
        <f t="shared" ref="M1158:M1221" si="29">VLOOKUP(C1158,X:Y,2,FALSE)</f>
        <v>蓝罐曲奇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tr">
        <f t="shared" si="29"/>
        <v>Twitch掌机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tr">
        <f t="shared" si="29"/>
        <v>精美挂画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tr">
        <f t="shared" si="29"/>
        <v>香醇红酒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tr">
        <f t="shared" si="29"/>
        <v>鸽子蛋宝石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tr">
        <f t="shared" si="29"/>
        <v>熊公仔L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tr">
        <f t="shared" si="29"/>
        <v>简装同人志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tr">
        <f t="shared" si="29"/>
        <v>普通的小裙子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tr">
        <f t="shared" si="29"/>
        <v>香喷喷曲奇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tr">
        <f t="shared" si="29"/>
        <v>次世代游戏机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tr">
        <f t="shared" si="29"/>
        <v>经典名画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tr">
        <f t="shared" si="29"/>
        <v>82年的拉菲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tr">
        <f t="shared" si="29"/>
        <v>海洋之心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tr">
        <f t="shared" si="29"/>
        <v>熊公仔XXL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tr">
        <f t="shared" si="29"/>
        <v>精美同人志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tr">
        <f t="shared" si="29"/>
        <v>华丽的小裙子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tr">
        <f t="shared" si="29"/>
        <v>咸鱼立直棒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tr">
        <f t="shared" si="29"/>
        <v>大葱立直棒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tr">
        <f t="shared" si="29"/>
        <v>狗骨头立直棒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tr">
        <f t="shared" si="29"/>
        <v>和牌-烈焰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tr">
        <f t="shared" si="29"/>
        <v>和牌-旋风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tr">
        <f t="shared" si="29"/>
        <v>和牌-樱花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tr">
        <f t="shared" si="29"/>
        <v>立直-苍火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tr">
        <f t="shared" si="29"/>
        <v>橘猫爪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tr">
        <f t="shared" si="29"/>
        <v>孔雀绿桌布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tr">
        <f t="shared" si="29"/>
        <v>莲藕紫桌布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tr">
        <f t="shared" si="29"/>
        <v>紫罗兰桌布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tr">
        <f t="shared" si="29"/>
        <v>淡黄牌背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tr">
        <f t="shared" si="29"/>
        <v>果绿牌背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tr">
        <f t="shared" si="29"/>
        <v>玫瑰红牌背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tr">
        <f t="shared" si="29"/>
        <v>猩红立直棒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tr">
        <f t="shared" si="29"/>
        <v>24K金棒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tr">
        <f t="shared" si="29"/>
        <v>立直-碎冰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tr">
        <f t="shared" si="29"/>
        <v>立直-火焰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tr">
        <f t="shared" si="29"/>
        <v>和牌-黑炎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tr">
        <f t="shared" si="29"/>
        <v>真剑胜负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tr">
        <f t="shared" si="29"/>
        <v>激斗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tr">
        <f t="shared" si="29"/>
        <v>立直-幻影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tr">
        <f t="shared" si="29"/>
        <v>立直-飞羽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tr">
        <f t="shared" si="29"/>
        <v>和牌-爆炎龙卷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tr">
        <f t="shared" si="29"/>
        <v>和牌-方舟反应堆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tr">
        <f t="shared" si="29"/>
        <v>和牌-红玫瑰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tr">
        <f t="shared" si="29"/>
        <v>立直-叮~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tr">
        <f t="shared" si="29"/>
        <v>立直-龙腾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tr">
        <f t="shared" si="29"/>
        <v>和牌-K.O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tr">
        <f t="shared" si="29"/>
        <v>和牌-逆鳞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tr">
        <f t="shared" si="29"/>
        <v>立直棒-断恶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tr">
        <f t="shared" si="29"/>
        <v>立直棒-雪糕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tr">
        <f t="shared" si="29"/>
        <v>出阵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tr">
        <f t="shared" si="29"/>
        <v>一触即发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tr">
        <f t="shared" si="29"/>
        <v>桌布-吃瓜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tr">
        <f t="shared" si="29"/>
        <v>和牌-幽灵嗷嗷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tr">
        <f t="shared" si="29"/>
        <v>和牌-歌剧魅影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tr">
        <f t="shared" si="29"/>
        <v>和牌-魔法少女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tr">
        <f t="shared" si="29"/>
        <v>立直-蝙蝠桀桀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tr">
        <f t="shared" si="29"/>
        <v>立直-非常事态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tr">
        <f t="shared" si="29"/>
        <v>立直-魔法少女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tr">
        <f t="shared" si="29"/>
        <v>立直棒-小恶魔蝙蝠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tr">
        <f t="shared" si="29"/>
        <v>立直棒-魔法棒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tr">
        <f t="shared" si="29"/>
        <v>牌背-天然呆幽灵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f t="shared" si="29"/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f t="shared" si="29"/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f t="shared" si="29"/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f t="shared" si="29"/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f t="shared" ref="M1222:M1285" si="30">VLOOKUP(C1222,X:Y,2,FALSE)</f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f t="shared" si="30"/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f t="shared" si="30"/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f t="shared" si="30"/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f t="shared" si="30"/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f t="shared" si="30"/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f t="shared" si="30"/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f t="shared" si="30"/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f t="shared" si="30"/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f t="shared" si="30"/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1729</v>
      </c>
      <c r="H1232" s="114"/>
      <c r="M1232" t="str">
        <f t="shared" si="30"/>
        <v>手工曲奇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tr">
        <f t="shared" si="30"/>
        <v>怀旧掌机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tr">
        <f t="shared" si="30"/>
        <v>简易美术品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tr">
        <f t="shared" si="30"/>
        <v>美味果酒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tr">
        <f t="shared" si="30"/>
        <v>普通的碎钻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tr">
        <f t="shared" si="30"/>
        <v>熊公仔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tr">
        <f t="shared" si="30"/>
        <v>同人小册子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tr">
        <f t="shared" si="30"/>
        <v>朴素的小裙子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tr">
        <f t="shared" si="30"/>
        <v>蓝罐曲奇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tr">
        <f t="shared" si="30"/>
        <v>Twitch掌机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tr">
        <f t="shared" si="30"/>
        <v>精美挂画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tr">
        <f t="shared" si="30"/>
        <v>香醇红酒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tr">
        <f t="shared" si="30"/>
        <v>鸽子蛋宝石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tr">
        <f t="shared" si="30"/>
        <v>熊公仔L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tr">
        <f t="shared" si="30"/>
        <v>简装同人志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tr">
        <f t="shared" si="30"/>
        <v>普通的小裙子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tr">
        <f t="shared" si="30"/>
        <v>香喷喷曲奇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tr">
        <f t="shared" si="30"/>
        <v>次世代游戏机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tr">
        <f t="shared" si="30"/>
        <v>经典名画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tr">
        <f t="shared" si="30"/>
        <v>82年的拉菲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tr">
        <f t="shared" si="30"/>
        <v>海洋之心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tr">
        <f t="shared" si="30"/>
        <v>熊公仔XXL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tr">
        <f t="shared" si="30"/>
        <v>精美同人志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tr">
        <f t="shared" si="30"/>
        <v>华丽的小裙子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tr">
        <f t="shared" si="30"/>
        <v>咸鱼立直棒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tr">
        <f t="shared" si="30"/>
        <v>大葱立直棒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tr">
        <f t="shared" si="30"/>
        <v>狗骨头立直棒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tr">
        <f t="shared" si="30"/>
        <v>和牌-烈焰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tr">
        <f t="shared" si="30"/>
        <v>和牌-旋风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tr">
        <f t="shared" si="30"/>
        <v>和牌-樱花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tr">
        <f t="shared" si="30"/>
        <v>立直-苍火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tr">
        <f t="shared" si="30"/>
        <v>橘猫爪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tr">
        <f t="shared" si="30"/>
        <v>孔雀绿桌布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tr">
        <f t="shared" si="30"/>
        <v>莲藕紫桌布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tr">
        <f t="shared" si="30"/>
        <v>紫罗兰桌布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tr">
        <f t="shared" si="30"/>
        <v>淡黄牌背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tr">
        <f t="shared" si="30"/>
        <v>果绿牌背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tr">
        <f t="shared" si="30"/>
        <v>玫瑰红牌背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tr">
        <f t="shared" si="30"/>
        <v>猩红立直棒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tr">
        <f t="shared" si="30"/>
        <v>24K金棒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tr">
        <f t="shared" si="30"/>
        <v>立直-碎冰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tr">
        <f t="shared" si="30"/>
        <v>立直-火焰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tr">
        <f t="shared" si="30"/>
        <v>和牌-黑炎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tr">
        <f t="shared" si="30"/>
        <v>真剑胜负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tr">
        <f t="shared" si="30"/>
        <v>激斗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tr">
        <f t="shared" si="30"/>
        <v>立直-幻影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tr">
        <f t="shared" si="30"/>
        <v>立直-飞羽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tr">
        <f t="shared" si="30"/>
        <v>和牌-爆炎龙卷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tr">
        <f t="shared" si="30"/>
        <v>和牌-方舟反应堆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tr">
        <f t="shared" si="30"/>
        <v>和牌-红玫瑰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tr">
        <f t="shared" si="30"/>
        <v>立直-叮~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tr">
        <f t="shared" si="30"/>
        <v>立直-龙腾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tr">
        <f t="shared" si="30"/>
        <v>和牌-K.O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tr">
        <f t="shared" si="30"/>
        <v>和牌-逆鳞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tr">
        <f t="shared" ref="M1286:M1349" si="31">VLOOKUP(C1286,X:Y,2,FALSE)</f>
        <v>立直棒-断恶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tr">
        <f t="shared" si="31"/>
        <v>立直棒-雪糕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tr">
        <f t="shared" si="31"/>
        <v>出阵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tr">
        <f t="shared" si="31"/>
        <v>一触即发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tr">
        <f t="shared" si="31"/>
        <v>桌布-吃瓜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tr">
        <f t="shared" si="31"/>
        <v>和牌-幽灵嗷嗷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tr">
        <f t="shared" si="31"/>
        <v>和牌-歌剧魅影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tr">
        <f t="shared" si="31"/>
        <v>和牌-魔法少女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tr">
        <f t="shared" si="31"/>
        <v>立直-蝙蝠桀桀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tr">
        <f t="shared" si="31"/>
        <v>立直-非常事态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tr">
        <f t="shared" si="31"/>
        <v>立直-魔法少女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tr">
        <f t="shared" si="31"/>
        <v>立直棒-小恶魔蝙蝠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tr">
        <f t="shared" si="31"/>
        <v>立直棒-魔法棒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tr">
        <f t="shared" si="31"/>
        <v>牌背-天然呆幽灵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f t="shared" si="31"/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f t="shared" si="31"/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f t="shared" si="31"/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f t="shared" si="31"/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f t="shared" si="31"/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f t="shared" si="31"/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f t="shared" si="31"/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f t="shared" si="31"/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f t="shared" si="31"/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f t="shared" si="31"/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f t="shared" si="31"/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f t="shared" si="31"/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f t="shared" si="31"/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f t="shared" si="31"/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1730</v>
      </c>
      <c r="H1314" s="114"/>
      <c r="M1314" t="str">
        <f t="shared" si="31"/>
        <v>手工曲奇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tr">
        <f t="shared" si="31"/>
        <v>怀旧掌机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tr">
        <f t="shared" si="31"/>
        <v>简易美术品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tr">
        <f t="shared" si="31"/>
        <v>美味果酒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tr">
        <f t="shared" si="31"/>
        <v>普通的碎钻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tr">
        <f t="shared" si="31"/>
        <v>熊公仔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tr">
        <f t="shared" si="31"/>
        <v>同人小册子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tr">
        <f t="shared" si="31"/>
        <v>朴素的小裙子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tr">
        <f t="shared" si="31"/>
        <v>蓝罐曲奇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tr">
        <f t="shared" si="31"/>
        <v>Twitch掌机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tr">
        <f t="shared" si="31"/>
        <v>精美挂画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tr">
        <f t="shared" si="31"/>
        <v>香醇红酒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tr">
        <f t="shared" si="31"/>
        <v>鸽子蛋宝石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tr">
        <f t="shared" si="31"/>
        <v>熊公仔L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tr">
        <f t="shared" si="31"/>
        <v>简装同人志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tr">
        <f t="shared" si="31"/>
        <v>普通的小裙子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tr">
        <f t="shared" si="31"/>
        <v>香喷喷曲奇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tr">
        <f t="shared" si="31"/>
        <v>次世代游戏机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tr">
        <f t="shared" si="31"/>
        <v>经典名画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tr">
        <f t="shared" si="31"/>
        <v>82年的拉菲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tr">
        <f t="shared" si="31"/>
        <v>海洋之心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tr">
        <f t="shared" si="31"/>
        <v>熊公仔XXL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tr">
        <f t="shared" si="31"/>
        <v>精美同人志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tr">
        <f t="shared" si="31"/>
        <v>华丽的小裙子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tr">
        <f t="shared" si="31"/>
        <v>咸鱼立直棒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tr">
        <f t="shared" si="31"/>
        <v>大葱立直棒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tr">
        <f t="shared" si="31"/>
        <v>狗骨头立直棒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tr">
        <f t="shared" si="31"/>
        <v>和牌-烈焰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tr">
        <f t="shared" si="31"/>
        <v>和牌-旋风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tr">
        <f t="shared" si="31"/>
        <v>和牌-樱花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tr">
        <f t="shared" si="31"/>
        <v>立直-苍火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tr">
        <f t="shared" si="31"/>
        <v>橘猫爪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tr">
        <f t="shared" si="31"/>
        <v>孔雀绿桌布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tr">
        <f t="shared" si="31"/>
        <v>莲藕紫桌布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tr">
        <f t="shared" si="31"/>
        <v>紫罗兰桌布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tr">
        <f t="shared" si="31"/>
        <v>淡黄牌背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tr">
        <f t="shared" ref="M1350:M1413" si="32">VLOOKUP(C1350,X:Y,2,FALSE)</f>
        <v>果绿牌背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tr">
        <f t="shared" si="32"/>
        <v>玫瑰红牌背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tr">
        <f t="shared" si="32"/>
        <v>猩红立直棒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tr">
        <f t="shared" si="32"/>
        <v>24K金棒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tr">
        <f t="shared" si="32"/>
        <v>立直-碎冰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tr">
        <f t="shared" si="32"/>
        <v>立直-火焰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tr">
        <f t="shared" si="32"/>
        <v>和牌-黑炎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tr">
        <f t="shared" si="32"/>
        <v>真剑胜负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tr">
        <f t="shared" si="32"/>
        <v>激斗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tr">
        <f t="shared" si="32"/>
        <v>立直-幻影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tr">
        <f t="shared" si="32"/>
        <v>立直-飞羽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tr">
        <f t="shared" si="32"/>
        <v>和牌-爆炎龙卷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tr">
        <f t="shared" si="32"/>
        <v>和牌-方舟反应堆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tr">
        <f t="shared" si="32"/>
        <v>和牌-红玫瑰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tr">
        <f t="shared" si="32"/>
        <v>立直-叮~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tr">
        <f t="shared" si="32"/>
        <v>立直-龙腾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tr">
        <f t="shared" si="32"/>
        <v>和牌-K.O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tr">
        <f t="shared" si="32"/>
        <v>和牌-逆鳞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tr">
        <f t="shared" si="32"/>
        <v>立直棒-断恶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tr">
        <f t="shared" si="32"/>
        <v>立直棒-雪糕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tr">
        <f t="shared" si="32"/>
        <v>出阵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tr">
        <f t="shared" si="32"/>
        <v>一触即发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tr">
        <f t="shared" si="32"/>
        <v>桌布-吃瓜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tr">
        <f t="shared" si="32"/>
        <v>和牌-幽灵嗷嗷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tr">
        <f t="shared" si="32"/>
        <v>和牌-歌剧魅影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tr">
        <f t="shared" si="32"/>
        <v>和牌-魔法少女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tr">
        <f t="shared" si="32"/>
        <v>立直-蝙蝠桀桀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tr">
        <f t="shared" si="32"/>
        <v>立直-非常事态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tr">
        <f t="shared" si="32"/>
        <v>立直-魔法少女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tr">
        <f t="shared" si="32"/>
        <v>立直棒-小恶魔蝙蝠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tr">
        <f t="shared" si="32"/>
        <v>立直棒-魔法棒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tr">
        <f t="shared" si="32"/>
        <v>牌背-天然呆幽灵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f t="shared" si="32"/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f t="shared" si="32"/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f t="shared" si="32"/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f t="shared" si="32"/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f t="shared" si="32"/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f t="shared" si="32"/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f t="shared" si="32"/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f t="shared" si="32"/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f t="shared" si="32"/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f t="shared" si="32"/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f t="shared" si="32"/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f t="shared" si="32"/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f t="shared" si="32"/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f t="shared" si="32"/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1731</v>
      </c>
      <c r="H1396" s="114"/>
      <c r="M1396" t="str">
        <f t="shared" si="32"/>
        <v>手工曲奇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tr">
        <f t="shared" si="32"/>
        <v>怀旧掌机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tr">
        <f t="shared" si="32"/>
        <v>简易美术品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tr">
        <f t="shared" si="32"/>
        <v>美味果酒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tr">
        <f t="shared" si="32"/>
        <v>普通的碎钻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tr">
        <f t="shared" si="32"/>
        <v>熊公仔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tr">
        <f t="shared" si="32"/>
        <v>同人小册子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tr">
        <f t="shared" si="32"/>
        <v>朴素的小裙子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tr">
        <f t="shared" si="32"/>
        <v>蓝罐曲奇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tr">
        <f t="shared" si="32"/>
        <v>Twitch掌机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tr">
        <f t="shared" si="32"/>
        <v>精美挂画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tr">
        <f t="shared" si="32"/>
        <v>香醇红酒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tr">
        <f t="shared" si="32"/>
        <v>鸽子蛋宝石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tr">
        <f t="shared" si="32"/>
        <v>熊公仔L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tr">
        <f t="shared" si="32"/>
        <v>简装同人志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tr">
        <f t="shared" si="32"/>
        <v>普通的小裙子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tr">
        <f t="shared" si="32"/>
        <v>香喷喷曲奇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tr">
        <f t="shared" si="32"/>
        <v>次世代游戏机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tr">
        <f t="shared" ref="M1414:M1477" si="33">VLOOKUP(C1414,X:Y,2,FALSE)</f>
        <v>经典名画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tr">
        <f t="shared" si="33"/>
        <v>82年的拉菲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tr">
        <f t="shared" si="33"/>
        <v>海洋之心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tr">
        <f t="shared" si="33"/>
        <v>熊公仔XXL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tr">
        <f t="shared" si="33"/>
        <v>精美同人志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tr">
        <f t="shared" si="33"/>
        <v>华丽的小裙子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tr">
        <f t="shared" si="33"/>
        <v>咸鱼立直棒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tr">
        <f t="shared" si="33"/>
        <v>大葱立直棒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tr">
        <f t="shared" si="33"/>
        <v>狗骨头立直棒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tr">
        <f t="shared" si="33"/>
        <v>和牌-烈焰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tr">
        <f t="shared" si="33"/>
        <v>和牌-旋风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tr">
        <f t="shared" si="33"/>
        <v>和牌-樱花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tr">
        <f t="shared" si="33"/>
        <v>立直-苍火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tr">
        <f t="shared" si="33"/>
        <v>橘猫爪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tr">
        <f t="shared" si="33"/>
        <v>孔雀绿桌布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tr">
        <f t="shared" si="33"/>
        <v>莲藕紫桌布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tr">
        <f t="shared" si="33"/>
        <v>紫罗兰桌布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tr">
        <f t="shared" si="33"/>
        <v>淡黄牌背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tr">
        <f t="shared" si="33"/>
        <v>果绿牌背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tr">
        <f t="shared" si="33"/>
        <v>玫瑰红牌背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tr">
        <f t="shared" si="33"/>
        <v>猩红立直棒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tr">
        <f t="shared" si="33"/>
        <v>24K金棒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tr">
        <f t="shared" si="33"/>
        <v>立直-碎冰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tr">
        <f t="shared" si="33"/>
        <v>立直-火焰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tr">
        <f t="shared" si="33"/>
        <v>和牌-黑炎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tr">
        <f t="shared" si="33"/>
        <v>真剑胜负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tr">
        <f t="shared" si="33"/>
        <v>激斗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tr">
        <f t="shared" si="33"/>
        <v>立直-幻影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tr">
        <f t="shared" si="33"/>
        <v>立直-飞羽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tr">
        <f t="shared" si="33"/>
        <v>和牌-爆炎龙卷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tr">
        <f t="shared" si="33"/>
        <v>和牌-方舟反应堆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tr">
        <f t="shared" si="33"/>
        <v>和牌-红玫瑰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tr">
        <f t="shared" si="33"/>
        <v>立直-叮~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tr">
        <f t="shared" si="33"/>
        <v>立直-龙腾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tr">
        <f t="shared" si="33"/>
        <v>和牌-K.O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tr">
        <f t="shared" si="33"/>
        <v>和牌-逆鳞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tr">
        <f t="shared" si="33"/>
        <v>立直棒-断恶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tr">
        <f t="shared" si="33"/>
        <v>立直棒-雪糕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tr">
        <f t="shared" si="33"/>
        <v>出阵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tr">
        <f t="shared" si="33"/>
        <v>一触即发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tr">
        <f t="shared" si="33"/>
        <v>桌布-吃瓜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tr">
        <f t="shared" si="33"/>
        <v>和牌-幽灵嗷嗷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tr">
        <f t="shared" si="33"/>
        <v>和牌-歌剧魅影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tr">
        <f t="shared" si="33"/>
        <v>和牌-魔法少女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tr">
        <f t="shared" si="33"/>
        <v>立直-蝙蝠桀桀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tr">
        <f t="shared" si="33"/>
        <v>立直-非常事态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tr">
        <f t="shared" si="33"/>
        <v>立直-魔法少女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tr">
        <f t="shared" si="33"/>
        <v>立直棒-小恶魔蝙蝠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tr">
        <f t="shared" si="33"/>
        <v>立直棒-魔法棒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tr">
        <f t="shared" si="33"/>
        <v>牌背-天然呆幽灵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f t="shared" si="33"/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f t="shared" si="33"/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f t="shared" si="33"/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f t="shared" si="33"/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f t="shared" si="33"/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f t="shared" si="33"/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f t="shared" si="33"/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f t="shared" si="33"/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f t="shared" si="33"/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f t="shared" si="33"/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f t="shared" si="33"/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f t="shared" si="33"/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f t="shared" si="33"/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f t="shared" si="33"/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1732</v>
      </c>
      <c r="H1478" s="122">
        <f t="shared" ref="H1478:H1509" si="34">E1478/SUM($E$1478:$E$1546)</f>
        <v>5.00751126690035E-4</v>
      </c>
      <c r="I1478" s="122"/>
      <c r="J1478" s="122"/>
      <c r="M1478" t="str">
        <f t="shared" ref="M1478:M1541" si="35">VLOOKUP(C1478,X:Y,2,FALSE)</f>
        <v>手工曲奇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f t="shared" si="34"/>
        <v>5.00751126690035E-4</v>
      </c>
      <c r="M1479" t="str">
        <f t="shared" si="35"/>
        <v>怀旧掌机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f t="shared" si="34"/>
        <v>5.00751126690035E-4</v>
      </c>
      <c r="M1480" t="str">
        <f t="shared" si="35"/>
        <v>简易美术品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f t="shared" si="34"/>
        <v>5.00751126690035E-4</v>
      </c>
      <c r="M1481" t="str">
        <f t="shared" si="35"/>
        <v>美味果酒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f t="shared" si="34"/>
        <v>5.00751126690035E-4</v>
      </c>
      <c r="M1482" t="str">
        <f t="shared" si="35"/>
        <v>普通的碎钻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f t="shared" si="34"/>
        <v>5.00751126690035E-4</v>
      </c>
      <c r="M1483" t="str">
        <f t="shared" si="35"/>
        <v>熊公仔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f t="shared" si="34"/>
        <v>5.00751126690035E-4</v>
      </c>
      <c r="M1484" t="str">
        <f t="shared" si="35"/>
        <v>同人小册子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f t="shared" si="34"/>
        <v>5.00751126690035E-4</v>
      </c>
      <c r="M1485" t="str">
        <f t="shared" si="35"/>
        <v>朴素的小裙子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f t="shared" si="34"/>
        <v>0.10015022533800701</v>
      </c>
      <c r="M1486" t="str">
        <f t="shared" si="35"/>
        <v>蓝罐曲奇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f t="shared" si="34"/>
        <v>0.10015022533800701</v>
      </c>
      <c r="M1487" t="str">
        <f t="shared" si="35"/>
        <v>Twitch掌机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f t="shared" si="34"/>
        <v>0.10015022533800701</v>
      </c>
      <c r="M1488" t="str">
        <f t="shared" si="35"/>
        <v>精美挂画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f t="shared" si="34"/>
        <v>0.10015022533800701</v>
      </c>
      <c r="M1489" t="str">
        <f t="shared" si="35"/>
        <v>香醇红酒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f t="shared" si="34"/>
        <v>0.10015022533800701</v>
      </c>
      <c r="M1490" t="str">
        <f t="shared" si="35"/>
        <v>鸽子蛋宝石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f t="shared" si="34"/>
        <v>0.10015022533800701</v>
      </c>
      <c r="M1491" t="str">
        <f t="shared" si="35"/>
        <v>熊公仔L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f t="shared" si="34"/>
        <v>0.10015022533800701</v>
      </c>
      <c r="M1492" t="str">
        <f t="shared" si="35"/>
        <v>简装同人志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f t="shared" si="34"/>
        <v>0.10015022533800701</v>
      </c>
      <c r="M1493" t="str">
        <f t="shared" si="35"/>
        <v>普通的小裙子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f t="shared" si="34"/>
        <v>5.0075112669003509E-3</v>
      </c>
      <c r="M1494" t="str">
        <f t="shared" si="35"/>
        <v>香喷喷曲奇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f t="shared" si="34"/>
        <v>5.0075112669003509E-3</v>
      </c>
      <c r="M1495" t="str">
        <f t="shared" si="35"/>
        <v>次世代游戏机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f t="shared" si="34"/>
        <v>5.0075112669003509E-3</v>
      </c>
      <c r="M1496" t="str">
        <f t="shared" si="35"/>
        <v>经典名画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f t="shared" si="34"/>
        <v>5.0075112669003509E-3</v>
      </c>
      <c r="M1497" t="str">
        <f t="shared" si="35"/>
        <v>82年的拉菲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f t="shared" si="34"/>
        <v>5.0075112669003509E-3</v>
      </c>
      <c r="M1498" t="str">
        <f t="shared" si="35"/>
        <v>海洋之心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f t="shared" si="34"/>
        <v>5.0075112669003509E-3</v>
      </c>
      <c r="M1499" t="str">
        <f t="shared" si="35"/>
        <v>熊公仔XXL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f t="shared" si="34"/>
        <v>5.0075112669003509E-3</v>
      </c>
      <c r="M1500" t="str">
        <f t="shared" si="35"/>
        <v>精美同人志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f t="shared" si="34"/>
        <v>5.0075112669003509E-3</v>
      </c>
      <c r="M1501" t="str">
        <f t="shared" si="35"/>
        <v>华丽的小裙子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f t="shared" si="34"/>
        <v>3.5052578868302454E-3</v>
      </c>
      <c r="J1502" s="104"/>
      <c r="M1502" t="str">
        <f t="shared" si="35"/>
        <v>咸鱼立直棒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f t="shared" si="34"/>
        <v>3.5052578868302454E-3</v>
      </c>
      <c r="M1503" t="str">
        <f t="shared" si="35"/>
        <v>大葱立直棒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f t="shared" si="34"/>
        <v>3.5052578868302454E-3</v>
      </c>
      <c r="M1504" t="str">
        <f t="shared" si="35"/>
        <v>狗骨头立直棒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f t="shared" si="34"/>
        <v>3.5052578868302454E-3</v>
      </c>
      <c r="M1505" t="str">
        <f t="shared" si="35"/>
        <v>和牌-烈焰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f t="shared" si="34"/>
        <v>3.5052578868302454E-3</v>
      </c>
      <c r="M1506" t="str">
        <f t="shared" si="35"/>
        <v>和牌-旋风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f t="shared" si="34"/>
        <v>3.5052578868302454E-3</v>
      </c>
      <c r="M1507" t="str">
        <f t="shared" si="35"/>
        <v>和牌-樱花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f t="shared" si="34"/>
        <v>3.5052578868302454E-3</v>
      </c>
      <c r="M1508" t="str">
        <f t="shared" si="35"/>
        <v>立直-苍火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f t="shared" si="34"/>
        <v>3.5052578868302454E-3</v>
      </c>
      <c r="M1509" t="str">
        <f t="shared" si="35"/>
        <v>橘猫爪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f t="shared" ref="H1510:H1541" si="36">E1510/SUM($E$1478:$E$1546)</f>
        <v>3.5052578868302454E-3</v>
      </c>
      <c r="M1510" t="str">
        <f t="shared" si="35"/>
        <v>孔雀绿桌布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f t="shared" si="36"/>
        <v>3.5052578868302454E-3</v>
      </c>
      <c r="M1511" t="str">
        <f t="shared" si="35"/>
        <v>莲藕紫桌布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f t="shared" si="36"/>
        <v>3.5052578868302454E-3</v>
      </c>
      <c r="M1512" t="str">
        <f t="shared" si="35"/>
        <v>紫罗兰桌布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f t="shared" si="36"/>
        <v>3.5052578868302454E-3</v>
      </c>
      <c r="M1513" t="str">
        <f t="shared" si="35"/>
        <v>淡黄牌背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f t="shared" si="36"/>
        <v>3.5052578868302454E-3</v>
      </c>
      <c r="M1514" t="str">
        <f t="shared" si="35"/>
        <v>果绿牌背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f t="shared" si="36"/>
        <v>3.5052578868302454E-3</v>
      </c>
      <c r="M1515" t="str">
        <f t="shared" si="35"/>
        <v>玫瑰红牌背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f t="shared" si="36"/>
        <v>3.5052578868302454E-3</v>
      </c>
      <c r="M1516" t="str">
        <f t="shared" si="35"/>
        <v>猩红立直棒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f t="shared" si="36"/>
        <v>3.5052578868302454E-3</v>
      </c>
      <c r="M1517" t="str">
        <f t="shared" si="35"/>
        <v>24K金棒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f t="shared" si="36"/>
        <v>3.5052578868302454E-3</v>
      </c>
      <c r="M1518" t="str">
        <f t="shared" si="35"/>
        <v>立直-碎冰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f t="shared" si="36"/>
        <v>3.5052578868302454E-3</v>
      </c>
      <c r="M1519" t="str">
        <f t="shared" si="35"/>
        <v>立直-火焰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f t="shared" si="36"/>
        <v>3.5052578868302454E-3</v>
      </c>
      <c r="M1520" t="str">
        <f t="shared" si="35"/>
        <v>和牌-黑炎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f t="shared" si="36"/>
        <v>3.5052578868302454E-3</v>
      </c>
      <c r="M1521" t="str">
        <f t="shared" si="35"/>
        <v>真剑胜负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f t="shared" si="36"/>
        <v>3.5052578868302454E-3</v>
      </c>
      <c r="M1522" t="str">
        <f t="shared" si="35"/>
        <v>激斗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f t="shared" si="36"/>
        <v>3.5052578868302454E-3</v>
      </c>
      <c r="M1523" t="str">
        <f t="shared" si="35"/>
        <v>立直-幻影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f t="shared" si="36"/>
        <v>3.5052578868302454E-3</v>
      </c>
      <c r="M1524" t="str">
        <f t="shared" si="35"/>
        <v>立直-飞羽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f t="shared" si="36"/>
        <v>3.5052578868302454E-3</v>
      </c>
      <c r="M1525" t="str">
        <f t="shared" si="35"/>
        <v>和牌-爆炎龙卷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f t="shared" si="36"/>
        <v>3.5052578868302454E-3</v>
      </c>
      <c r="M1526" t="str">
        <f t="shared" si="35"/>
        <v>和牌-方舟反应堆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f t="shared" si="36"/>
        <v>3.5052578868302454E-3</v>
      </c>
      <c r="M1527" t="str">
        <f t="shared" si="35"/>
        <v>和牌-红玫瑰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f t="shared" si="36"/>
        <v>3.5052578868302454E-3</v>
      </c>
      <c r="J1528" s="104"/>
      <c r="M1528" t="str">
        <f t="shared" si="35"/>
        <v>立直-叮~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f t="shared" si="36"/>
        <v>3.5052578868302454E-3</v>
      </c>
      <c r="M1529" t="str">
        <f t="shared" si="35"/>
        <v>立直-龙腾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f t="shared" si="36"/>
        <v>3.5052578868302454E-3</v>
      </c>
      <c r="M1530" t="str">
        <f t="shared" si="35"/>
        <v>和牌-K.O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f t="shared" si="36"/>
        <v>3.5052578868302454E-3</v>
      </c>
      <c r="M1531" t="str">
        <f t="shared" si="35"/>
        <v>和牌-逆鳞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f t="shared" si="36"/>
        <v>3.5052578868302454E-3</v>
      </c>
      <c r="M1532" t="str">
        <f t="shared" si="35"/>
        <v>立直棒-断恶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f t="shared" si="36"/>
        <v>3.5052578868302454E-3</v>
      </c>
      <c r="M1533" t="str">
        <f t="shared" si="35"/>
        <v>立直棒-雪糕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f t="shared" si="36"/>
        <v>3.5052578868302454E-3</v>
      </c>
      <c r="M1534" t="str">
        <f t="shared" si="35"/>
        <v>出阵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f t="shared" si="36"/>
        <v>3.5052578868302454E-3</v>
      </c>
      <c r="M1535" t="str">
        <f t="shared" si="35"/>
        <v>一触即发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f t="shared" si="36"/>
        <v>3.5052578868302454E-3</v>
      </c>
      <c r="M1536" t="str">
        <f t="shared" si="35"/>
        <v>桌布-吃瓜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f t="shared" si="36"/>
        <v>3.5052578868302454E-3</v>
      </c>
      <c r="M1537" t="str">
        <f t="shared" si="35"/>
        <v>和牌-幽灵嗷嗷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f t="shared" si="36"/>
        <v>3.5052578868302454E-3</v>
      </c>
      <c r="M1538" t="str">
        <f t="shared" si="35"/>
        <v>立直-蝙蝠桀桀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f t="shared" si="36"/>
        <v>3.5052578868302454E-3</v>
      </c>
      <c r="M1539" t="str">
        <f t="shared" si="35"/>
        <v>立直棒-小恶魔蝙蝠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f t="shared" si="36"/>
        <v>3.5052578868302454E-3</v>
      </c>
      <c r="M1540" t="str">
        <f t="shared" si="35"/>
        <v>牌背-天然呆幽灵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f t="shared" si="36"/>
        <v>3.0045067601402104E-3</v>
      </c>
      <c r="J1541" s="104">
        <f>SUM(H1541:H1546)</f>
        <v>1.8027040560841263E-2</v>
      </c>
      <c r="M1541" t="e">
        <f t="shared" si="35"/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f t="shared" ref="H1542:H1546" si="37">E1542/SUM($E$1478:$E$1546)</f>
        <v>3.0045067601402104E-3</v>
      </c>
      <c r="J1542" s="104"/>
      <c r="M1542" t="e">
        <f t="shared" ref="M1542:M1605" si="38">VLOOKUP(C1542,X:Y,2,FALSE)</f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f t="shared" si="37"/>
        <v>3.0045067601402104E-3</v>
      </c>
      <c r="J1543" s="104"/>
      <c r="M1543" t="e">
        <f t="shared" si="38"/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f t="shared" si="37"/>
        <v>3.0045067601402104E-3</v>
      </c>
      <c r="M1544" t="e">
        <f t="shared" si="38"/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f t="shared" si="37"/>
        <v>3.0045067601402104E-3</v>
      </c>
      <c r="M1545" t="e">
        <f t="shared" si="38"/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f t="shared" si="37"/>
        <v>3.0045067601402104E-3</v>
      </c>
      <c r="M1546" t="e">
        <f t="shared" si="38"/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1733</v>
      </c>
      <c r="H1547" s="114"/>
      <c r="I1547" s="4"/>
      <c r="J1547" s="4"/>
      <c r="K1547" s="4"/>
      <c r="L1547" s="4"/>
      <c r="M1547" t="str">
        <f t="shared" si="38"/>
        <v>手工曲奇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tr">
        <f t="shared" si="38"/>
        <v>怀旧掌机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tr">
        <f t="shared" si="38"/>
        <v>简易美术品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tr">
        <f t="shared" si="38"/>
        <v>美味果酒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tr">
        <f t="shared" si="38"/>
        <v>普通的碎钻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tr">
        <f t="shared" si="38"/>
        <v>熊公仔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tr">
        <f t="shared" si="38"/>
        <v>同人小册子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tr">
        <f t="shared" si="38"/>
        <v>朴素的小裙子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tr">
        <f t="shared" si="38"/>
        <v>蓝罐曲奇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tr">
        <f t="shared" si="38"/>
        <v>Twitch掌机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tr">
        <f t="shared" si="38"/>
        <v>精美挂画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tr">
        <f t="shared" si="38"/>
        <v>香醇红酒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tr">
        <f t="shared" si="38"/>
        <v>鸽子蛋宝石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tr">
        <f t="shared" si="38"/>
        <v>熊公仔L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tr">
        <f t="shared" si="38"/>
        <v>简装同人志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tr">
        <f t="shared" si="38"/>
        <v>普通的小裙子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tr">
        <f t="shared" si="38"/>
        <v>香喷喷曲奇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tr">
        <f t="shared" si="38"/>
        <v>次世代游戏机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tr">
        <f t="shared" si="38"/>
        <v>经典名画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tr">
        <f t="shared" si="38"/>
        <v>82年的拉菲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tr">
        <f t="shared" si="38"/>
        <v>海洋之心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tr">
        <f t="shared" si="38"/>
        <v>熊公仔XXL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tr">
        <f t="shared" si="38"/>
        <v>精美同人志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tr">
        <f t="shared" si="38"/>
        <v>华丽的小裙子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tr">
        <f t="shared" si="38"/>
        <v>咸鱼立直棒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tr">
        <f t="shared" si="38"/>
        <v>大葱立直棒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tr">
        <f t="shared" si="38"/>
        <v>狗骨头立直棒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tr">
        <f t="shared" si="38"/>
        <v>和牌-烈焰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tr">
        <f t="shared" si="38"/>
        <v>和牌-旋风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tr">
        <f t="shared" si="38"/>
        <v>和牌-樱花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tr">
        <f t="shared" si="38"/>
        <v>立直-苍火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tr">
        <f t="shared" si="38"/>
        <v>橘猫爪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tr">
        <f t="shared" si="38"/>
        <v>孔雀绿桌布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tr">
        <f t="shared" si="38"/>
        <v>莲藕紫桌布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tr">
        <f t="shared" si="38"/>
        <v>紫罗兰桌布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tr">
        <f t="shared" si="38"/>
        <v>淡黄牌背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tr">
        <f t="shared" si="38"/>
        <v>果绿牌背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tr">
        <f t="shared" si="38"/>
        <v>玫瑰红牌背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tr">
        <f t="shared" si="38"/>
        <v>猩红立直棒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tr">
        <f t="shared" si="38"/>
        <v>24K金棒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tr">
        <f t="shared" si="38"/>
        <v>立直-碎冰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tr">
        <f t="shared" si="38"/>
        <v>立直-火焰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tr">
        <f t="shared" si="38"/>
        <v>和牌-黑炎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tr">
        <f t="shared" si="38"/>
        <v>真剑胜负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tr">
        <f t="shared" si="38"/>
        <v>激斗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tr">
        <f t="shared" si="38"/>
        <v>立直-幻影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tr">
        <f t="shared" si="38"/>
        <v>立直-飞羽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tr">
        <f t="shared" si="38"/>
        <v>和牌-爆炎龙卷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tr">
        <f t="shared" si="38"/>
        <v>和牌-方舟反应堆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tr">
        <f t="shared" si="38"/>
        <v>和牌-红玫瑰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tr">
        <f t="shared" si="38"/>
        <v>立直-叮~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tr">
        <f t="shared" si="38"/>
        <v>立直-龙腾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tr">
        <f t="shared" si="38"/>
        <v>和牌-K.O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tr">
        <f t="shared" si="38"/>
        <v>和牌-逆鳞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tr">
        <f t="shared" si="38"/>
        <v>立直棒-断恶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tr">
        <f t="shared" si="38"/>
        <v>立直棒-雪糕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tr">
        <f t="shared" si="38"/>
        <v>出阵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tr">
        <f t="shared" si="38"/>
        <v>一触即发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tr">
        <f t="shared" si="38"/>
        <v>桌布-吃瓜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tr">
        <f t="shared" ref="M1606:M1669" si="39">VLOOKUP(C1606,X:Y,2,FALSE)</f>
        <v>和牌-幽灵嗷嗷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tr">
        <f t="shared" si="39"/>
        <v>立直-蝙蝠桀桀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tr">
        <f t="shared" si="39"/>
        <v>立直棒-小恶魔蝙蝠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tr">
        <f t="shared" si="39"/>
        <v>牌背-天然呆幽灵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f t="shared" si="39"/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f t="shared" si="39"/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f t="shared" si="39"/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f t="shared" si="39"/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f t="shared" si="39"/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f t="shared" si="39"/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1734</v>
      </c>
      <c r="H1616" s="114"/>
      <c r="I1616" s="4"/>
      <c r="J1616" s="4"/>
      <c r="K1616" s="4"/>
      <c r="L1616" s="4"/>
      <c r="M1616" t="str">
        <f t="shared" si="39"/>
        <v>手工曲奇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tr">
        <f t="shared" si="39"/>
        <v>怀旧掌机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tr">
        <f t="shared" si="39"/>
        <v>简易美术品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tr">
        <f t="shared" si="39"/>
        <v>美味果酒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tr">
        <f t="shared" si="39"/>
        <v>普通的碎钻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tr">
        <f t="shared" si="39"/>
        <v>熊公仔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tr">
        <f t="shared" si="39"/>
        <v>同人小册子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tr">
        <f t="shared" si="39"/>
        <v>朴素的小裙子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tr">
        <f t="shared" si="39"/>
        <v>蓝罐曲奇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tr">
        <f t="shared" si="39"/>
        <v>Twitch掌机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tr">
        <f t="shared" si="39"/>
        <v>精美挂画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tr">
        <f t="shared" si="39"/>
        <v>香醇红酒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tr">
        <f t="shared" si="39"/>
        <v>鸽子蛋宝石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tr">
        <f t="shared" si="39"/>
        <v>熊公仔L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tr">
        <f t="shared" si="39"/>
        <v>简装同人志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tr">
        <f t="shared" si="39"/>
        <v>普通的小裙子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tr">
        <f t="shared" si="39"/>
        <v>香喷喷曲奇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tr">
        <f t="shared" si="39"/>
        <v>次世代游戏机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tr">
        <f t="shared" si="39"/>
        <v>经典名画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tr">
        <f t="shared" si="39"/>
        <v>82年的拉菲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tr">
        <f t="shared" si="39"/>
        <v>海洋之心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tr">
        <f t="shared" si="39"/>
        <v>熊公仔XXL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tr">
        <f t="shared" si="39"/>
        <v>精美同人志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tr">
        <f t="shared" si="39"/>
        <v>华丽的小裙子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tr">
        <f t="shared" si="39"/>
        <v>咸鱼立直棒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tr">
        <f t="shared" si="39"/>
        <v>大葱立直棒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tr">
        <f t="shared" si="39"/>
        <v>狗骨头立直棒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tr">
        <f t="shared" si="39"/>
        <v>和牌-烈焰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tr">
        <f t="shared" si="39"/>
        <v>和牌-旋风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tr">
        <f t="shared" si="39"/>
        <v>和牌-樱花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tr">
        <f t="shared" si="39"/>
        <v>立直-苍火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tr">
        <f t="shared" si="39"/>
        <v>橘猫爪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tr">
        <f t="shared" si="39"/>
        <v>孔雀绿桌布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tr">
        <f t="shared" si="39"/>
        <v>莲藕紫桌布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tr">
        <f t="shared" si="39"/>
        <v>紫罗兰桌布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tr">
        <f t="shared" si="39"/>
        <v>淡黄牌背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tr">
        <f t="shared" si="39"/>
        <v>果绿牌背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tr">
        <f t="shared" si="39"/>
        <v>玫瑰红牌背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tr">
        <f t="shared" si="39"/>
        <v>猩红立直棒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tr">
        <f t="shared" si="39"/>
        <v>24K金棒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tr">
        <f t="shared" si="39"/>
        <v>立直-碎冰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tr">
        <f t="shared" si="39"/>
        <v>立直-火焰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tr">
        <f t="shared" si="39"/>
        <v>和牌-黑炎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tr">
        <f t="shared" si="39"/>
        <v>真剑胜负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tr">
        <f t="shared" si="39"/>
        <v>激斗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tr">
        <f t="shared" si="39"/>
        <v>立直-幻影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tr">
        <f t="shared" si="39"/>
        <v>立直-飞羽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tr">
        <f t="shared" si="39"/>
        <v>和牌-爆炎龙卷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tr">
        <f t="shared" si="39"/>
        <v>和牌-方舟反应堆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tr">
        <f t="shared" si="39"/>
        <v>和牌-红玫瑰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tr">
        <f t="shared" si="39"/>
        <v>立直-叮~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tr">
        <f t="shared" si="39"/>
        <v>立直-龙腾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tr">
        <f t="shared" si="39"/>
        <v>和牌-K.O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tr">
        <f t="shared" si="39"/>
        <v>和牌-逆鳞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tr">
        <f t="shared" ref="M1670:M1733" si="40">VLOOKUP(C1670,X:Y,2,FALSE)</f>
        <v>立直棒-断恶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tr">
        <f t="shared" si="40"/>
        <v>立直棒-雪糕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tr">
        <f t="shared" si="40"/>
        <v>出阵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tr">
        <f t="shared" si="40"/>
        <v>一触即发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tr">
        <f t="shared" si="40"/>
        <v>桌布-吃瓜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tr">
        <f t="shared" si="40"/>
        <v>和牌-幽灵嗷嗷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tr">
        <f t="shared" si="40"/>
        <v>立直-蝙蝠桀桀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tr">
        <f t="shared" si="40"/>
        <v>立直棒-小恶魔蝙蝠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tr">
        <f t="shared" si="40"/>
        <v>牌背-天然呆幽灵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f t="shared" si="40"/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f t="shared" si="40"/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f t="shared" si="40"/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f t="shared" si="40"/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f t="shared" si="40"/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f t="shared" si="40"/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1735</v>
      </c>
      <c r="H1685" s="114"/>
      <c r="I1685" s="4"/>
      <c r="J1685" s="4"/>
      <c r="K1685" s="4"/>
      <c r="L1685" s="4"/>
      <c r="M1685" t="str">
        <f t="shared" si="40"/>
        <v>手工曲奇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tr">
        <f t="shared" si="40"/>
        <v>怀旧掌机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tr">
        <f t="shared" si="40"/>
        <v>简易美术品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tr">
        <f t="shared" si="40"/>
        <v>美味果酒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tr">
        <f t="shared" si="40"/>
        <v>普通的碎钻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tr">
        <f t="shared" si="40"/>
        <v>熊公仔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tr">
        <f t="shared" si="40"/>
        <v>同人小册子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tr">
        <f t="shared" si="40"/>
        <v>朴素的小裙子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tr">
        <f t="shared" si="40"/>
        <v>蓝罐曲奇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tr">
        <f t="shared" si="40"/>
        <v>Twitch掌机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tr">
        <f t="shared" si="40"/>
        <v>精美挂画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tr">
        <f t="shared" si="40"/>
        <v>香醇红酒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tr">
        <f t="shared" si="40"/>
        <v>鸽子蛋宝石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tr">
        <f t="shared" si="40"/>
        <v>熊公仔L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tr">
        <f t="shared" si="40"/>
        <v>简装同人志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tr">
        <f t="shared" si="40"/>
        <v>普通的小裙子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tr">
        <f t="shared" si="40"/>
        <v>香喷喷曲奇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tr">
        <f t="shared" si="40"/>
        <v>次世代游戏机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tr">
        <f t="shared" si="40"/>
        <v>经典名画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tr">
        <f t="shared" si="40"/>
        <v>82年的拉菲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tr">
        <f t="shared" si="40"/>
        <v>海洋之心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tr">
        <f t="shared" si="40"/>
        <v>熊公仔XXL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tr">
        <f t="shared" si="40"/>
        <v>精美同人志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tr">
        <f t="shared" si="40"/>
        <v>华丽的小裙子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tr">
        <f t="shared" si="40"/>
        <v>咸鱼立直棒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tr">
        <f t="shared" si="40"/>
        <v>大葱立直棒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tr">
        <f t="shared" si="40"/>
        <v>狗骨头立直棒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tr">
        <f t="shared" si="40"/>
        <v>和牌-烈焰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tr">
        <f t="shared" si="40"/>
        <v>和牌-旋风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tr">
        <f t="shared" si="40"/>
        <v>和牌-樱花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tr">
        <f t="shared" si="40"/>
        <v>立直-苍火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tr">
        <f t="shared" si="40"/>
        <v>橘猫爪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tr">
        <f t="shared" si="40"/>
        <v>孔雀绿桌布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tr">
        <f t="shared" si="40"/>
        <v>莲藕紫桌布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tr">
        <f t="shared" si="40"/>
        <v>紫罗兰桌布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tr">
        <f t="shared" si="40"/>
        <v>淡黄牌背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tr">
        <f t="shared" si="40"/>
        <v>果绿牌背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tr">
        <f t="shared" si="40"/>
        <v>玫瑰红牌背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tr">
        <f t="shared" si="40"/>
        <v>猩红立直棒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tr">
        <f t="shared" si="40"/>
        <v>24K金棒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tr">
        <f t="shared" si="40"/>
        <v>立直-碎冰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tr">
        <f t="shared" si="40"/>
        <v>立直-火焰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tr">
        <f t="shared" si="40"/>
        <v>和牌-黑炎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tr">
        <f t="shared" si="40"/>
        <v>真剑胜负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tr">
        <f t="shared" si="40"/>
        <v>激斗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tr">
        <f t="shared" si="40"/>
        <v>立直-幻影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tr">
        <f t="shared" si="40"/>
        <v>立直-飞羽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tr">
        <f t="shared" si="40"/>
        <v>和牌-爆炎龙卷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tr">
        <f t="shared" si="40"/>
        <v>和牌-方舟反应堆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tr">
        <f t="shared" ref="M1734:M1797" si="41">VLOOKUP(C1734,X:Y,2,FALSE)</f>
        <v>和牌-红玫瑰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tr">
        <f t="shared" si="41"/>
        <v>立直-叮~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tr">
        <f t="shared" si="41"/>
        <v>立直-龙腾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tr">
        <f t="shared" si="41"/>
        <v>和牌-K.O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tr">
        <f t="shared" si="41"/>
        <v>和牌-逆鳞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tr">
        <f t="shared" si="41"/>
        <v>立直棒-断恶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tr">
        <f t="shared" si="41"/>
        <v>立直棒-雪糕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tr">
        <f t="shared" si="41"/>
        <v>出阵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tr">
        <f t="shared" si="41"/>
        <v>一触即发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tr">
        <f t="shared" si="41"/>
        <v>桌布-吃瓜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tr">
        <f t="shared" si="41"/>
        <v>和牌-幽灵嗷嗷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tr">
        <f t="shared" si="41"/>
        <v>立直-蝙蝠桀桀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tr">
        <f t="shared" si="41"/>
        <v>立直棒-小恶魔蝙蝠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tr">
        <f t="shared" si="41"/>
        <v>牌背-天然呆幽灵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f t="shared" si="41"/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f t="shared" si="41"/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f t="shared" si="41"/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f t="shared" si="41"/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f t="shared" si="41"/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f t="shared" si="41"/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1736</v>
      </c>
      <c r="H1754" s="114"/>
      <c r="I1754" s="4"/>
      <c r="J1754" s="4"/>
      <c r="K1754" s="4"/>
      <c r="L1754" s="4"/>
      <c r="M1754" t="str">
        <f t="shared" si="41"/>
        <v>手工曲奇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tr">
        <f t="shared" si="41"/>
        <v>怀旧掌机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tr">
        <f t="shared" si="41"/>
        <v>简易美术品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tr">
        <f t="shared" si="41"/>
        <v>美味果酒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tr">
        <f t="shared" si="41"/>
        <v>普通的碎钻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tr">
        <f t="shared" si="41"/>
        <v>熊公仔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tr">
        <f t="shared" si="41"/>
        <v>同人小册子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tr">
        <f t="shared" si="41"/>
        <v>朴素的小裙子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tr">
        <f t="shared" si="41"/>
        <v>蓝罐曲奇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tr">
        <f t="shared" si="41"/>
        <v>Twitch掌机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tr">
        <f t="shared" si="41"/>
        <v>精美挂画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tr">
        <f t="shared" si="41"/>
        <v>香醇红酒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tr">
        <f t="shared" si="41"/>
        <v>鸽子蛋宝石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tr">
        <f t="shared" si="41"/>
        <v>熊公仔L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tr">
        <f t="shared" si="41"/>
        <v>简装同人志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tr">
        <f t="shared" si="41"/>
        <v>普通的小裙子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tr">
        <f t="shared" si="41"/>
        <v>香喷喷曲奇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tr">
        <f t="shared" si="41"/>
        <v>次世代游戏机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tr">
        <f t="shared" si="41"/>
        <v>经典名画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tr">
        <f t="shared" si="41"/>
        <v>82年的拉菲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tr">
        <f t="shared" si="41"/>
        <v>海洋之心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tr">
        <f t="shared" si="41"/>
        <v>熊公仔XXL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tr">
        <f t="shared" si="41"/>
        <v>精美同人志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tr">
        <f t="shared" si="41"/>
        <v>华丽的小裙子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tr">
        <f t="shared" si="41"/>
        <v>咸鱼立直棒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tr">
        <f t="shared" si="41"/>
        <v>大葱立直棒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tr">
        <f t="shared" si="41"/>
        <v>狗骨头立直棒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tr">
        <f t="shared" si="41"/>
        <v>和牌-烈焰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tr">
        <f t="shared" si="41"/>
        <v>和牌-旋风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tr">
        <f t="shared" si="41"/>
        <v>和牌-樱花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tr">
        <f t="shared" si="41"/>
        <v>立直-苍火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tr">
        <f t="shared" si="41"/>
        <v>橘猫爪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tr">
        <f t="shared" si="41"/>
        <v>孔雀绿桌布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tr">
        <f t="shared" si="41"/>
        <v>莲藕紫桌布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tr">
        <f t="shared" si="41"/>
        <v>紫罗兰桌布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tr">
        <f t="shared" si="41"/>
        <v>淡黄牌背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tr">
        <f t="shared" si="41"/>
        <v>果绿牌背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tr">
        <f t="shared" si="41"/>
        <v>玫瑰红牌背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tr">
        <f t="shared" si="41"/>
        <v>猩红立直棒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tr">
        <f t="shared" si="41"/>
        <v>24K金棒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tr">
        <f t="shared" si="41"/>
        <v>立直-碎冰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tr">
        <f t="shared" si="41"/>
        <v>立直-火焰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tr">
        <f t="shared" si="41"/>
        <v>和牌-黑炎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tr">
        <f t="shared" si="41"/>
        <v>真剑胜负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tr">
        <f t="shared" ref="M1798:M1861" si="42">VLOOKUP(C1798,X:Y,2,FALSE)</f>
        <v>激斗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tr">
        <f t="shared" si="42"/>
        <v>立直-幻影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tr">
        <f t="shared" si="42"/>
        <v>立直-飞羽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tr">
        <f t="shared" si="42"/>
        <v>和牌-爆炎龙卷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tr">
        <f t="shared" si="42"/>
        <v>和牌-方舟反应堆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tr">
        <f t="shared" si="42"/>
        <v>和牌-红玫瑰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tr">
        <f t="shared" si="42"/>
        <v>立直-叮~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tr">
        <f t="shared" si="42"/>
        <v>立直-龙腾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tr">
        <f t="shared" si="42"/>
        <v>和牌-K.O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tr">
        <f t="shared" si="42"/>
        <v>和牌-逆鳞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tr">
        <f t="shared" si="42"/>
        <v>立直棒-断恶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tr">
        <f t="shared" si="42"/>
        <v>立直棒-雪糕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tr">
        <f t="shared" si="42"/>
        <v>出阵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tr">
        <f t="shared" si="42"/>
        <v>一触即发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tr">
        <f t="shared" si="42"/>
        <v>桌布-吃瓜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tr">
        <f t="shared" si="42"/>
        <v>和牌-幽灵嗷嗷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tr">
        <f t="shared" si="42"/>
        <v>立直-蝙蝠桀桀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tr">
        <f t="shared" si="42"/>
        <v>立直棒-小恶魔蝙蝠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tr">
        <f t="shared" si="42"/>
        <v>牌背-天然呆幽灵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f t="shared" si="42"/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f t="shared" si="42"/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f t="shared" si="42"/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f t="shared" si="42"/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f t="shared" si="42"/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f t="shared" si="42"/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1737</v>
      </c>
      <c r="H1823" s="114"/>
      <c r="I1823" s="4"/>
      <c r="J1823" s="4"/>
      <c r="K1823" s="4"/>
      <c r="L1823" s="4"/>
      <c r="M1823" t="str">
        <f t="shared" si="42"/>
        <v>手工曲奇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tr">
        <f t="shared" si="42"/>
        <v>怀旧掌机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tr">
        <f t="shared" si="42"/>
        <v>简易美术品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tr">
        <f t="shared" si="42"/>
        <v>美味果酒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tr">
        <f t="shared" si="42"/>
        <v>普通的碎钻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tr">
        <f t="shared" si="42"/>
        <v>熊公仔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tr">
        <f t="shared" si="42"/>
        <v>同人小册子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tr">
        <f t="shared" si="42"/>
        <v>朴素的小裙子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tr">
        <f t="shared" si="42"/>
        <v>蓝罐曲奇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tr">
        <f t="shared" si="42"/>
        <v>Twitch掌机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tr">
        <f t="shared" si="42"/>
        <v>精美挂画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tr">
        <f t="shared" si="42"/>
        <v>香醇红酒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tr">
        <f t="shared" si="42"/>
        <v>鸽子蛋宝石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tr">
        <f t="shared" si="42"/>
        <v>熊公仔L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tr">
        <f t="shared" si="42"/>
        <v>简装同人志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tr">
        <f t="shared" si="42"/>
        <v>普通的小裙子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tr">
        <f t="shared" si="42"/>
        <v>香喷喷曲奇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tr">
        <f t="shared" si="42"/>
        <v>次世代游戏机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tr">
        <f t="shared" si="42"/>
        <v>经典名画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tr">
        <f t="shared" si="42"/>
        <v>82年的拉菲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tr">
        <f t="shared" si="42"/>
        <v>海洋之心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tr">
        <f t="shared" si="42"/>
        <v>熊公仔XXL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tr">
        <f t="shared" si="42"/>
        <v>精美同人志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tr">
        <f t="shared" si="42"/>
        <v>华丽的小裙子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tr">
        <f t="shared" si="42"/>
        <v>咸鱼立直棒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tr">
        <f t="shared" si="42"/>
        <v>大葱立直棒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tr">
        <f t="shared" si="42"/>
        <v>狗骨头立直棒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tr">
        <f t="shared" si="42"/>
        <v>和牌-烈焰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tr">
        <f t="shared" si="42"/>
        <v>和牌-旋风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tr">
        <f t="shared" si="42"/>
        <v>和牌-樱花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tr">
        <f t="shared" si="42"/>
        <v>立直-苍火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tr">
        <f t="shared" si="42"/>
        <v>橘猫爪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tr">
        <f t="shared" si="42"/>
        <v>孔雀绿桌布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tr">
        <f t="shared" si="42"/>
        <v>莲藕紫桌布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tr">
        <f t="shared" si="42"/>
        <v>紫罗兰桌布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tr">
        <f t="shared" si="42"/>
        <v>淡黄牌背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tr">
        <f t="shared" si="42"/>
        <v>果绿牌背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tr">
        <f t="shared" si="42"/>
        <v>玫瑰红牌背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tr">
        <f t="shared" si="42"/>
        <v>猩红立直棒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tr">
        <f t="shared" ref="M1862:M1925" si="43">VLOOKUP(C1862,X:Y,2,FALSE)</f>
        <v>24K金棒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tr">
        <f t="shared" si="43"/>
        <v>立直-碎冰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tr">
        <f t="shared" si="43"/>
        <v>立直-火焰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tr">
        <f t="shared" si="43"/>
        <v>和牌-黑炎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tr">
        <f t="shared" si="43"/>
        <v>真剑胜负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tr">
        <f t="shared" si="43"/>
        <v>激斗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tr">
        <f t="shared" si="43"/>
        <v>立直-幻影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tr">
        <f t="shared" si="43"/>
        <v>立直-飞羽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tr">
        <f t="shared" si="43"/>
        <v>和牌-爆炎龙卷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tr">
        <f t="shared" si="43"/>
        <v>和牌-方舟反应堆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tr">
        <f t="shared" si="43"/>
        <v>和牌-红玫瑰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tr">
        <f t="shared" si="43"/>
        <v>立直-叮~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tr">
        <f t="shared" si="43"/>
        <v>立直-龙腾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tr">
        <f t="shared" si="43"/>
        <v>和牌-K.O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tr">
        <f t="shared" si="43"/>
        <v>和牌-逆鳞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tr">
        <f t="shared" si="43"/>
        <v>立直棒-断恶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tr">
        <f t="shared" si="43"/>
        <v>立直棒-雪糕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tr">
        <f t="shared" si="43"/>
        <v>出阵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tr">
        <f t="shared" si="43"/>
        <v>一触即发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tr">
        <f t="shared" si="43"/>
        <v>桌布-吃瓜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tr">
        <f t="shared" si="43"/>
        <v>和牌-幽灵嗷嗷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tr">
        <f t="shared" si="43"/>
        <v>立直-蝙蝠桀桀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tr">
        <f t="shared" si="43"/>
        <v>立直棒-小恶魔蝙蝠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tr">
        <f t="shared" si="43"/>
        <v>牌背-天然呆幽灵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f t="shared" si="43"/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f t="shared" si="43"/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f t="shared" si="43"/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f t="shared" si="43"/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f t="shared" si="43"/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f t="shared" si="43"/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1738</v>
      </c>
      <c r="H1892" s="114"/>
      <c r="I1892" s="4"/>
      <c r="J1892" s="4"/>
      <c r="K1892" s="4"/>
      <c r="L1892" s="4"/>
      <c r="M1892" t="str">
        <f t="shared" si="43"/>
        <v>手工曲奇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tr">
        <f t="shared" si="43"/>
        <v>怀旧掌机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tr">
        <f t="shared" si="43"/>
        <v>简易美术品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tr">
        <f t="shared" si="43"/>
        <v>美味果酒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tr">
        <f t="shared" si="43"/>
        <v>普通的碎钻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tr">
        <f t="shared" si="43"/>
        <v>熊公仔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tr">
        <f t="shared" si="43"/>
        <v>同人小册子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tr">
        <f t="shared" si="43"/>
        <v>朴素的小裙子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tr">
        <f t="shared" si="43"/>
        <v>蓝罐曲奇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tr">
        <f t="shared" si="43"/>
        <v>Twitch掌机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tr">
        <f t="shared" si="43"/>
        <v>精美挂画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tr">
        <f t="shared" si="43"/>
        <v>香醇红酒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tr">
        <f t="shared" si="43"/>
        <v>鸽子蛋宝石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tr">
        <f t="shared" si="43"/>
        <v>熊公仔L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tr">
        <f t="shared" si="43"/>
        <v>简装同人志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tr">
        <f t="shared" si="43"/>
        <v>普通的小裙子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tr">
        <f t="shared" si="43"/>
        <v>香喷喷曲奇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tr">
        <f t="shared" si="43"/>
        <v>次世代游戏机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tr">
        <f t="shared" si="43"/>
        <v>经典名画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tr">
        <f t="shared" si="43"/>
        <v>82年的拉菲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tr">
        <f t="shared" si="43"/>
        <v>海洋之心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tr">
        <f t="shared" si="43"/>
        <v>熊公仔XXL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tr">
        <f t="shared" si="43"/>
        <v>精美同人志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tr">
        <f t="shared" si="43"/>
        <v>华丽的小裙子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tr">
        <f t="shared" si="43"/>
        <v>咸鱼立直棒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tr">
        <f t="shared" si="43"/>
        <v>大葱立直棒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tr">
        <f t="shared" si="43"/>
        <v>狗骨头立直棒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tr">
        <f t="shared" si="43"/>
        <v>和牌-烈焰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tr">
        <f t="shared" si="43"/>
        <v>和牌-旋风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tr">
        <f t="shared" si="43"/>
        <v>和牌-樱花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tr">
        <f t="shared" si="43"/>
        <v>立直-苍火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tr">
        <f t="shared" si="43"/>
        <v>橘猫爪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tr">
        <f t="shared" si="43"/>
        <v>孔雀绿桌布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tr">
        <f t="shared" si="43"/>
        <v>莲藕紫桌布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tr">
        <f t="shared" ref="M1926:M1989" si="44">VLOOKUP(C1926,X:Y,2,FALSE)</f>
        <v>紫罗兰桌布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tr">
        <f t="shared" si="44"/>
        <v>淡黄牌背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tr">
        <f t="shared" si="44"/>
        <v>果绿牌背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tr">
        <f t="shared" si="44"/>
        <v>玫瑰红牌背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tr">
        <f t="shared" si="44"/>
        <v>猩红立直棒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tr">
        <f t="shared" si="44"/>
        <v>24K金棒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tr">
        <f t="shared" si="44"/>
        <v>立直-碎冰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tr">
        <f t="shared" si="44"/>
        <v>立直-火焰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tr">
        <f t="shared" si="44"/>
        <v>和牌-黑炎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tr">
        <f t="shared" si="44"/>
        <v>真剑胜负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tr">
        <f t="shared" si="44"/>
        <v>激斗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tr">
        <f t="shared" si="44"/>
        <v>立直-幻影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tr">
        <f t="shared" si="44"/>
        <v>立直-飞羽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tr">
        <f t="shared" si="44"/>
        <v>和牌-爆炎龙卷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tr">
        <f t="shared" si="44"/>
        <v>和牌-方舟反应堆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tr">
        <f t="shared" si="44"/>
        <v>和牌-红玫瑰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tr">
        <f t="shared" si="44"/>
        <v>立直-叮~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tr">
        <f t="shared" si="44"/>
        <v>立直-龙腾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tr">
        <f t="shared" si="44"/>
        <v>和牌-K.O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tr">
        <f t="shared" si="44"/>
        <v>和牌-逆鳞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tr">
        <f t="shared" si="44"/>
        <v>立直棒-断恶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tr">
        <f t="shared" si="44"/>
        <v>立直棒-雪糕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tr">
        <f t="shared" si="44"/>
        <v>出阵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tr">
        <f t="shared" si="44"/>
        <v>一触即发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tr">
        <f t="shared" si="44"/>
        <v>桌布-吃瓜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tr">
        <f t="shared" si="44"/>
        <v>和牌-幽灵嗷嗷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tr">
        <f t="shared" si="44"/>
        <v>立直-蝙蝠桀桀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tr">
        <f t="shared" si="44"/>
        <v>立直棒-小恶魔蝙蝠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tr">
        <f t="shared" si="44"/>
        <v>牌背-天然呆幽灵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f t="shared" si="44"/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f t="shared" si="44"/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f t="shared" si="44"/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f t="shared" si="44"/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f t="shared" si="44"/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f t="shared" si="44"/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1739</v>
      </c>
      <c r="H1961" s="114"/>
      <c r="I1961" s="4"/>
      <c r="J1961" s="4"/>
      <c r="K1961" s="4"/>
      <c r="L1961" s="4"/>
      <c r="M1961" t="str">
        <f t="shared" si="44"/>
        <v>手工曲奇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tr">
        <f t="shared" si="44"/>
        <v>怀旧掌机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tr">
        <f t="shared" si="44"/>
        <v>简易美术品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tr">
        <f t="shared" si="44"/>
        <v>美味果酒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tr">
        <f t="shared" si="44"/>
        <v>普通的碎钻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tr">
        <f t="shared" si="44"/>
        <v>熊公仔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tr">
        <f t="shared" si="44"/>
        <v>同人小册子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tr">
        <f t="shared" si="44"/>
        <v>朴素的小裙子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tr">
        <f t="shared" si="44"/>
        <v>蓝罐曲奇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tr">
        <f t="shared" si="44"/>
        <v>Twitch掌机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tr">
        <f t="shared" si="44"/>
        <v>精美挂画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tr">
        <f t="shared" si="44"/>
        <v>香醇红酒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tr">
        <f t="shared" si="44"/>
        <v>鸽子蛋宝石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tr">
        <f t="shared" si="44"/>
        <v>熊公仔L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tr">
        <f t="shared" si="44"/>
        <v>简装同人志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tr">
        <f t="shared" si="44"/>
        <v>普通的小裙子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tr">
        <f t="shared" si="44"/>
        <v>香喷喷曲奇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tr">
        <f t="shared" si="44"/>
        <v>次世代游戏机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tr">
        <f t="shared" si="44"/>
        <v>经典名画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tr">
        <f t="shared" si="44"/>
        <v>82年的拉菲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tr">
        <f t="shared" si="44"/>
        <v>海洋之心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tr">
        <f t="shared" si="44"/>
        <v>熊公仔XXL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tr">
        <f t="shared" si="44"/>
        <v>精美同人志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tr">
        <f t="shared" si="44"/>
        <v>华丽的小裙子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tr">
        <f t="shared" si="44"/>
        <v>咸鱼立直棒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tr">
        <f t="shared" si="44"/>
        <v>大葱立直棒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tr">
        <f t="shared" si="44"/>
        <v>狗骨头立直棒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tr">
        <f t="shared" si="44"/>
        <v>和牌-烈焰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tr">
        <f t="shared" si="44"/>
        <v>和牌-旋风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tr">
        <f t="shared" ref="M1990:M2053" si="45">VLOOKUP(C1990,X:Y,2,FALSE)</f>
        <v>和牌-樱花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tr">
        <f t="shared" si="45"/>
        <v>立直-苍火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tr">
        <f t="shared" si="45"/>
        <v>橘猫爪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tr">
        <f t="shared" si="45"/>
        <v>孔雀绿桌布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tr">
        <f t="shared" si="45"/>
        <v>莲藕紫桌布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tr">
        <f t="shared" si="45"/>
        <v>紫罗兰桌布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tr">
        <f t="shared" si="45"/>
        <v>淡黄牌背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tr">
        <f t="shared" si="45"/>
        <v>果绿牌背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tr">
        <f t="shared" si="45"/>
        <v>玫瑰红牌背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tr">
        <f t="shared" si="45"/>
        <v>猩红立直棒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tr">
        <f t="shared" si="45"/>
        <v>24K金棒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tr">
        <f t="shared" si="45"/>
        <v>立直-碎冰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tr">
        <f t="shared" si="45"/>
        <v>立直-火焰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tr">
        <f t="shared" si="45"/>
        <v>和牌-黑炎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tr">
        <f t="shared" si="45"/>
        <v>真剑胜负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tr">
        <f t="shared" si="45"/>
        <v>激斗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tr">
        <f t="shared" si="45"/>
        <v>立直-幻影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tr">
        <f t="shared" si="45"/>
        <v>立直-飞羽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tr">
        <f t="shared" si="45"/>
        <v>和牌-爆炎龙卷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tr">
        <f t="shared" si="45"/>
        <v>和牌-方舟反应堆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tr">
        <f t="shared" si="45"/>
        <v>和牌-红玫瑰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tr">
        <f t="shared" si="45"/>
        <v>立直-叮~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tr">
        <f t="shared" si="45"/>
        <v>立直-龙腾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tr">
        <f t="shared" si="45"/>
        <v>和牌-K.O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tr">
        <f t="shared" si="45"/>
        <v>和牌-逆鳞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tr">
        <f t="shared" si="45"/>
        <v>立直棒-断恶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tr">
        <f t="shared" si="45"/>
        <v>立直棒-雪糕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tr">
        <f t="shared" si="45"/>
        <v>出阵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tr">
        <f t="shared" si="45"/>
        <v>一触即发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tr">
        <f t="shared" si="45"/>
        <v>桌布-吃瓜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tr">
        <f t="shared" si="45"/>
        <v>和牌-幽灵嗷嗷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tr">
        <f t="shared" si="45"/>
        <v>立直-蝙蝠桀桀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tr">
        <f t="shared" si="45"/>
        <v>立直棒-小恶魔蝙蝠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tr">
        <f t="shared" si="45"/>
        <v>牌背-天然呆幽灵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f t="shared" si="45"/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f t="shared" si="45"/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f t="shared" si="45"/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f t="shared" si="45"/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f t="shared" si="45"/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f t="shared" si="45"/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1740</v>
      </c>
      <c r="M2030" t="str">
        <f t="shared" si="45"/>
        <v>手工曲奇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tr">
        <f t="shared" si="45"/>
        <v>怀旧掌机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tr">
        <f t="shared" si="45"/>
        <v>简易美术品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tr">
        <f t="shared" si="45"/>
        <v>美味果酒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tr">
        <f t="shared" si="45"/>
        <v>普通的碎钻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tr">
        <f t="shared" si="45"/>
        <v>熊公仔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tr">
        <f t="shared" si="45"/>
        <v>同人小册子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tr">
        <f t="shared" si="45"/>
        <v>朴素的小裙子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tr">
        <f t="shared" si="45"/>
        <v>蓝罐曲奇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tr">
        <f t="shared" si="45"/>
        <v>Twitch掌机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tr">
        <f t="shared" si="45"/>
        <v>精美挂画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tr">
        <f t="shared" si="45"/>
        <v>香醇红酒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tr">
        <f t="shared" si="45"/>
        <v>鸽子蛋宝石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tr">
        <f t="shared" si="45"/>
        <v>熊公仔L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tr">
        <f t="shared" si="45"/>
        <v>简装同人志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tr">
        <f t="shared" si="45"/>
        <v>普通的小裙子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tr">
        <f t="shared" si="45"/>
        <v>香喷喷曲奇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tr">
        <f t="shared" si="45"/>
        <v>次世代游戏机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tr">
        <f t="shared" si="45"/>
        <v>经典名画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tr">
        <f t="shared" si="45"/>
        <v>82年的拉菲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tr">
        <f t="shared" si="45"/>
        <v>海洋之心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tr">
        <f t="shared" si="45"/>
        <v>熊公仔XXL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tr">
        <f t="shared" si="45"/>
        <v>精美同人志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tr">
        <f t="shared" si="45"/>
        <v>华丽的小裙子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tr">
        <f t="shared" ref="M2054:M2117" si="46">VLOOKUP(C2054,X:Y,2,FALSE)</f>
        <v>咸鱼立直棒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tr">
        <f t="shared" si="46"/>
        <v>大葱立直棒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tr">
        <f t="shared" si="46"/>
        <v>狗骨头立直棒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tr">
        <f t="shared" si="46"/>
        <v>和牌-烈焰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tr">
        <f t="shared" si="46"/>
        <v>和牌-旋风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tr">
        <f t="shared" si="46"/>
        <v>和牌-樱花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tr">
        <f t="shared" si="46"/>
        <v>立直-苍火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tr">
        <f t="shared" si="46"/>
        <v>橘猫爪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tr">
        <f t="shared" si="46"/>
        <v>孔雀绿桌布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tr">
        <f t="shared" si="46"/>
        <v>莲藕紫桌布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tr">
        <f t="shared" si="46"/>
        <v>紫罗兰桌布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tr">
        <f t="shared" si="46"/>
        <v>淡黄牌背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tr">
        <f t="shared" si="46"/>
        <v>果绿牌背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tr">
        <f t="shared" si="46"/>
        <v>玫瑰红牌背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tr">
        <f t="shared" si="46"/>
        <v>猩红立直棒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tr">
        <f t="shared" si="46"/>
        <v>24K金棒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tr">
        <f t="shared" si="46"/>
        <v>立直-碎冰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tr">
        <f t="shared" si="46"/>
        <v>立直-火焰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tr">
        <f t="shared" si="46"/>
        <v>和牌-黑炎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tr">
        <f t="shared" si="46"/>
        <v>真剑胜负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tr">
        <f t="shared" si="46"/>
        <v>激斗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tr">
        <f t="shared" si="46"/>
        <v>立直-幻影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tr">
        <f t="shared" si="46"/>
        <v>立直-飞羽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tr">
        <f t="shared" si="46"/>
        <v>和牌-爆炎龙卷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tr">
        <f t="shared" si="46"/>
        <v>和牌-方舟反应堆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tr">
        <f t="shared" si="46"/>
        <v>和牌-红玫瑰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tr">
        <f t="shared" si="46"/>
        <v>立直-叮~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tr">
        <f t="shared" si="46"/>
        <v>立直-龙腾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tr">
        <f t="shared" si="46"/>
        <v>和牌-K.O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tr">
        <f t="shared" si="46"/>
        <v>和牌-逆鳞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tr">
        <f t="shared" si="46"/>
        <v>立直棒-断恶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tr">
        <f t="shared" si="46"/>
        <v>立直棒-雪糕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tr">
        <f t="shared" si="46"/>
        <v>出阵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tr">
        <f t="shared" si="46"/>
        <v>一触即发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tr">
        <f t="shared" si="46"/>
        <v>桌布-吃瓜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tr">
        <f t="shared" si="46"/>
        <v>和牌-幽灵嗷嗷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tr">
        <f t="shared" si="46"/>
        <v>和牌-歌剧魅影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tr">
        <f t="shared" si="46"/>
        <v>和牌-魔法少女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tr">
        <f t="shared" si="46"/>
        <v>立直-蝙蝠桀桀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tr">
        <f t="shared" si="46"/>
        <v>立直-非常事态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tr">
        <f t="shared" si="46"/>
        <v>立直-魔法少女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tr">
        <f t="shared" si="46"/>
        <v>立直棒-小恶魔蝙蝠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tr">
        <f t="shared" si="46"/>
        <v>立直棒-魔法棒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tr">
        <f t="shared" si="46"/>
        <v>牌背-天然呆幽灵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f t="shared" si="46"/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f t="shared" si="46"/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f t="shared" si="46"/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f t="shared" si="46"/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f t="shared" si="46"/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f t="shared" si="46"/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1741</v>
      </c>
      <c r="M2104" t="str">
        <f t="shared" si="46"/>
        <v>手工曲奇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tr">
        <f t="shared" si="46"/>
        <v>怀旧掌机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tr">
        <f t="shared" si="46"/>
        <v>简易美术品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tr">
        <f t="shared" si="46"/>
        <v>美味果酒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tr">
        <f t="shared" si="46"/>
        <v>普通的碎钻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tr">
        <f t="shared" si="46"/>
        <v>熊公仔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tr">
        <f t="shared" si="46"/>
        <v>同人小册子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tr">
        <f t="shared" si="46"/>
        <v>朴素的小裙子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tr">
        <f t="shared" si="46"/>
        <v>蓝罐曲奇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tr">
        <f t="shared" si="46"/>
        <v>Twitch掌机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tr">
        <f t="shared" si="46"/>
        <v>精美挂画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tr">
        <f t="shared" si="46"/>
        <v>香醇红酒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tr">
        <f t="shared" si="46"/>
        <v>鸽子蛋宝石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tr">
        <f t="shared" si="46"/>
        <v>熊公仔L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tr">
        <f t="shared" ref="M2118:M2181" si="47">VLOOKUP(C2118,X:Y,2,FALSE)</f>
        <v>简装同人志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tr">
        <f t="shared" si="47"/>
        <v>普通的小裙子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tr">
        <f t="shared" si="47"/>
        <v>香喷喷曲奇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tr">
        <f t="shared" si="47"/>
        <v>次世代游戏机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tr">
        <f t="shared" si="47"/>
        <v>经典名画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tr">
        <f t="shared" si="47"/>
        <v>82年的拉菲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tr">
        <f t="shared" si="47"/>
        <v>海洋之心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tr">
        <f t="shared" si="47"/>
        <v>熊公仔XXL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tr">
        <f t="shared" si="47"/>
        <v>精美同人志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tr">
        <f t="shared" si="47"/>
        <v>华丽的小裙子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tr">
        <f t="shared" si="47"/>
        <v>咸鱼立直棒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tr">
        <f t="shared" si="47"/>
        <v>大葱立直棒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tr">
        <f t="shared" si="47"/>
        <v>狗骨头立直棒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tr">
        <f t="shared" si="47"/>
        <v>和牌-烈焰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tr">
        <f t="shared" si="47"/>
        <v>和牌-旋风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tr">
        <f t="shared" si="47"/>
        <v>和牌-樱花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tr">
        <f t="shared" si="47"/>
        <v>立直-苍火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tr">
        <f t="shared" si="47"/>
        <v>橘猫爪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tr">
        <f t="shared" si="47"/>
        <v>孔雀绿桌布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tr">
        <f t="shared" si="47"/>
        <v>莲藕紫桌布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tr">
        <f t="shared" si="47"/>
        <v>紫罗兰桌布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tr">
        <f t="shared" si="47"/>
        <v>淡黄牌背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tr">
        <f t="shared" si="47"/>
        <v>果绿牌背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tr">
        <f t="shared" si="47"/>
        <v>玫瑰红牌背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tr">
        <f t="shared" si="47"/>
        <v>猩红立直棒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tr">
        <f t="shared" si="47"/>
        <v>24K金棒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tr">
        <f t="shared" si="47"/>
        <v>立直-碎冰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tr">
        <f t="shared" si="47"/>
        <v>立直-火焰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tr">
        <f t="shared" si="47"/>
        <v>和牌-黑炎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tr">
        <f t="shared" si="47"/>
        <v>真剑胜负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tr">
        <f t="shared" si="47"/>
        <v>激斗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tr">
        <f t="shared" si="47"/>
        <v>立直-幻影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tr">
        <f t="shared" si="47"/>
        <v>立直-飞羽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tr">
        <f t="shared" si="47"/>
        <v>和牌-爆炎龙卷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tr">
        <f t="shared" si="47"/>
        <v>和牌-方舟反应堆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tr">
        <f t="shared" si="47"/>
        <v>和牌-红玫瑰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tr">
        <f t="shared" si="47"/>
        <v>立直-叮~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tr">
        <f t="shared" si="47"/>
        <v>立直-龙腾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tr">
        <f t="shared" si="47"/>
        <v>和牌-K.O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tr">
        <f t="shared" si="47"/>
        <v>和牌-逆鳞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tr">
        <f t="shared" si="47"/>
        <v>立直棒-断恶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tr">
        <f t="shared" si="47"/>
        <v>立直棒-雪糕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tr">
        <f t="shared" si="47"/>
        <v>出阵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tr">
        <f t="shared" si="47"/>
        <v>一触即发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tr">
        <f t="shared" si="47"/>
        <v>桌布-吃瓜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tr">
        <f t="shared" si="47"/>
        <v>和牌-幽灵嗷嗷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tr">
        <f t="shared" si="47"/>
        <v>和牌-歌剧魅影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tr">
        <f t="shared" si="47"/>
        <v>和牌-魔法少女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tr">
        <f t="shared" si="47"/>
        <v>立直-蝙蝠桀桀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tr">
        <f t="shared" si="47"/>
        <v>立直-非常事态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tr">
        <f t="shared" si="47"/>
        <v>立直-魔法少女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tr">
        <f t="shared" si="47"/>
        <v>立直棒-小恶魔蝙蝠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tr">
        <f t="shared" si="47"/>
        <v>立直棒-魔法棒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tr">
        <f t="shared" si="47"/>
        <v>牌背-天然呆幽灵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f t="shared" si="47"/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f t="shared" si="47"/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f t="shared" si="47"/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f t="shared" si="47"/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f t="shared" si="47"/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f t="shared" si="47"/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1742</v>
      </c>
      <c r="M2178" t="str">
        <f t="shared" si="47"/>
        <v>手工曲奇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tr">
        <f t="shared" si="47"/>
        <v>怀旧掌机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tr">
        <f t="shared" si="47"/>
        <v>简易美术品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tr">
        <f t="shared" si="47"/>
        <v>美味果酒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tr">
        <f t="shared" ref="M2182:M2245" si="48">VLOOKUP(C2182,X:Y,2,FALSE)</f>
        <v>普通的碎钻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tr">
        <f t="shared" si="48"/>
        <v>熊公仔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tr">
        <f t="shared" si="48"/>
        <v>同人小册子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tr">
        <f t="shared" si="48"/>
        <v>朴素的小裙子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tr">
        <f t="shared" si="48"/>
        <v>蓝罐曲奇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tr">
        <f t="shared" si="48"/>
        <v>Twitch掌机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tr">
        <f t="shared" si="48"/>
        <v>精美挂画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tr">
        <f t="shared" si="48"/>
        <v>香醇红酒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tr">
        <f t="shared" si="48"/>
        <v>鸽子蛋宝石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tr">
        <f t="shared" si="48"/>
        <v>熊公仔L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tr">
        <f t="shared" si="48"/>
        <v>简装同人志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tr">
        <f t="shared" si="48"/>
        <v>普通的小裙子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tr">
        <f t="shared" si="48"/>
        <v>香喷喷曲奇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tr">
        <f t="shared" si="48"/>
        <v>次世代游戏机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tr">
        <f t="shared" si="48"/>
        <v>经典名画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tr">
        <f t="shared" si="48"/>
        <v>82年的拉菲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tr">
        <f t="shared" si="48"/>
        <v>海洋之心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tr">
        <f t="shared" si="48"/>
        <v>熊公仔XXL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tr">
        <f t="shared" si="48"/>
        <v>精美同人志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tr">
        <f t="shared" si="48"/>
        <v>华丽的小裙子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tr">
        <f t="shared" si="48"/>
        <v>咸鱼立直棒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tr">
        <f t="shared" si="48"/>
        <v>大葱立直棒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tr">
        <f t="shared" si="48"/>
        <v>狗骨头立直棒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tr">
        <f t="shared" si="48"/>
        <v>和牌-烈焰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tr">
        <f t="shared" si="48"/>
        <v>和牌-旋风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tr">
        <f t="shared" si="48"/>
        <v>和牌-樱花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tr">
        <f t="shared" si="48"/>
        <v>立直-苍火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tr">
        <f t="shared" si="48"/>
        <v>橘猫爪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tr">
        <f t="shared" si="48"/>
        <v>孔雀绿桌布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tr">
        <f t="shared" si="48"/>
        <v>莲藕紫桌布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tr">
        <f t="shared" si="48"/>
        <v>紫罗兰桌布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tr">
        <f t="shared" si="48"/>
        <v>淡黄牌背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tr">
        <f t="shared" si="48"/>
        <v>果绿牌背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tr">
        <f t="shared" si="48"/>
        <v>玫瑰红牌背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tr">
        <f t="shared" si="48"/>
        <v>猩红立直棒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tr">
        <f t="shared" si="48"/>
        <v>24K金棒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tr">
        <f t="shared" si="48"/>
        <v>立直-碎冰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tr">
        <f t="shared" si="48"/>
        <v>立直-火焰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tr">
        <f t="shared" si="48"/>
        <v>和牌-黑炎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tr">
        <f t="shared" si="48"/>
        <v>真剑胜负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tr">
        <f t="shared" si="48"/>
        <v>激斗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tr">
        <f t="shared" si="48"/>
        <v>立直-幻影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tr">
        <f t="shared" si="48"/>
        <v>立直-飞羽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tr">
        <f t="shared" si="48"/>
        <v>和牌-爆炎龙卷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tr">
        <f t="shared" si="48"/>
        <v>和牌-方舟反应堆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tr">
        <f t="shared" si="48"/>
        <v>和牌-红玫瑰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tr">
        <f t="shared" si="48"/>
        <v>立直-叮~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tr">
        <f t="shared" si="48"/>
        <v>立直-龙腾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tr">
        <f t="shared" si="48"/>
        <v>和牌-K.O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tr">
        <f t="shared" si="48"/>
        <v>和牌-逆鳞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tr">
        <f t="shared" si="48"/>
        <v>立直棒-断恶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tr">
        <f t="shared" si="48"/>
        <v>立直棒-雪糕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tr">
        <f t="shared" si="48"/>
        <v>出阵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tr">
        <f t="shared" si="48"/>
        <v>一触即发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tr">
        <f t="shared" si="48"/>
        <v>桌布-吃瓜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tr">
        <f t="shared" si="48"/>
        <v>和牌-幽灵嗷嗷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tr">
        <f t="shared" si="48"/>
        <v>和牌-歌剧魅影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tr">
        <f t="shared" si="48"/>
        <v>和牌-魔法少女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tr">
        <f t="shared" si="48"/>
        <v>立直-蝙蝠桀桀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tr">
        <f t="shared" si="48"/>
        <v>立直-非常事态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tr">
        <f t="shared" si="48"/>
        <v>立直-魔法少女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tr">
        <f t="shared" si="48"/>
        <v>立直棒-小恶魔蝙蝠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tr">
        <f t="shared" si="48"/>
        <v>立直棒-魔法棒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tr">
        <f t="shared" si="48"/>
        <v>牌背-天然呆幽灵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f t="shared" ref="M2246:M2309" si="49">VLOOKUP(C2246,X:Y,2,FALSE)</f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f t="shared" si="49"/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f t="shared" si="49"/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f t="shared" si="49"/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f t="shared" si="49"/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f t="shared" si="49"/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1743</v>
      </c>
      <c r="M2252" t="str">
        <f t="shared" si="49"/>
        <v>手工曲奇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tr">
        <f t="shared" si="49"/>
        <v>怀旧掌机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tr">
        <f t="shared" si="49"/>
        <v>简易美术品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tr">
        <f t="shared" si="49"/>
        <v>美味果酒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tr">
        <f t="shared" si="49"/>
        <v>普通的碎钻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tr">
        <f t="shared" si="49"/>
        <v>熊公仔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tr">
        <f t="shared" si="49"/>
        <v>同人小册子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tr">
        <f t="shared" si="49"/>
        <v>朴素的小裙子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tr">
        <f t="shared" si="49"/>
        <v>蓝罐曲奇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tr">
        <f t="shared" si="49"/>
        <v>Twitch掌机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tr">
        <f t="shared" si="49"/>
        <v>精美挂画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tr">
        <f t="shared" si="49"/>
        <v>香醇红酒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tr">
        <f t="shared" si="49"/>
        <v>鸽子蛋宝石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tr">
        <f t="shared" si="49"/>
        <v>熊公仔L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tr">
        <f t="shared" si="49"/>
        <v>简装同人志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tr">
        <f t="shared" si="49"/>
        <v>普通的小裙子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tr">
        <f t="shared" si="49"/>
        <v>香喷喷曲奇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tr">
        <f t="shared" si="49"/>
        <v>次世代游戏机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tr">
        <f t="shared" si="49"/>
        <v>经典名画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tr">
        <f t="shared" si="49"/>
        <v>82年的拉菲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tr">
        <f t="shared" si="49"/>
        <v>海洋之心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tr">
        <f t="shared" si="49"/>
        <v>熊公仔XXL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tr">
        <f t="shared" si="49"/>
        <v>精美同人志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tr">
        <f t="shared" si="49"/>
        <v>华丽的小裙子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tr">
        <f t="shared" si="49"/>
        <v>咸鱼立直棒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tr">
        <f t="shared" si="49"/>
        <v>大葱立直棒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tr">
        <f t="shared" si="49"/>
        <v>狗骨头立直棒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tr">
        <f t="shared" si="49"/>
        <v>和牌-烈焰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tr">
        <f t="shared" si="49"/>
        <v>和牌-旋风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tr">
        <f t="shared" si="49"/>
        <v>和牌-樱花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tr">
        <f t="shared" si="49"/>
        <v>立直-苍火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tr">
        <f t="shared" si="49"/>
        <v>橘猫爪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tr">
        <f t="shared" si="49"/>
        <v>孔雀绿桌布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tr">
        <f t="shared" si="49"/>
        <v>莲藕紫桌布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tr">
        <f t="shared" si="49"/>
        <v>紫罗兰桌布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tr">
        <f t="shared" si="49"/>
        <v>淡黄牌背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tr">
        <f t="shared" si="49"/>
        <v>果绿牌背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tr">
        <f t="shared" si="49"/>
        <v>玫瑰红牌背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tr">
        <f t="shared" si="49"/>
        <v>猩红立直棒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tr">
        <f t="shared" si="49"/>
        <v>24K金棒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tr">
        <f t="shared" si="49"/>
        <v>立直-碎冰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tr">
        <f t="shared" si="49"/>
        <v>立直-火焰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tr">
        <f t="shared" si="49"/>
        <v>和牌-黑炎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tr">
        <f t="shared" si="49"/>
        <v>真剑胜负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tr">
        <f t="shared" si="49"/>
        <v>激斗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tr">
        <f t="shared" si="49"/>
        <v>立直-幻影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tr">
        <f t="shared" si="49"/>
        <v>立直-飞羽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tr">
        <f t="shared" si="49"/>
        <v>和牌-爆炎龙卷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tr">
        <f t="shared" si="49"/>
        <v>和牌-方舟反应堆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tr">
        <f t="shared" si="49"/>
        <v>和牌-红玫瑰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tr">
        <f t="shared" si="49"/>
        <v>立直-叮~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tr">
        <f t="shared" si="49"/>
        <v>立直-龙腾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tr">
        <f t="shared" si="49"/>
        <v>和牌-K.O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tr">
        <f t="shared" si="49"/>
        <v>和牌-逆鳞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tr">
        <f t="shared" si="49"/>
        <v>立直棒-断恶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tr">
        <f t="shared" si="49"/>
        <v>立直棒-雪糕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tr">
        <f t="shared" si="49"/>
        <v>出阵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tr">
        <f t="shared" si="49"/>
        <v>一触即发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tr">
        <f t="shared" ref="M2310:M2373" si="50">VLOOKUP(C2310,X:Y,2,FALSE)</f>
        <v>桌布-吃瓜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tr">
        <f t="shared" si="50"/>
        <v>和牌-幽灵嗷嗷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tr">
        <f t="shared" si="50"/>
        <v>和牌-歌剧魅影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tr">
        <f t="shared" si="50"/>
        <v>和牌-魔法少女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tr">
        <f t="shared" si="50"/>
        <v>立直-蝙蝠桀桀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tr">
        <f t="shared" si="50"/>
        <v>立直-非常事态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tr">
        <f t="shared" si="50"/>
        <v>立直-魔法少女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tr">
        <f t="shared" si="50"/>
        <v>立直棒-小恶魔蝙蝠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tr">
        <f t="shared" si="50"/>
        <v>立直棒-魔法棒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tr">
        <f t="shared" si="50"/>
        <v>牌背-天然呆幽灵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f t="shared" si="50"/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f t="shared" si="50"/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f t="shared" si="50"/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f t="shared" si="50"/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f t="shared" si="50"/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f t="shared" si="50"/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1744</v>
      </c>
      <c r="M2326" t="str">
        <f t="shared" si="50"/>
        <v>手工曲奇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tr">
        <f t="shared" si="50"/>
        <v>怀旧掌机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tr">
        <f t="shared" si="50"/>
        <v>简易美术品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tr">
        <f t="shared" si="50"/>
        <v>美味果酒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tr">
        <f t="shared" si="50"/>
        <v>普通的碎钻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tr">
        <f t="shared" si="50"/>
        <v>熊公仔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tr">
        <f t="shared" si="50"/>
        <v>同人小册子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tr">
        <f t="shared" si="50"/>
        <v>朴素的小裙子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tr">
        <f t="shared" si="50"/>
        <v>蓝罐曲奇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tr">
        <f t="shared" si="50"/>
        <v>Twitch掌机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tr">
        <f t="shared" si="50"/>
        <v>精美挂画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tr">
        <f t="shared" si="50"/>
        <v>香醇红酒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tr">
        <f t="shared" si="50"/>
        <v>鸽子蛋宝石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tr">
        <f t="shared" si="50"/>
        <v>熊公仔L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tr">
        <f t="shared" si="50"/>
        <v>简装同人志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tr">
        <f t="shared" si="50"/>
        <v>普通的小裙子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tr">
        <f t="shared" si="50"/>
        <v>香喷喷曲奇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tr">
        <f t="shared" si="50"/>
        <v>次世代游戏机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tr">
        <f t="shared" si="50"/>
        <v>经典名画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tr">
        <f t="shared" si="50"/>
        <v>82年的拉菲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tr">
        <f t="shared" si="50"/>
        <v>海洋之心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tr">
        <f t="shared" si="50"/>
        <v>熊公仔XXL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tr">
        <f t="shared" si="50"/>
        <v>精美同人志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tr">
        <f t="shared" si="50"/>
        <v>华丽的小裙子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tr">
        <f t="shared" si="50"/>
        <v>咸鱼立直棒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tr">
        <f t="shared" si="50"/>
        <v>大葱立直棒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tr">
        <f t="shared" si="50"/>
        <v>狗骨头立直棒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tr">
        <f t="shared" si="50"/>
        <v>和牌-烈焰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tr">
        <f t="shared" si="50"/>
        <v>和牌-旋风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tr">
        <f t="shared" si="50"/>
        <v>和牌-樱花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tr">
        <f t="shared" si="50"/>
        <v>立直-苍火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tr">
        <f t="shared" si="50"/>
        <v>橘猫爪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tr">
        <f t="shared" si="50"/>
        <v>孔雀绿桌布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tr">
        <f t="shared" si="50"/>
        <v>莲藕紫桌布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tr">
        <f t="shared" si="50"/>
        <v>紫罗兰桌布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tr">
        <f t="shared" si="50"/>
        <v>淡黄牌背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tr">
        <f t="shared" si="50"/>
        <v>果绿牌背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tr">
        <f t="shared" si="50"/>
        <v>玫瑰红牌背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tr">
        <f t="shared" si="50"/>
        <v>猩红立直棒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tr">
        <f t="shared" si="50"/>
        <v>24K金棒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tr">
        <f t="shared" si="50"/>
        <v>立直-碎冰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tr">
        <f t="shared" si="50"/>
        <v>立直-火焰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tr">
        <f t="shared" si="50"/>
        <v>和牌-黑炎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tr">
        <f t="shared" si="50"/>
        <v>真剑胜负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tr">
        <f t="shared" si="50"/>
        <v>激斗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tr">
        <f t="shared" si="50"/>
        <v>立直-幻影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tr">
        <f t="shared" si="50"/>
        <v>立直-飞羽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tr">
        <f t="shared" si="50"/>
        <v>和牌-爆炎龙卷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tr">
        <f t="shared" ref="M2374:M2437" si="51">VLOOKUP(C2374,X:Y,2,FALSE)</f>
        <v>和牌-方舟反应堆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tr">
        <f t="shared" si="51"/>
        <v>和牌-红玫瑰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tr">
        <f t="shared" si="51"/>
        <v>立直-叮~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tr">
        <f t="shared" si="51"/>
        <v>立直-龙腾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tr">
        <f t="shared" si="51"/>
        <v>和牌-K.O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tr">
        <f t="shared" si="51"/>
        <v>和牌-逆鳞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tr">
        <f t="shared" si="51"/>
        <v>立直棒-断恶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tr">
        <f t="shared" si="51"/>
        <v>立直棒-雪糕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tr">
        <f t="shared" si="51"/>
        <v>出阵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tr">
        <f t="shared" si="51"/>
        <v>一触即发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tr">
        <f t="shared" si="51"/>
        <v>桌布-吃瓜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tr">
        <f t="shared" si="51"/>
        <v>和牌-幽灵嗷嗷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tr">
        <f t="shared" si="51"/>
        <v>和牌-歌剧魅影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tr">
        <f t="shared" si="51"/>
        <v>和牌-魔法少女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tr">
        <f t="shared" si="51"/>
        <v>立直-蝙蝠桀桀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tr">
        <f t="shared" si="51"/>
        <v>立直-非常事态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tr">
        <f t="shared" si="51"/>
        <v>立直-魔法少女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tr">
        <f t="shared" si="51"/>
        <v>立直棒-小恶魔蝙蝠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tr">
        <f t="shared" si="51"/>
        <v>立直棒-魔法棒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tr">
        <f t="shared" si="51"/>
        <v>牌背-天然呆幽灵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f t="shared" si="51"/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f t="shared" si="51"/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f t="shared" si="51"/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f t="shared" si="51"/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f t="shared" si="51"/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f t="shared" si="51"/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1745</v>
      </c>
      <c r="M2400" t="str">
        <f t="shared" si="51"/>
        <v>手工曲奇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tr">
        <f t="shared" si="51"/>
        <v>怀旧掌机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tr">
        <f t="shared" si="51"/>
        <v>简易美术品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tr">
        <f t="shared" si="51"/>
        <v>美味果酒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tr">
        <f t="shared" si="51"/>
        <v>普通的碎钻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tr">
        <f t="shared" si="51"/>
        <v>熊公仔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tr">
        <f t="shared" si="51"/>
        <v>同人小册子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tr">
        <f t="shared" si="51"/>
        <v>朴素的小裙子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tr">
        <f t="shared" si="51"/>
        <v>蓝罐曲奇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tr">
        <f t="shared" si="51"/>
        <v>Twitch掌机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tr">
        <f t="shared" si="51"/>
        <v>精美挂画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tr">
        <f t="shared" si="51"/>
        <v>香醇红酒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tr">
        <f t="shared" si="51"/>
        <v>鸽子蛋宝石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tr">
        <f t="shared" si="51"/>
        <v>熊公仔L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tr">
        <f t="shared" si="51"/>
        <v>简装同人志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tr">
        <f t="shared" si="51"/>
        <v>普通的小裙子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tr">
        <f t="shared" si="51"/>
        <v>香喷喷曲奇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tr">
        <f t="shared" si="51"/>
        <v>次世代游戏机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tr">
        <f t="shared" si="51"/>
        <v>经典名画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tr">
        <f t="shared" si="51"/>
        <v>82年的拉菲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tr">
        <f t="shared" si="51"/>
        <v>海洋之心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tr">
        <f t="shared" si="51"/>
        <v>熊公仔XXL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tr">
        <f t="shared" si="51"/>
        <v>精美同人志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tr">
        <f t="shared" si="51"/>
        <v>华丽的小裙子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tr">
        <f t="shared" si="51"/>
        <v>咸鱼立直棒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tr">
        <f t="shared" si="51"/>
        <v>大葱立直棒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tr">
        <f t="shared" si="51"/>
        <v>狗骨头立直棒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tr">
        <f t="shared" si="51"/>
        <v>和牌-烈焰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tr">
        <f t="shared" si="51"/>
        <v>和牌-旋风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tr">
        <f t="shared" si="51"/>
        <v>和牌-樱花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tr">
        <f t="shared" si="51"/>
        <v>立直-苍火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tr">
        <f t="shared" si="51"/>
        <v>橘猫爪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tr">
        <f t="shared" si="51"/>
        <v>孔雀绿桌布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tr">
        <f t="shared" si="51"/>
        <v>莲藕紫桌布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tr">
        <f t="shared" si="51"/>
        <v>紫罗兰桌布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tr">
        <f t="shared" si="51"/>
        <v>淡黄牌背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tr">
        <f t="shared" si="51"/>
        <v>果绿牌背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tr">
        <f t="shared" si="51"/>
        <v>玫瑰红牌背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tr">
        <f t="shared" ref="M2438:M2501" si="52">VLOOKUP(C2438,X:Y,2,FALSE)</f>
        <v>猩红立直棒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tr">
        <f t="shared" si="52"/>
        <v>24K金棒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tr">
        <f t="shared" si="52"/>
        <v>立直-碎冰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tr">
        <f t="shared" si="52"/>
        <v>立直-火焰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tr">
        <f t="shared" si="52"/>
        <v>和牌-黑炎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tr">
        <f t="shared" si="52"/>
        <v>真剑胜负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tr">
        <f t="shared" si="52"/>
        <v>激斗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tr">
        <f t="shared" si="52"/>
        <v>立直-幻影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tr">
        <f t="shared" si="52"/>
        <v>立直-飞羽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tr">
        <f t="shared" si="52"/>
        <v>和牌-爆炎龙卷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tr">
        <f t="shared" si="52"/>
        <v>和牌-方舟反应堆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tr">
        <f t="shared" si="52"/>
        <v>和牌-红玫瑰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tr">
        <f t="shared" si="52"/>
        <v>立直-叮~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tr">
        <f t="shared" si="52"/>
        <v>立直-龙腾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tr">
        <f t="shared" si="52"/>
        <v>和牌-K.O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tr">
        <f t="shared" si="52"/>
        <v>和牌-逆鳞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tr">
        <f t="shared" si="52"/>
        <v>立直棒-断恶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tr">
        <f t="shared" si="52"/>
        <v>立直棒-雪糕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tr">
        <f t="shared" si="52"/>
        <v>出阵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tr">
        <f t="shared" si="52"/>
        <v>一触即发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tr">
        <f t="shared" si="52"/>
        <v>桌布-吃瓜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tr">
        <f t="shared" si="52"/>
        <v>和牌-幽灵嗷嗷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tr">
        <f t="shared" si="52"/>
        <v>和牌-歌剧魅影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tr">
        <f t="shared" si="52"/>
        <v>和牌-魔法少女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tr">
        <f t="shared" si="52"/>
        <v>立直-蝙蝠桀桀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tr">
        <f t="shared" si="52"/>
        <v>立直-非常事态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tr">
        <f t="shared" si="52"/>
        <v>立直-魔法少女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tr">
        <f t="shared" si="52"/>
        <v>立直棒-小恶魔蝙蝠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tr">
        <f t="shared" si="52"/>
        <v>立直棒-魔法棒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tr">
        <f t="shared" si="52"/>
        <v>牌背-天然呆幽灵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f t="shared" si="52"/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f t="shared" si="52"/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f t="shared" si="52"/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f t="shared" si="52"/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f t="shared" si="52"/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f t="shared" si="52"/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1746</v>
      </c>
      <c r="M2474" t="str">
        <f t="shared" si="52"/>
        <v>手工曲奇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tr">
        <f t="shared" si="52"/>
        <v>怀旧掌机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tr">
        <f t="shared" si="52"/>
        <v>简易美术品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tr">
        <f t="shared" si="52"/>
        <v>美味果酒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tr">
        <f t="shared" si="52"/>
        <v>普通的碎钻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tr">
        <f t="shared" si="52"/>
        <v>熊公仔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tr">
        <f t="shared" si="52"/>
        <v>同人小册子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tr">
        <f t="shared" si="52"/>
        <v>朴素的小裙子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tr">
        <f t="shared" si="52"/>
        <v>蓝罐曲奇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tr">
        <f t="shared" si="52"/>
        <v>Twitch掌机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tr">
        <f t="shared" si="52"/>
        <v>精美挂画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tr">
        <f t="shared" si="52"/>
        <v>香醇红酒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tr">
        <f t="shared" si="52"/>
        <v>鸽子蛋宝石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tr">
        <f t="shared" si="52"/>
        <v>熊公仔L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tr">
        <f t="shared" si="52"/>
        <v>简装同人志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tr">
        <f t="shared" si="52"/>
        <v>普通的小裙子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tr">
        <f t="shared" si="52"/>
        <v>香喷喷曲奇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tr">
        <f t="shared" si="52"/>
        <v>次世代游戏机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tr">
        <f t="shared" si="52"/>
        <v>经典名画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tr">
        <f t="shared" si="52"/>
        <v>82年的拉菲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tr">
        <f t="shared" si="52"/>
        <v>海洋之心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tr">
        <f t="shared" si="52"/>
        <v>熊公仔XXL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tr">
        <f t="shared" si="52"/>
        <v>精美同人志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tr">
        <f t="shared" si="52"/>
        <v>华丽的小裙子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tr">
        <f t="shared" si="52"/>
        <v>咸鱼立直棒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tr">
        <f t="shared" si="52"/>
        <v>大葱立直棒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tr">
        <f t="shared" si="52"/>
        <v>狗骨头立直棒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tr">
        <f t="shared" si="52"/>
        <v>和牌-烈焰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tr">
        <f t="shared" ref="M2502:M2565" si="53">VLOOKUP(C2502,X:Y,2,FALSE)</f>
        <v>和牌-旋风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tr">
        <f t="shared" si="53"/>
        <v>和牌-樱花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tr">
        <f t="shared" si="53"/>
        <v>立直-苍火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tr">
        <f t="shared" si="53"/>
        <v>橘猫爪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tr">
        <f t="shared" si="53"/>
        <v>孔雀绿桌布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tr">
        <f t="shared" si="53"/>
        <v>莲藕紫桌布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tr">
        <f t="shared" si="53"/>
        <v>紫罗兰桌布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tr">
        <f t="shared" si="53"/>
        <v>淡黄牌背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tr">
        <f t="shared" si="53"/>
        <v>果绿牌背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tr">
        <f t="shared" si="53"/>
        <v>玫瑰红牌背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tr">
        <f t="shared" si="53"/>
        <v>猩红立直棒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tr">
        <f t="shared" si="53"/>
        <v>24K金棒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tr">
        <f t="shared" si="53"/>
        <v>立直-碎冰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tr">
        <f t="shared" si="53"/>
        <v>立直-火焰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tr">
        <f t="shared" si="53"/>
        <v>和牌-黑炎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tr">
        <f t="shared" si="53"/>
        <v>真剑胜负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tr">
        <f t="shared" si="53"/>
        <v>激斗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tr">
        <f t="shared" si="53"/>
        <v>立直-幻影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tr">
        <f t="shared" si="53"/>
        <v>立直-飞羽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tr">
        <f t="shared" si="53"/>
        <v>和牌-爆炎龙卷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tr">
        <f t="shared" si="53"/>
        <v>和牌-方舟反应堆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tr">
        <f t="shared" si="53"/>
        <v>和牌-红玫瑰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tr">
        <f t="shared" si="53"/>
        <v>立直-叮~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tr">
        <f t="shared" si="53"/>
        <v>立直-龙腾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tr">
        <f t="shared" si="53"/>
        <v>和牌-K.O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tr">
        <f t="shared" si="53"/>
        <v>和牌-逆鳞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tr">
        <f t="shared" si="53"/>
        <v>立直棒-断恶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tr">
        <f t="shared" si="53"/>
        <v>立直棒-雪糕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tr">
        <f t="shared" si="53"/>
        <v>出阵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tr">
        <f t="shared" si="53"/>
        <v>一触即发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tr">
        <f t="shared" si="53"/>
        <v>桌布-吃瓜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tr">
        <f t="shared" si="53"/>
        <v>和牌-幽灵嗷嗷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tr">
        <f t="shared" si="53"/>
        <v>和牌-歌剧魅影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tr">
        <f t="shared" si="53"/>
        <v>和牌-魔法少女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tr">
        <f t="shared" si="53"/>
        <v>立直-蝙蝠桀桀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tr">
        <f t="shared" si="53"/>
        <v>立直-非常事态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tr">
        <f t="shared" si="53"/>
        <v>立直-魔法少女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tr">
        <f t="shared" si="53"/>
        <v>立直棒-小恶魔蝙蝠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tr">
        <f t="shared" si="53"/>
        <v>立直棒-魔法棒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tr">
        <f t="shared" si="53"/>
        <v>牌背-天然呆幽灵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f t="shared" si="53"/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f t="shared" si="53"/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f t="shared" si="53"/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f t="shared" si="53"/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f t="shared" si="53"/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f t="shared" si="53"/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674</v>
      </c>
      <c r="M2548" t="str">
        <f t="shared" si="53"/>
        <v>手工曲奇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tr">
        <f t="shared" si="53"/>
        <v>怀旧掌机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tr">
        <f t="shared" si="53"/>
        <v>简易美术品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tr">
        <f t="shared" si="53"/>
        <v>美味果酒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tr">
        <f t="shared" si="53"/>
        <v>普通的碎钻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tr">
        <f t="shared" si="53"/>
        <v>熊公仔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tr">
        <f t="shared" si="53"/>
        <v>同人小册子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tr">
        <f t="shared" si="53"/>
        <v>朴素的小裙子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tr">
        <f t="shared" si="53"/>
        <v>蓝罐曲奇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tr">
        <f t="shared" si="53"/>
        <v>Twitch掌机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tr">
        <f t="shared" si="53"/>
        <v>精美挂画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tr">
        <f t="shared" si="53"/>
        <v>香醇红酒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tr">
        <f t="shared" si="53"/>
        <v>鸽子蛋宝石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tr">
        <f t="shared" si="53"/>
        <v>熊公仔L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tr">
        <f t="shared" si="53"/>
        <v>简装同人志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tr">
        <f t="shared" si="53"/>
        <v>普通的小裙子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tr">
        <f t="shared" si="53"/>
        <v>香喷喷曲奇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tr">
        <f t="shared" si="53"/>
        <v>次世代游戏机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tr">
        <f t="shared" ref="M2566:M2629" si="54">VLOOKUP(C2566,X:Y,2,FALSE)</f>
        <v>经典名画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tr">
        <f t="shared" si="54"/>
        <v>82年的拉菲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tr">
        <f t="shared" si="54"/>
        <v>海洋之心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tr">
        <f t="shared" si="54"/>
        <v>熊公仔XXL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tr">
        <f t="shared" si="54"/>
        <v>精美同人志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tr">
        <f t="shared" si="54"/>
        <v>华丽的小裙子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tr">
        <f t="shared" si="54"/>
        <v>咸鱼立直棒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tr">
        <f t="shared" si="54"/>
        <v>大葱立直棒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tr">
        <f t="shared" si="54"/>
        <v>狗骨头立直棒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tr">
        <f t="shared" si="54"/>
        <v>和牌-烈焰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tr">
        <f t="shared" si="54"/>
        <v>和牌-旋风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tr">
        <f t="shared" si="54"/>
        <v>和牌-樱花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tr">
        <f t="shared" si="54"/>
        <v>立直-苍火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tr">
        <f t="shared" si="54"/>
        <v>橘猫爪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tr">
        <f t="shared" si="54"/>
        <v>孔雀绿桌布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tr">
        <f t="shared" si="54"/>
        <v>莲藕紫桌布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tr">
        <f t="shared" si="54"/>
        <v>紫罗兰桌布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tr">
        <f t="shared" si="54"/>
        <v>淡黄牌背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tr">
        <f t="shared" si="54"/>
        <v>果绿牌背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tr">
        <f t="shared" si="54"/>
        <v>玫瑰红牌背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tr">
        <f t="shared" si="54"/>
        <v>猩红立直棒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tr">
        <f t="shared" si="54"/>
        <v>24K金棒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tr">
        <f t="shared" si="54"/>
        <v>立直-碎冰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tr">
        <f t="shared" si="54"/>
        <v>立直-火焰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tr">
        <f t="shared" si="54"/>
        <v>和牌-黑炎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tr">
        <f t="shared" si="54"/>
        <v>真剑胜负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tr">
        <f t="shared" si="54"/>
        <v>激斗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tr">
        <f t="shared" si="54"/>
        <v>立直-幻影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tr">
        <f t="shared" si="54"/>
        <v>立直-飞羽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tr">
        <f t="shared" si="54"/>
        <v>和牌-爆炎龙卷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tr">
        <f t="shared" si="54"/>
        <v>和牌-方舟反应堆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tr">
        <f t="shared" si="54"/>
        <v>和牌-红玫瑰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tr">
        <f t="shared" si="54"/>
        <v>立直-叮~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tr">
        <f t="shared" si="54"/>
        <v>立直-龙腾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tr">
        <f t="shared" si="54"/>
        <v>和牌-K.O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tr">
        <f t="shared" si="54"/>
        <v>和牌-逆鳞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tr">
        <f t="shared" si="54"/>
        <v>立直棒-断恶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tr">
        <f t="shared" si="54"/>
        <v>立直棒-雪糕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tr">
        <f t="shared" si="54"/>
        <v>出阵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tr">
        <f t="shared" si="54"/>
        <v>一触即发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tr">
        <f t="shared" si="54"/>
        <v>桌布-吃瓜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tr">
        <f t="shared" si="54"/>
        <v>和牌-幽灵嗷嗷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tr">
        <f t="shared" si="54"/>
        <v>立直-蝙蝠桀桀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tr">
        <f t="shared" si="54"/>
        <v>立直棒-小恶魔蝙蝠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tr">
        <f t="shared" si="54"/>
        <v>牌背-天然呆幽灵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f t="shared" si="54"/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f t="shared" si="54"/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f t="shared" si="54"/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f t="shared" si="54"/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f t="shared" si="54"/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f t="shared" si="54"/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f t="shared" si="54"/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f t="shared" si="54"/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f t="shared" si="54"/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f t="shared" si="54"/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f t="shared" si="54"/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f t="shared" si="54"/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f t="shared" si="54"/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f t="shared" si="54"/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675</v>
      </c>
      <c r="M2625" t="str">
        <f t="shared" si="54"/>
        <v>手工曲奇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tr">
        <f t="shared" si="54"/>
        <v>怀旧掌机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tr">
        <f t="shared" si="54"/>
        <v>简易美术品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tr">
        <f t="shared" si="54"/>
        <v>美味果酒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tr">
        <f t="shared" si="54"/>
        <v>普通的碎钻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tr">
        <f t="shared" ref="M2630:M2693" si="55">VLOOKUP(C2630,X:Y,2,FALSE)</f>
        <v>熊公仔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tr">
        <f t="shared" si="55"/>
        <v>同人小册子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tr">
        <f t="shared" si="55"/>
        <v>朴素的小裙子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tr">
        <f t="shared" si="55"/>
        <v>蓝罐曲奇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tr">
        <f t="shared" si="55"/>
        <v>Twitch掌机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tr">
        <f t="shared" si="55"/>
        <v>精美挂画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tr">
        <f t="shared" si="55"/>
        <v>香醇红酒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tr">
        <f t="shared" si="55"/>
        <v>鸽子蛋宝石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tr">
        <f t="shared" si="55"/>
        <v>熊公仔L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tr">
        <f t="shared" si="55"/>
        <v>简装同人志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tr">
        <f t="shared" si="55"/>
        <v>普通的小裙子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tr">
        <f t="shared" si="55"/>
        <v>香喷喷曲奇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tr">
        <f t="shared" si="55"/>
        <v>次世代游戏机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tr">
        <f t="shared" si="55"/>
        <v>经典名画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tr">
        <f t="shared" si="55"/>
        <v>82年的拉菲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tr">
        <f t="shared" si="55"/>
        <v>海洋之心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tr">
        <f t="shared" si="55"/>
        <v>熊公仔XXL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tr">
        <f t="shared" si="55"/>
        <v>精美同人志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tr">
        <f t="shared" si="55"/>
        <v>华丽的小裙子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tr">
        <f t="shared" si="55"/>
        <v>咸鱼立直棒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tr">
        <f t="shared" si="55"/>
        <v>大葱立直棒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tr">
        <f t="shared" si="55"/>
        <v>狗骨头立直棒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tr">
        <f t="shared" si="55"/>
        <v>和牌-烈焰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tr">
        <f t="shared" si="55"/>
        <v>和牌-旋风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tr">
        <f t="shared" si="55"/>
        <v>和牌-樱花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tr">
        <f t="shared" si="55"/>
        <v>立直-苍火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tr">
        <f t="shared" si="55"/>
        <v>橘猫爪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tr">
        <f t="shared" si="55"/>
        <v>孔雀绿桌布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tr">
        <f t="shared" si="55"/>
        <v>莲藕紫桌布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tr">
        <f t="shared" si="55"/>
        <v>紫罗兰桌布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tr">
        <f t="shared" si="55"/>
        <v>淡黄牌背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tr">
        <f t="shared" si="55"/>
        <v>果绿牌背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tr">
        <f t="shared" si="55"/>
        <v>玫瑰红牌背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tr">
        <f t="shared" si="55"/>
        <v>猩红立直棒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tr">
        <f t="shared" si="55"/>
        <v>24K金棒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tr">
        <f t="shared" si="55"/>
        <v>立直-碎冰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tr">
        <f t="shared" si="55"/>
        <v>立直-火焰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tr">
        <f t="shared" si="55"/>
        <v>和牌-黑炎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tr">
        <f t="shared" si="55"/>
        <v>真剑胜负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tr">
        <f t="shared" si="55"/>
        <v>激斗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tr">
        <f t="shared" si="55"/>
        <v>立直-幻影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tr">
        <f t="shared" si="55"/>
        <v>立直-飞羽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tr">
        <f t="shared" si="55"/>
        <v>和牌-爆炎龙卷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tr">
        <f t="shared" si="55"/>
        <v>和牌-方舟反应堆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tr">
        <f t="shared" si="55"/>
        <v>和牌-红玫瑰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tr">
        <f t="shared" si="55"/>
        <v>立直-叮~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tr">
        <f t="shared" si="55"/>
        <v>立直-龙腾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tr">
        <f t="shared" si="55"/>
        <v>和牌-K.O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tr">
        <f t="shared" si="55"/>
        <v>和牌-逆鳞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tr">
        <f t="shared" si="55"/>
        <v>立直棒-断恶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tr">
        <f t="shared" si="55"/>
        <v>立直棒-雪糕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tr">
        <f t="shared" si="55"/>
        <v>出阵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tr">
        <f t="shared" si="55"/>
        <v>一触即发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tr">
        <f t="shared" si="55"/>
        <v>桌布-吃瓜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tr">
        <f t="shared" si="55"/>
        <v>和牌-幽灵嗷嗷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tr">
        <f t="shared" si="55"/>
        <v>立直-蝙蝠桀桀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tr">
        <f t="shared" si="55"/>
        <v>立直棒-小恶魔蝙蝠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tr">
        <f t="shared" si="55"/>
        <v>牌背-天然呆幽灵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f t="shared" si="55"/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f t="shared" si="55"/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f t="shared" si="55"/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f t="shared" si="55"/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f t="shared" si="55"/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f t="shared" si="55"/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f t="shared" ref="M2694:M2757" si="56">VLOOKUP(C2694,X:Y,2,FALSE)</f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f t="shared" si="56"/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f t="shared" si="56"/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f t="shared" si="56"/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f t="shared" si="56"/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f t="shared" si="56"/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f t="shared" si="56"/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f t="shared" si="56"/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676</v>
      </c>
      <c r="M2702" t="str">
        <f t="shared" si="56"/>
        <v>手工曲奇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tr">
        <f t="shared" si="56"/>
        <v>怀旧掌机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tr">
        <f t="shared" si="56"/>
        <v>简易美术品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tr">
        <f t="shared" si="56"/>
        <v>美味果酒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tr">
        <f t="shared" si="56"/>
        <v>普通的碎钻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tr">
        <f t="shared" si="56"/>
        <v>熊公仔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tr">
        <f t="shared" si="56"/>
        <v>同人小册子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tr">
        <f t="shared" si="56"/>
        <v>朴素的小裙子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tr">
        <f t="shared" si="56"/>
        <v>蓝罐曲奇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tr">
        <f t="shared" si="56"/>
        <v>Twitch掌机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tr">
        <f t="shared" si="56"/>
        <v>精美挂画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tr">
        <f t="shared" si="56"/>
        <v>香醇红酒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tr">
        <f t="shared" si="56"/>
        <v>鸽子蛋宝石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tr">
        <f t="shared" si="56"/>
        <v>熊公仔L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tr">
        <f t="shared" si="56"/>
        <v>简装同人志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tr">
        <f t="shared" si="56"/>
        <v>普通的小裙子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tr">
        <f t="shared" si="56"/>
        <v>香喷喷曲奇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tr">
        <f t="shared" si="56"/>
        <v>次世代游戏机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tr">
        <f t="shared" si="56"/>
        <v>经典名画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tr">
        <f t="shared" si="56"/>
        <v>82年的拉菲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tr">
        <f t="shared" si="56"/>
        <v>海洋之心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tr">
        <f t="shared" si="56"/>
        <v>熊公仔XXL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tr">
        <f t="shared" si="56"/>
        <v>精美同人志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tr">
        <f t="shared" si="56"/>
        <v>华丽的小裙子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tr">
        <f t="shared" si="56"/>
        <v>咸鱼立直棒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tr">
        <f t="shared" si="56"/>
        <v>大葱立直棒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tr">
        <f t="shared" si="56"/>
        <v>狗骨头立直棒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tr">
        <f t="shared" si="56"/>
        <v>和牌-烈焰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tr">
        <f t="shared" si="56"/>
        <v>和牌-旋风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tr">
        <f t="shared" si="56"/>
        <v>和牌-樱花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tr">
        <f t="shared" si="56"/>
        <v>立直-苍火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tr">
        <f t="shared" si="56"/>
        <v>橘猫爪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tr">
        <f t="shared" si="56"/>
        <v>孔雀绿桌布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tr">
        <f t="shared" si="56"/>
        <v>莲藕紫桌布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tr">
        <f t="shared" si="56"/>
        <v>紫罗兰桌布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tr">
        <f t="shared" si="56"/>
        <v>淡黄牌背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tr">
        <f t="shared" si="56"/>
        <v>果绿牌背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tr">
        <f t="shared" si="56"/>
        <v>玫瑰红牌背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tr">
        <f t="shared" si="56"/>
        <v>猩红立直棒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tr">
        <f t="shared" si="56"/>
        <v>24K金棒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tr">
        <f t="shared" si="56"/>
        <v>立直-碎冰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tr">
        <f t="shared" si="56"/>
        <v>立直-火焰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tr">
        <f t="shared" si="56"/>
        <v>和牌-黑炎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tr">
        <f t="shared" si="56"/>
        <v>真剑胜负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tr">
        <f t="shared" si="56"/>
        <v>激斗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tr">
        <f t="shared" si="56"/>
        <v>立直-幻影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tr">
        <f t="shared" si="56"/>
        <v>立直-飞羽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tr">
        <f t="shared" si="56"/>
        <v>和牌-爆炎龙卷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tr">
        <f t="shared" si="56"/>
        <v>和牌-方舟反应堆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tr">
        <f t="shared" si="56"/>
        <v>和牌-红玫瑰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tr">
        <f t="shared" si="56"/>
        <v>立直-叮~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tr">
        <f t="shared" si="56"/>
        <v>立直-龙腾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tr">
        <f t="shared" si="56"/>
        <v>和牌-K.O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tr">
        <f t="shared" si="56"/>
        <v>和牌-逆鳞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tr">
        <f t="shared" si="56"/>
        <v>立直棒-断恶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tr">
        <f t="shared" si="56"/>
        <v>立直棒-雪糕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tr">
        <f t="shared" ref="M2758:M2821" si="57">VLOOKUP(C2758,X:Y,2,FALSE)</f>
        <v>出阵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tr">
        <f t="shared" si="57"/>
        <v>一触即发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tr">
        <f t="shared" si="57"/>
        <v>桌布-吃瓜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tr">
        <f t="shared" si="57"/>
        <v>和牌-幽灵嗷嗷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tr">
        <f t="shared" si="57"/>
        <v>立直-蝙蝠桀桀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tr">
        <f t="shared" si="57"/>
        <v>立直棒-小恶魔蝙蝠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tr">
        <f t="shared" si="57"/>
        <v>牌背-天然呆幽灵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f t="shared" si="57"/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f t="shared" si="57"/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f t="shared" si="57"/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f t="shared" si="57"/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f t="shared" si="57"/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f t="shared" si="57"/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f t="shared" si="57"/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f t="shared" si="57"/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f t="shared" si="57"/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f t="shared" si="57"/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f t="shared" si="57"/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f t="shared" si="57"/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f t="shared" si="57"/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f t="shared" si="57"/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677</v>
      </c>
      <c r="M2779" t="str">
        <f t="shared" si="57"/>
        <v>手工曲奇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tr">
        <f t="shared" si="57"/>
        <v>怀旧掌机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tr">
        <f t="shared" si="57"/>
        <v>简易美术品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tr">
        <f t="shared" si="57"/>
        <v>美味果酒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tr">
        <f t="shared" si="57"/>
        <v>普通的碎钻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tr">
        <f t="shared" si="57"/>
        <v>熊公仔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tr">
        <f t="shared" si="57"/>
        <v>同人小册子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tr">
        <f t="shared" si="57"/>
        <v>朴素的小裙子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tr">
        <f t="shared" si="57"/>
        <v>蓝罐曲奇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tr">
        <f t="shared" si="57"/>
        <v>Twitch掌机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tr">
        <f t="shared" si="57"/>
        <v>精美挂画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tr">
        <f t="shared" si="57"/>
        <v>香醇红酒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tr">
        <f t="shared" si="57"/>
        <v>鸽子蛋宝石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tr">
        <f t="shared" si="57"/>
        <v>熊公仔L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tr">
        <f t="shared" si="57"/>
        <v>简装同人志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tr">
        <f t="shared" si="57"/>
        <v>普通的小裙子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tr">
        <f t="shared" si="57"/>
        <v>香喷喷曲奇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tr">
        <f t="shared" si="57"/>
        <v>次世代游戏机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tr">
        <f t="shared" si="57"/>
        <v>经典名画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tr">
        <f t="shared" si="57"/>
        <v>82年的拉菲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tr">
        <f t="shared" si="57"/>
        <v>海洋之心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tr">
        <f t="shared" si="57"/>
        <v>熊公仔XXL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tr">
        <f t="shared" si="57"/>
        <v>精美同人志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tr">
        <f t="shared" si="57"/>
        <v>华丽的小裙子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tr">
        <f t="shared" si="57"/>
        <v>咸鱼立直棒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tr">
        <f t="shared" si="57"/>
        <v>大葱立直棒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tr">
        <f t="shared" si="57"/>
        <v>狗骨头立直棒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tr">
        <f t="shared" si="57"/>
        <v>和牌-烈焰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tr">
        <f t="shared" si="57"/>
        <v>和牌-旋风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tr">
        <f t="shared" si="57"/>
        <v>和牌-樱花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tr">
        <f t="shared" si="57"/>
        <v>立直-苍火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tr">
        <f t="shared" si="57"/>
        <v>橘猫爪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tr">
        <f t="shared" si="57"/>
        <v>孔雀绿桌布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tr">
        <f t="shared" si="57"/>
        <v>莲藕紫桌布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tr">
        <f t="shared" si="57"/>
        <v>紫罗兰桌布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tr">
        <f t="shared" si="57"/>
        <v>淡黄牌背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tr">
        <f t="shared" si="57"/>
        <v>果绿牌背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tr">
        <f t="shared" si="57"/>
        <v>玫瑰红牌背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tr">
        <f t="shared" si="57"/>
        <v>猩红立直棒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tr">
        <f t="shared" si="57"/>
        <v>24K金棒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tr">
        <f t="shared" si="57"/>
        <v>立直-碎冰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tr">
        <f t="shared" si="57"/>
        <v>立直-火焰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tr">
        <f t="shared" si="57"/>
        <v>和牌-黑炎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tr">
        <f t="shared" ref="M2822:M2885" si="58">VLOOKUP(C2822,X:Y,2,FALSE)</f>
        <v>真剑胜负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tr">
        <f t="shared" si="58"/>
        <v>激斗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tr">
        <f t="shared" si="58"/>
        <v>立直-幻影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tr">
        <f t="shared" si="58"/>
        <v>立直-飞羽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tr">
        <f t="shared" si="58"/>
        <v>和牌-爆炎龙卷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tr">
        <f t="shared" si="58"/>
        <v>和牌-方舟反应堆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tr">
        <f t="shared" si="58"/>
        <v>和牌-红玫瑰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tr">
        <f t="shared" si="58"/>
        <v>立直-叮~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tr">
        <f t="shared" si="58"/>
        <v>立直-龙腾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tr">
        <f t="shared" si="58"/>
        <v>和牌-K.O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tr">
        <f t="shared" si="58"/>
        <v>和牌-逆鳞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tr">
        <f t="shared" si="58"/>
        <v>立直棒-断恶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tr">
        <f t="shared" si="58"/>
        <v>立直棒-雪糕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tr">
        <f t="shared" si="58"/>
        <v>出阵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tr">
        <f t="shared" si="58"/>
        <v>一触即发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tr">
        <f t="shared" si="58"/>
        <v>桌布-吃瓜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tr">
        <f t="shared" si="58"/>
        <v>和牌-幽灵嗷嗷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tr">
        <f t="shared" si="58"/>
        <v>立直-蝙蝠桀桀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tr">
        <f t="shared" si="58"/>
        <v>立直棒-小恶魔蝙蝠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tr">
        <f t="shared" si="58"/>
        <v>牌背-天然呆幽灵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f t="shared" si="58"/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f t="shared" si="58"/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f t="shared" si="58"/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f t="shared" si="58"/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f t="shared" si="58"/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f t="shared" si="58"/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f t="shared" si="58"/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f t="shared" si="58"/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f t="shared" si="58"/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f t="shared" si="58"/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f t="shared" si="58"/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f t="shared" si="58"/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f t="shared" si="58"/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f t="shared" si="58"/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678</v>
      </c>
      <c r="M2856" t="str">
        <f t="shared" si="58"/>
        <v>手工曲奇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tr">
        <f t="shared" si="58"/>
        <v>怀旧掌机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tr">
        <f t="shared" si="58"/>
        <v>简易美术品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tr">
        <f t="shared" si="58"/>
        <v>美味果酒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tr">
        <f t="shared" si="58"/>
        <v>普通的碎钻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tr">
        <f t="shared" si="58"/>
        <v>熊公仔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tr">
        <f t="shared" si="58"/>
        <v>同人小册子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tr">
        <f t="shared" si="58"/>
        <v>朴素的小裙子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tr">
        <f t="shared" si="58"/>
        <v>蓝罐曲奇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tr">
        <f t="shared" si="58"/>
        <v>Twitch掌机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tr">
        <f t="shared" si="58"/>
        <v>精美挂画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tr">
        <f t="shared" si="58"/>
        <v>香醇红酒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tr">
        <f t="shared" si="58"/>
        <v>鸽子蛋宝石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tr">
        <f t="shared" si="58"/>
        <v>熊公仔L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tr">
        <f t="shared" si="58"/>
        <v>简装同人志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tr">
        <f t="shared" si="58"/>
        <v>普通的小裙子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tr">
        <f t="shared" si="58"/>
        <v>香喷喷曲奇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tr">
        <f t="shared" si="58"/>
        <v>次世代游戏机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tr">
        <f t="shared" si="58"/>
        <v>经典名画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tr">
        <f t="shared" si="58"/>
        <v>82年的拉菲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tr">
        <f t="shared" si="58"/>
        <v>海洋之心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tr">
        <f t="shared" si="58"/>
        <v>熊公仔XXL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tr">
        <f t="shared" si="58"/>
        <v>精美同人志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tr">
        <f t="shared" si="58"/>
        <v>华丽的小裙子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tr">
        <f t="shared" si="58"/>
        <v>咸鱼立直棒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tr">
        <f t="shared" si="58"/>
        <v>大葱立直棒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tr">
        <f t="shared" si="58"/>
        <v>狗骨头立直棒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tr">
        <f t="shared" si="58"/>
        <v>和牌-烈焰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tr">
        <f t="shared" si="58"/>
        <v>和牌-旋风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tr">
        <f t="shared" si="58"/>
        <v>和牌-樱花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tr">
        <f t="shared" ref="M2886:M2949" si="59">VLOOKUP(C2886,X:Y,2,FALSE)</f>
        <v>立直-苍火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tr">
        <f t="shared" si="59"/>
        <v>橘猫爪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tr">
        <f t="shared" si="59"/>
        <v>孔雀绿桌布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tr">
        <f t="shared" si="59"/>
        <v>莲藕紫桌布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tr">
        <f t="shared" si="59"/>
        <v>紫罗兰桌布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tr">
        <f t="shared" si="59"/>
        <v>淡黄牌背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tr">
        <f t="shared" si="59"/>
        <v>果绿牌背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tr">
        <f t="shared" si="59"/>
        <v>玫瑰红牌背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tr">
        <f t="shared" si="59"/>
        <v>猩红立直棒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tr">
        <f t="shared" si="59"/>
        <v>24K金棒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tr">
        <f t="shared" si="59"/>
        <v>立直-碎冰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tr">
        <f t="shared" si="59"/>
        <v>立直-火焰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tr">
        <f t="shared" si="59"/>
        <v>和牌-黑炎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tr">
        <f t="shared" si="59"/>
        <v>真剑胜负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tr">
        <f t="shared" si="59"/>
        <v>激斗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tr">
        <f t="shared" si="59"/>
        <v>立直-幻影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tr">
        <f t="shared" si="59"/>
        <v>立直-飞羽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tr">
        <f t="shared" si="59"/>
        <v>和牌-爆炎龙卷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tr">
        <f t="shared" si="59"/>
        <v>和牌-方舟反应堆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tr">
        <f t="shared" si="59"/>
        <v>和牌-红玫瑰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tr">
        <f t="shared" si="59"/>
        <v>立直-叮~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tr">
        <f t="shared" si="59"/>
        <v>立直-龙腾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tr">
        <f t="shared" si="59"/>
        <v>和牌-K.O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tr">
        <f t="shared" si="59"/>
        <v>和牌-逆鳞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tr">
        <f t="shared" si="59"/>
        <v>立直棒-断恶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tr">
        <f t="shared" si="59"/>
        <v>立直棒-雪糕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tr">
        <f t="shared" si="59"/>
        <v>出阵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tr">
        <f t="shared" si="59"/>
        <v>一触即发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tr">
        <f t="shared" si="59"/>
        <v>桌布-吃瓜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tr">
        <f t="shared" si="59"/>
        <v>和牌-幽灵嗷嗷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tr">
        <f t="shared" si="59"/>
        <v>立直-蝙蝠桀桀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tr">
        <f t="shared" si="59"/>
        <v>立直棒-小恶魔蝙蝠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tr">
        <f t="shared" si="59"/>
        <v>牌背-天然呆幽灵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f t="shared" si="59"/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f t="shared" si="59"/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f t="shared" si="59"/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f t="shared" si="59"/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f t="shared" si="59"/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f t="shared" si="59"/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f t="shared" si="59"/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f t="shared" si="59"/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f t="shared" si="59"/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f t="shared" si="59"/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f t="shared" si="59"/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f t="shared" si="59"/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f t="shared" si="59"/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f t="shared" si="59"/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679</v>
      </c>
      <c r="M2933" t="str">
        <f t="shared" si="59"/>
        <v>手工曲奇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tr">
        <f t="shared" si="59"/>
        <v>怀旧掌机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tr">
        <f t="shared" si="59"/>
        <v>简易美术品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tr">
        <f t="shared" si="59"/>
        <v>美味果酒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tr">
        <f t="shared" si="59"/>
        <v>普通的碎钻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tr">
        <f t="shared" si="59"/>
        <v>熊公仔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tr">
        <f t="shared" si="59"/>
        <v>同人小册子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tr">
        <f t="shared" si="59"/>
        <v>朴素的小裙子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tr">
        <f t="shared" si="59"/>
        <v>蓝罐曲奇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tr">
        <f t="shared" si="59"/>
        <v>Twitch掌机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tr">
        <f t="shared" si="59"/>
        <v>精美挂画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tr">
        <f t="shared" si="59"/>
        <v>香醇红酒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tr">
        <f t="shared" si="59"/>
        <v>鸽子蛋宝石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tr">
        <f t="shared" si="59"/>
        <v>熊公仔L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tr">
        <f t="shared" si="59"/>
        <v>简装同人志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tr">
        <f t="shared" si="59"/>
        <v>普通的小裙子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tr">
        <f t="shared" si="59"/>
        <v>香喷喷曲奇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tr">
        <f t="shared" ref="M2950:M3013" si="60">VLOOKUP(C2950,X:Y,2,FALSE)</f>
        <v>次世代游戏机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tr">
        <f t="shared" si="60"/>
        <v>经典名画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tr">
        <f t="shared" si="60"/>
        <v>82年的拉菲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tr">
        <f t="shared" si="60"/>
        <v>海洋之心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tr">
        <f t="shared" si="60"/>
        <v>熊公仔XXL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tr">
        <f t="shared" si="60"/>
        <v>精美同人志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tr">
        <f t="shared" si="60"/>
        <v>华丽的小裙子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tr">
        <f t="shared" si="60"/>
        <v>咸鱼立直棒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tr">
        <f t="shared" si="60"/>
        <v>大葱立直棒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tr">
        <f t="shared" si="60"/>
        <v>狗骨头立直棒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tr">
        <f t="shared" si="60"/>
        <v>和牌-烈焰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tr">
        <f t="shared" si="60"/>
        <v>和牌-旋风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tr">
        <f t="shared" si="60"/>
        <v>和牌-樱花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tr">
        <f t="shared" si="60"/>
        <v>立直-苍火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tr">
        <f t="shared" si="60"/>
        <v>橘猫爪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tr">
        <f t="shared" si="60"/>
        <v>孔雀绿桌布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tr">
        <f t="shared" si="60"/>
        <v>莲藕紫桌布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tr">
        <f t="shared" si="60"/>
        <v>紫罗兰桌布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tr">
        <f t="shared" si="60"/>
        <v>淡黄牌背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tr">
        <f t="shared" si="60"/>
        <v>果绿牌背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tr">
        <f t="shared" si="60"/>
        <v>玫瑰红牌背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tr">
        <f t="shared" si="60"/>
        <v>猩红立直棒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tr">
        <f t="shared" si="60"/>
        <v>24K金棒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tr">
        <f t="shared" si="60"/>
        <v>立直-碎冰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tr">
        <f t="shared" si="60"/>
        <v>立直-火焰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tr">
        <f t="shared" si="60"/>
        <v>和牌-黑炎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tr">
        <f t="shared" si="60"/>
        <v>真剑胜负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tr">
        <f t="shared" si="60"/>
        <v>激斗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tr">
        <f t="shared" si="60"/>
        <v>立直-幻影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tr">
        <f t="shared" si="60"/>
        <v>立直-飞羽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tr">
        <f t="shared" si="60"/>
        <v>和牌-爆炎龙卷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tr">
        <f t="shared" si="60"/>
        <v>和牌-方舟反应堆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tr">
        <f t="shared" si="60"/>
        <v>和牌-红玫瑰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tr">
        <f t="shared" si="60"/>
        <v>立直-叮~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tr">
        <f t="shared" si="60"/>
        <v>立直-龙腾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tr">
        <f t="shared" si="60"/>
        <v>和牌-K.O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tr">
        <f t="shared" si="60"/>
        <v>和牌-逆鳞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tr">
        <f t="shared" si="60"/>
        <v>立直棒-断恶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tr">
        <f t="shared" si="60"/>
        <v>立直棒-雪糕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tr">
        <f t="shared" si="60"/>
        <v>出阵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tr">
        <f t="shared" si="60"/>
        <v>一触即发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tr">
        <f t="shared" si="60"/>
        <v>桌布-吃瓜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tr">
        <f t="shared" si="60"/>
        <v>和牌-幽灵嗷嗷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tr">
        <f t="shared" si="60"/>
        <v>立直-蝙蝠桀桀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tr">
        <f t="shared" si="60"/>
        <v>立直棒-小恶魔蝙蝠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tr">
        <f t="shared" si="60"/>
        <v>牌背-天然呆幽灵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f t="shared" si="60"/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f t="shared" si="60"/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f t="shared" si="60"/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f t="shared" si="60"/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f t="shared" si="60"/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f t="shared" si="60"/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f t="shared" si="60"/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f t="shared" si="60"/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f t="shared" si="60"/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f t="shared" si="60"/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f t="shared" si="60"/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f t="shared" si="60"/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f t="shared" si="60"/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f t="shared" si="60"/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680</v>
      </c>
      <c r="M3010" t="str">
        <f t="shared" si="60"/>
        <v>手工曲奇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tr">
        <f t="shared" si="60"/>
        <v>怀旧掌机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tr">
        <f t="shared" si="60"/>
        <v>简易美术品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tr">
        <f t="shared" si="60"/>
        <v>美味果酒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tr">
        <f t="shared" ref="M3014:M3077" si="61">VLOOKUP(C3014,X:Y,2,FALSE)</f>
        <v>普通的碎钻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tr">
        <f t="shared" si="61"/>
        <v>熊公仔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tr">
        <f t="shared" si="61"/>
        <v>同人小册子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tr">
        <f t="shared" si="61"/>
        <v>朴素的小裙子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tr">
        <f t="shared" si="61"/>
        <v>蓝罐曲奇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tr">
        <f t="shared" si="61"/>
        <v>Twitch掌机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tr">
        <f t="shared" si="61"/>
        <v>精美挂画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tr">
        <f t="shared" si="61"/>
        <v>香醇红酒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tr">
        <f t="shared" si="61"/>
        <v>鸽子蛋宝石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tr">
        <f t="shared" si="61"/>
        <v>熊公仔L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tr">
        <f t="shared" si="61"/>
        <v>简装同人志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tr">
        <f t="shared" si="61"/>
        <v>普通的小裙子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tr">
        <f t="shared" si="61"/>
        <v>香喷喷曲奇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tr">
        <f t="shared" si="61"/>
        <v>次世代游戏机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tr">
        <f t="shared" si="61"/>
        <v>经典名画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tr">
        <f t="shared" si="61"/>
        <v>82年的拉菲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tr">
        <f t="shared" si="61"/>
        <v>海洋之心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tr">
        <f t="shared" si="61"/>
        <v>熊公仔XXL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tr">
        <f t="shared" si="61"/>
        <v>精美同人志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tr">
        <f t="shared" si="61"/>
        <v>华丽的小裙子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tr">
        <f t="shared" si="61"/>
        <v>咸鱼立直棒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tr">
        <f t="shared" si="61"/>
        <v>大葱立直棒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tr">
        <f t="shared" si="61"/>
        <v>狗骨头立直棒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tr">
        <f t="shared" si="61"/>
        <v>和牌-烈焰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tr">
        <f t="shared" si="61"/>
        <v>和牌-旋风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tr">
        <f t="shared" si="61"/>
        <v>和牌-樱花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tr">
        <f t="shared" si="61"/>
        <v>立直-苍火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tr">
        <f t="shared" si="61"/>
        <v>橘猫爪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tr">
        <f t="shared" si="61"/>
        <v>孔雀绿桌布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tr">
        <f t="shared" si="61"/>
        <v>莲藕紫桌布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tr">
        <f t="shared" si="61"/>
        <v>紫罗兰桌布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tr">
        <f t="shared" si="61"/>
        <v>淡黄牌背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tr">
        <f t="shared" si="61"/>
        <v>果绿牌背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tr">
        <f t="shared" si="61"/>
        <v>玫瑰红牌背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tr">
        <f t="shared" si="61"/>
        <v>猩红立直棒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tr">
        <f t="shared" si="61"/>
        <v>24K金棒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tr">
        <f t="shared" si="61"/>
        <v>立直-碎冰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tr">
        <f t="shared" si="61"/>
        <v>立直-火焰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tr">
        <f t="shared" si="61"/>
        <v>和牌-黑炎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tr">
        <f t="shared" si="61"/>
        <v>真剑胜负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tr">
        <f t="shared" si="61"/>
        <v>激斗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tr">
        <f t="shared" si="61"/>
        <v>立直-幻影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tr">
        <f t="shared" si="61"/>
        <v>立直-飞羽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tr">
        <f t="shared" si="61"/>
        <v>和牌-爆炎龙卷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tr">
        <f t="shared" si="61"/>
        <v>和牌-方舟反应堆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tr">
        <f t="shared" si="61"/>
        <v>和牌-红玫瑰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tr">
        <f t="shared" si="61"/>
        <v>立直-叮~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tr">
        <f t="shared" si="61"/>
        <v>立直-龙腾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tr">
        <f t="shared" si="61"/>
        <v>和牌-K.O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tr">
        <f t="shared" si="61"/>
        <v>和牌-逆鳞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tr">
        <f t="shared" si="61"/>
        <v>立直棒-断恶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tr">
        <f t="shared" si="61"/>
        <v>立直棒-雪糕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tr">
        <f t="shared" si="61"/>
        <v>出阵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tr">
        <f t="shared" si="61"/>
        <v>一触即发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tr">
        <f t="shared" si="61"/>
        <v>桌布-吃瓜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tr">
        <f t="shared" si="61"/>
        <v>和牌-幽灵嗷嗷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tr">
        <f t="shared" si="61"/>
        <v>立直-蝙蝠桀桀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tr">
        <f t="shared" si="61"/>
        <v>立直棒-小恶魔蝙蝠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tr">
        <f t="shared" si="61"/>
        <v>牌背-天然呆幽灵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f t="shared" si="61"/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f t="shared" si="61"/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f t="shared" si="61"/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f t="shared" si="61"/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f t="shared" si="61"/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f t="shared" ref="M3078:M3086" si="62">VLOOKUP(C3078,X:Y,2,FALSE)</f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f t="shared" si="62"/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f t="shared" si="62"/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f t="shared" si="62"/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f t="shared" si="62"/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f t="shared" si="62"/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f t="shared" si="62"/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f t="shared" si="62"/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f t="shared" si="62"/>
        <v>#N/A</v>
      </c>
    </row>
  </sheetData>
  <phoneticPr fontId="40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2025-10-21T07:10:17Z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