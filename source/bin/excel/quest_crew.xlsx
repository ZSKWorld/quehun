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iqi-excel\data\"/>
    </mc:Choice>
  </mc:AlternateContent>
  <xr:revisionPtr revIDLastSave="0" documentId="13_ncr:1_{10584CFF-EF51-4EFC-AA67-4C91CC611240}" xr6:coauthVersionLast="47" xr6:coauthVersionMax="47" xr10:uidLastSave="{00000000-0000-0000-0000-000000000000}"/>
  <bookViews>
    <workbookView xWindow="28680" yWindow="-120" windowWidth="29040" windowHeight="15840" activeTab="4" xr2:uid="{00000000-000D-0000-FFFF-FFFF00000000}"/>
  </bookViews>
  <sheets>
    <sheet name="export" sheetId="1" r:id="rId1"/>
    <sheet name="qc_info" sheetId="2" r:id="rId2"/>
    <sheet name="qc_character_pool" sheetId="3" r:id="rId3"/>
    <sheet name="qc_effect" sheetId="4" r:id="rId4"/>
    <sheet name="qc_quest_pool" sheetId="5" r:id="rId5"/>
    <sheet name="委托中转" sheetId="6" r:id="rId6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1" i="6" l="1"/>
  <c r="D41" i="6"/>
  <c r="E31" i="6"/>
  <c r="D31" i="6"/>
  <c r="D22" i="6"/>
  <c r="E22" i="6"/>
  <c r="I72" i="6"/>
  <c r="I29" i="6"/>
  <c r="I18" i="6"/>
  <c r="I10" i="6"/>
  <c r="I9" i="6"/>
  <c r="I8" i="6"/>
  <c r="I3" i="6"/>
  <c r="I4" i="6"/>
  <c r="I5" i="6"/>
  <c r="I6" i="6"/>
  <c r="I7" i="6"/>
  <c r="I11" i="6"/>
  <c r="I12" i="6"/>
  <c r="I13" i="6"/>
  <c r="I14" i="6"/>
  <c r="I15" i="6"/>
  <c r="I16" i="6"/>
  <c r="I17" i="6"/>
  <c r="I19" i="6"/>
  <c r="I20" i="6"/>
  <c r="I21" i="6"/>
  <c r="I23" i="6"/>
  <c r="I24" i="6"/>
  <c r="I25" i="6"/>
  <c r="I26" i="6"/>
  <c r="I27" i="6"/>
  <c r="I28" i="6"/>
  <c r="I30" i="6"/>
  <c r="I32" i="6"/>
  <c r="I33" i="6"/>
  <c r="I34" i="6"/>
  <c r="I35" i="6"/>
  <c r="I36" i="6"/>
  <c r="I37" i="6"/>
  <c r="I38" i="6"/>
  <c r="I39" i="6"/>
  <c r="I40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2" i="6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D30" i="6"/>
  <c r="E30" i="6"/>
  <c r="D62" i="6"/>
  <c r="E62" i="6"/>
  <c r="D95" i="6"/>
  <c r="E95" i="6"/>
  <c r="D3" i="6"/>
  <c r="E3" i="6"/>
  <c r="D32" i="6"/>
  <c r="E32" i="6"/>
  <c r="D63" i="6"/>
  <c r="E63" i="6"/>
  <c r="D4" i="6"/>
  <c r="E4" i="6"/>
  <c r="D33" i="6"/>
  <c r="E33" i="6"/>
  <c r="D64" i="6"/>
  <c r="E64" i="6"/>
  <c r="D5" i="6"/>
  <c r="E5" i="6"/>
  <c r="D34" i="6"/>
  <c r="E34" i="6"/>
  <c r="D65" i="6"/>
  <c r="E65" i="6"/>
  <c r="D6" i="6"/>
  <c r="E6" i="6"/>
  <c r="D35" i="6"/>
  <c r="E35" i="6"/>
  <c r="D66" i="6"/>
  <c r="E66" i="6"/>
  <c r="D96" i="6"/>
  <c r="E96" i="6"/>
  <c r="D7" i="6"/>
  <c r="E7" i="6"/>
  <c r="D36" i="6"/>
  <c r="E36" i="6"/>
  <c r="D67" i="6"/>
  <c r="E67" i="6"/>
  <c r="D37" i="6"/>
  <c r="E37" i="6"/>
  <c r="D68" i="6"/>
  <c r="E68" i="6"/>
  <c r="D8" i="6"/>
  <c r="E8" i="6"/>
  <c r="D38" i="6"/>
  <c r="E38" i="6"/>
  <c r="D69" i="6"/>
  <c r="E69" i="6"/>
  <c r="D9" i="6"/>
  <c r="E9" i="6"/>
  <c r="D39" i="6"/>
  <c r="E39" i="6"/>
  <c r="D70" i="6"/>
  <c r="E70" i="6"/>
  <c r="D10" i="6"/>
  <c r="E10" i="6"/>
  <c r="D40" i="6"/>
  <c r="E40" i="6"/>
  <c r="D71" i="6"/>
  <c r="E71" i="6"/>
  <c r="D97" i="6"/>
  <c r="E97" i="6"/>
  <c r="D108" i="6"/>
  <c r="E108" i="6"/>
  <c r="D11" i="6"/>
  <c r="E11" i="6"/>
  <c r="D42" i="6"/>
  <c r="E42" i="6"/>
  <c r="D72" i="6"/>
  <c r="E72" i="6"/>
  <c r="D98" i="6"/>
  <c r="E98" i="6"/>
  <c r="D12" i="6"/>
  <c r="E12" i="6"/>
  <c r="D43" i="6"/>
  <c r="E43" i="6"/>
  <c r="D73" i="6"/>
  <c r="E73" i="6"/>
  <c r="D99" i="6"/>
  <c r="E99" i="6"/>
  <c r="D109" i="6"/>
  <c r="E109" i="6"/>
  <c r="D13" i="6"/>
  <c r="E13" i="6"/>
  <c r="D44" i="6"/>
  <c r="E44" i="6"/>
  <c r="D74" i="6"/>
  <c r="E74" i="6"/>
  <c r="D14" i="6"/>
  <c r="E14" i="6"/>
  <c r="D45" i="6"/>
  <c r="E45" i="6"/>
  <c r="D75" i="6"/>
  <c r="E75" i="6"/>
  <c r="D15" i="6"/>
  <c r="E15" i="6"/>
  <c r="D46" i="6"/>
  <c r="E46" i="6"/>
  <c r="D76" i="6"/>
  <c r="E76" i="6"/>
  <c r="D16" i="6"/>
  <c r="E16" i="6"/>
  <c r="D47" i="6"/>
  <c r="E47" i="6"/>
  <c r="D77" i="6"/>
  <c r="E77" i="6"/>
  <c r="D17" i="6"/>
  <c r="E17" i="6"/>
  <c r="D48" i="6"/>
  <c r="E48" i="6"/>
  <c r="D78" i="6"/>
  <c r="E78" i="6"/>
  <c r="D100" i="6"/>
  <c r="E100" i="6"/>
  <c r="D110" i="6"/>
  <c r="E110" i="6"/>
  <c r="D18" i="6"/>
  <c r="E18" i="6"/>
  <c r="D49" i="6"/>
  <c r="E49" i="6"/>
  <c r="D79" i="6"/>
  <c r="E79" i="6"/>
  <c r="D101" i="6"/>
  <c r="E101" i="6"/>
  <c r="D19" i="6"/>
  <c r="E19" i="6"/>
  <c r="D50" i="6"/>
  <c r="E50" i="6"/>
  <c r="D80" i="6"/>
  <c r="E80" i="6"/>
  <c r="D102" i="6"/>
  <c r="E102" i="6"/>
  <c r="D20" i="6"/>
  <c r="E20" i="6"/>
  <c r="D51" i="6"/>
  <c r="E51" i="6"/>
  <c r="D81" i="6"/>
  <c r="E81" i="6"/>
  <c r="D103" i="6"/>
  <c r="E103" i="6"/>
  <c r="D111" i="6"/>
  <c r="E111" i="6"/>
  <c r="D21" i="6"/>
  <c r="E21" i="6"/>
  <c r="D52" i="6"/>
  <c r="E52" i="6"/>
  <c r="D82" i="6"/>
  <c r="E82" i="6"/>
  <c r="D83" i="6"/>
  <c r="E83" i="6"/>
  <c r="D84" i="6"/>
  <c r="E84" i="6"/>
  <c r="D23" i="6"/>
  <c r="E23" i="6"/>
  <c r="D53" i="6"/>
  <c r="E53" i="6"/>
  <c r="D85" i="6"/>
  <c r="E85" i="6"/>
  <c r="D104" i="6"/>
  <c r="E104" i="6"/>
  <c r="D112" i="6"/>
  <c r="E112" i="6"/>
  <c r="D24" i="6"/>
  <c r="E24" i="6"/>
  <c r="D54" i="6"/>
  <c r="E54" i="6"/>
  <c r="D86" i="6"/>
  <c r="E86" i="6"/>
  <c r="D55" i="6"/>
  <c r="E55" i="6"/>
  <c r="D87" i="6"/>
  <c r="E87" i="6"/>
  <c r="D88" i="6"/>
  <c r="E88" i="6"/>
  <c r="D25" i="6"/>
  <c r="E25" i="6"/>
  <c r="D56" i="6"/>
  <c r="E56" i="6"/>
  <c r="D89" i="6"/>
  <c r="E89" i="6"/>
  <c r="D26" i="6"/>
  <c r="E26" i="6"/>
  <c r="D57" i="6"/>
  <c r="E57" i="6"/>
  <c r="D90" i="6"/>
  <c r="E90" i="6"/>
  <c r="D105" i="6"/>
  <c r="E105" i="6"/>
  <c r="D58" i="6"/>
  <c r="E58" i="6"/>
  <c r="D91" i="6"/>
  <c r="E91" i="6"/>
  <c r="D27" i="6"/>
  <c r="E27" i="6"/>
  <c r="D59" i="6"/>
  <c r="E59" i="6"/>
  <c r="D92" i="6"/>
  <c r="E92" i="6"/>
  <c r="D28" i="6"/>
  <c r="E28" i="6"/>
  <c r="D60" i="6"/>
  <c r="E60" i="6"/>
  <c r="D93" i="6"/>
  <c r="E93" i="6"/>
  <c r="D106" i="6"/>
  <c r="E106" i="6"/>
  <c r="D29" i="6"/>
  <c r="E29" i="6"/>
  <c r="D61" i="6"/>
  <c r="E61" i="6"/>
  <c r="D94" i="6"/>
  <c r="E94" i="6"/>
  <c r="D107" i="6"/>
  <c r="E107" i="6"/>
  <c r="E2" i="6"/>
  <c r="D2" i="6"/>
  <c r="S42" i="5"/>
  <c r="T42" i="5"/>
  <c r="S43" i="5"/>
  <c r="T43" i="5"/>
  <c r="S45" i="5"/>
  <c r="T45" i="5"/>
  <c r="S46" i="5"/>
  <c r="T46" i="5"/>
  <c r="S47" i="5"/>
  <c r="T47" i="5"/>
  <c r="S48" i="5"/>
  <c r="T48" i="5"/>
  <c r="S49" i="5"/>
  <c r="T49" i="5"/>
  <c r="S50" i="5"/>
  <c r="T50" i="5"/>
  <c r="S51" i="5"/>
  <c r="T51" i="5"/>
  <c r="S52" i="5"/>
  <c r="T52" i="5"/>
  <c r="S53" i="5"/>
  <c r="T53" i="5"/>
  <c r="S54" i="5"/>
  <c r="T54" i="5"/>
  <c r="S55" i="5"/>
  <c r="T55" i="5"/>
  <c r="S56" i="5"/>
  <c r="T56" i="5"/>
  <c r="S57" i="5"/>
  <c r="T57" i="5"/>
  <c r="S58" i="5"/>
  <c r="T58" i="5"/>
  <c r="S59" i="5"/>
  <c r="T59" i="5"/>
  <c r="S60" i="5"/>
  <c r="T60" i="5"/>
  <c r="S61" i="5"/>
  <c r="T61" i="5"/>
  <c r="S62" i="5"/>
  <c r="T62" i="5"/>
  <c r="S63" i="5"/>
  <c r="T63" i="5"/>
  <c r="S64" i="5"/>
  <c r="T64" i="5"/>
  <c r="S65" i="5"/>
  <c r="T65" i="5"/>
  <c r="S66" i="5"/>
  <c r="T66" i="5"/>
  <c r="S67" i="5"/>
  <c r="T67" i="5"/>
  <c r="S68" i="5"/>
  <c r="T68" i="5"/>
  <c r="S69" i="5"/>
  <c r="T69" i="5"/>
  <c r="S70" i="5"/>
  <c r="T70" i="5"/>
  <c r="S71" i="5"/>
  <c r="T71" i="5"/>
  <c r="S72" i="5"/>
  <c r="T72" i="5"/>
  <c r="S73" i="5"/>
  <c r="T73" i="5"/>
  <c r="S74" i="5"/>
  <c r="T74" i="5"/>
  <c r="S75" i="5"/>
  <c r="T7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6" i="5"/>
  <c r="T27" i="5"/>
  <c r="T28" i="5"/>
  <c r="T29" i="5"/>
  <c r="T30" i="5"/>
  <c r="T31" i="5"/>
  <c r="T32" i="5"/>
  <c r="T33" i="5"/>
  <c r="T35" i="5"/>
  <c r="T36" i="5"/>
  <c r="T37" i="5"/>
  <c r="T38" i="5"/>
  <c r="T39" i="5"/>
  <c r="T40" i="5"/>
  <c r="T41" i="5"/>
  <c r="T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6" i="5"/>
  <c r="S27" i="5"/>
  <c r="S28" i="5"/>
  <c r="S29" i="5"/>
  <c r="S30" i="5"/>
  <c r="S31" i="5"/>
  <c r="S32" i="5"/>
  <c r="S33" i="5"/>
  <c r="S35" i="5"/>
  <c r="S36" i="5"/>
  <c r="S37" i="5"/>
  <c r="S38" i="5"/>
  <c r="S39" i="5"/>
  <c r="S40" i="5"/>
  <c r="S41" i="5"/>
  <c r="S5" i="5"/>
  <c r="U111" i="5" l="1"/>
  <c r="U105" i="5"/>
  <c r="U99" i="5"/>
  <c r="U93" i="5"/>
  <c r="U87" i="5"/>
  <c r="U81" i="5"/>
  <c r="U110" i="5"/>
  <c r="U98" i="5"/>
  <c r="U86" i="5"/>
  <c r="U104" i="5"/>
  <c r="U92" i="5"/>
  <c r="U80" i="5"/>
  <c r="U112" i="5"/>
  <c r="U106" i="5"/>
  <c r="U100" i="5"/>
  <c r="U94" i="5"/>
  <c r="U88" i="5"/>
  <c r="U82" i="5"/>
  <c r="U76" i="5"/>
  <c r="U85" i="5"/>
  <c r="U113" i="5"/>
  <c r="U107" i="5"/>
  <c r="U101" i="5"/>
  <c r="U95" i="5"/>
  <c r="U89" i="5"/>
  <c r="U83" i="5"/>
  <c r="U77" i="5"/>
  <c r="U115" i="5"/>
  <c r="U97" i="5"/>
  <c r="U79" i="5"/>
  <c r="U109" i="5"/>
  <c r="U103" i="5"/>
  <c r="U91" i="5"/>
  <c r="U114" i="5"/>
  <c r="U108" i="5"/>
  <c r="U102" i="5"/>
  <c r="U96" i="5"/>
  <c r="U90" i="5"/>
  <c r="U84" i="5"/>
  <c r="U78" i="5"/>
  <c r="U38" i="5"/>
  <c r="U19" i="5"/>
  <c r="U30" i="5"/>
  <c r="U72" i="5"/>
  <c r="U66" i="5"/>
  <c r="U60" i="5"/>
  <c r="U54" i="5"/>
  <c r="U48" i="5"/>
  <c r="U37" i="5"/>
  <c r="U23" i="5"/>
  <c r="U17" i="5"/>
  <c r="U11" i="5"/>
  <c r="U27" i="5"/>
  <c r="U45" i="5"/>
  <c r="U40" i="5"/>
  <c r="U14" i="5"/>
  <c r="U33" i="5"/>
  <c r="U20" i="5"/>
  <c r="U8" i="5"/>
  <c r="U39" i="5"/>
  <c r="U26" i="5"/>
  <c r="U7" i="5"/>
  <c r="U18" i="5"/>
  <c r="U32" i="5"/>
  <c r="U31" i="5"/>
  <c r="U24" i="5"/>
  <c r="U12" i="5"/>
  <c r="U6" i="5"/>
  <c r="U13" i="5"/>
  <c r="U75" i="5"/>
  <c r="U69" i="5"/>
  <c r="U5" i="5"/>
  <c r="U16" i="5"/>
  <c r="U74" i="5"/>
  <c r="U59" i="5"/>
  <c r="U50" i="5"/>
  <c r="U35" i="5"/>
  <c r="U15" i="5"/>
  <c r="U73" i="5"/>
  <c r="U70" i="5"/>
  <c r="U67" i="5"/>
  <c r="U64" i="5"/>
  <c r="U61" i="5"/>
  <c r="U58" i="5"/>
  <c r="U55" i="5"/>
  <c r="U52" i="5"/>
  <c r="U49" i="5"/>
  <c r="U46" i="5"/>
  <c r="U42" i="5"/>
  <c r="U29" i="5"/>
  <c r="U71" i="5"/>
  <c r="U62" i="5"/>
  <c r="U53" i="5"/>
  <c r="U41" i="5"/>
  <c r="U21" i="5"/>
  <c r="U63" i="5"/>
  <c r="U57" i="5"/>
  <c r="U51" i="5"/>
  <c r="U36" i="5"/>
  <c r="U22" i="5"/>
  <c r="U68" i="5"/>
  <c r="U56" i="5"/>
  <c r="U47" i="5"/>
  <c r="U28" i="5"/>
  <c r="U9" i="5"/>
  <c r="U10" i="5"/>
  <c r="U65" i="5"/>
  <c r="U43" i="5"/>
</calcChain>
</file>

<file path=xl/sharedStrings.xml><?xml version="1.0" encoding="utf-8"?>
<sst xmlns="http://schemas.openxmlformats.org/spreadsheetml/2006/main" count="867" uniqueCount="439">
  <si>
    <t>##</t>
  </si>
  <si>
    <t>id</t>
    <phoneticPr fontId="0" type="noConversion"/>
  </si>
  <si>
    <t>#comment</t>
  </si>
  <si>
    <t>#type</t>
  </si>
  <si>
    <t>uint32</t>
  </si>
  <si>
    <t>#export</t>
  </si>
  <si>
    <t>sheet</t>
  </si>
  <si>
    <t>key</t>
  </si>
  <si>
    <t>type</t>
  </si>
  <si>
    <t>export_mode</t>
  </si>
  <si>
    <t>desc</t>
  </si>
  <si>
    <t>活动ID</t>
  </si>
  <si>
    <t>角色ID</t>
  </si>
  <si>
    <t>体力值</t>
  </si>
  <si>
    <t>str</t>
  </si>
  <si>
    <t>力量值</t>
  </si>
  <si>
    <t>spd</t>
  </si>
  <si>
    <t>速度值</t>
  </si>
  <si>
    <t>luc</t>
  </si>
  <si>
    <t>运气值</t>
  </si>
  <si>
    <t>effect</t>
  </si>
  <si>
    <t>特性</t>
  </si>
  <si>
    <t>特性ID</t>
  </si>
  <si>
    <t>特性类型</t>
  </si>
  <si>
    <t>args[0]</t>
  </si>
  <si>
    <t>args[1]</t>
  </si>
  <si>
    <t>args[2]</t>
  </si>
  <si>
    <t>参数</t>
  </si>
  <si>
    <t>效果</t>
  </si>
  <si>
    <t>x</t>
  </si>
  <si>
    <t>y</t>
  </si>
  <si>
    <t>成功解决委托后，有x%概率获得y物品z个</t>
  </si>
  <si>
    <t>z</t>
  </si>
  <si>
    <t>委托ID</t>
  </si>
  <si>
    <t>是否在雇佣池中</t>
  </si>
  <si>
    <t>unlock_days</t>
  </si>
  <si>
    <t>需求力量</t>
  </si>
  <si>
    <t>需求速度</t>
  </si>
  <si>
    <t>需求运气</t>
  </si>
  <si>
    <t>character_id</t>
  </si>
  <si>
    <t>id</t>
  </si>
  <si>
    <t>角色池</t>
  </si>
  <si>
    <t>character_pool_id</t>
  </si>
  <si>
    <t>角色池id</t>
  </si>
  <si>
    <t>委托池id</t>
  </si>
  <si>
    <t>quest_pool_id</t>
  </si>
  <si>
    <t>qc_info</t>
  </si>
  <si>
    <t>qc_character_pool</t>
  </si>
  <si>
    <t>qc_effect</t>
  </si>
  <si>
    <t>qc_quest_pool</t>
  </si>
  <si>
    <t>unique</t>
  </si>
  <si>
    <t>group</t>
  </si>
  <si>
    <t>任务小队活动信息</t>
  </si>
  <si>
    <t>任务小队角色池</t>
  </si>
  <si>
    <t>任务小队角色特性</t>
  </si>
  <si>
    <t>任务小队任务池</t>
  </si>
  <si>
    <t>hiring_price</t>
  </si>
  <si>
    <t>show_in_market</t>
  </si>
  <si>
    <t>雇佣价格</t>
  </si>
  <si>
    <t>string</t>
  </si>
  <si>
    <t>character_charging_price</t>
  </si>
  <si>
    <t>角色回满体力价格</t>
  </si>
  <si>
    <t>consume</t>
    <phoneticPr fontId="3" type="noConversion"/>
  </si>
  <si>
    <t>sta</t>
    <phoneticPr fontId="3" type="noConversion"/>
  </si>
  <si>
    <t>消耗体力值</t>
    <phoneticPr fontId="3" type="noConversion"/>
  </si>
  <si>
    <t>uint32</t>
    <phoneticPr fontId="3" type="noConversion"/>
  </si>
  <si>
    <t>great_success_ceo</t>
    <phoneticPr fontId="3" type="noConversion"/>
  </si>
  <si>
    <t>great_success_effect_ceo</t>
    <phoneticPr fontId="3" type="noConversion"/>
  </si>
  <si>
    <t>大成功需要的属性值系数，百分数</t>
    <phoneticPr fontId="3" type="noConversion"/>
  </si>
  <si>
    <t>大成功体力减免系数，百分数</t>
    <phoneticPr fontId="3" type="noConversion"/>
  </si>
  <si>
    <t>解锁日，0表示活动开始日</t>
    <phoneticPr fontId="3" type="noConversion"/>
  </si>
  <si>
    <t>int32</t>
    <phoneticPr fontId="3" type="noConversion"/>
  </si>
  <si>
    <t>开发先用铜币</t>
    <phoneticPr fontId="3" type="noConversion"/>
  </si>
  <si>
    <t>一姬</t>
  </si>
  <si>
    <t>初始</t>
  </si>
  <si>
    <t>坂田银时</t>
  </si>
  <si>
    <t>三名成员共同接受委托时，所有成员的数值+10%</t>
  </si>
  <si>
    <t>有</t>
  </si>
  <si>
    <t>桂小太郎</t>
  </si>
  <si>
    <t>成功解决委托后，有10%的概率获得鱼干x1</t>
  </si>
  <si>
    <t>特殊委托</t>
  </si>
  <si>
    <t>高杉晋助</t>
  </si>
  <si>
    <t>单独参与委托时，数值+50%</t>
  </si>
  <si>
    <t>坂本辰马</t>
  </si>
  <si>
    <t>委托需要的数值总和超过150时，30%概率变为大成功</t>
  </si>
  <si>
    <t>二阶堂美树</t>
  </si>
  <si>
    <t>完成委托时，+20%概率变为大成功</t>
  </si>
  <si>
    <t>汪次郎</t>
  </si>
  <si>
    <t>辉夜姬</t>
  </si>
  <si>
    <t>相原舞</t>
  </si>
  <si>
    <t>委托中有员工力量&gt;50时，所有成员的速度+20%</t>
  </si>
  <si>
    <t>抚子</t>
  </si>
  <si>
    <t>委托中有员工运气&gt;50时，所有成员的力量+20%</t>
  </si>
  <si>
    <t>莎拉</t>
  </si>
  <si>
    <t>委托中有员工速度&gt;50时，所有成员的运气+20%</t>
  </si>
  <si>
    <t>藤本绮罗</t>
  </si>
  <si>
    <t>委托中有2名员工力量&gt;50时，自己不消耗体力</t>
  </si>
  <si>
    <t>约瑟夫</t>
  </si>
  <si>
    <t>委托中有2名员工运气&gt;50时，有20%的概率获得鱼干x1</t>
  </si>
  <si>
    <t>石原碓海</t>
  </si>
  <si>
    <t>跟如月莲一起参加委托时，数值+20%</t>
  </si>
  <si>
    <t>如月莲</t>
  </si>
  <si>
    <t>跟三三一起完成委托时，不消耗体力，三三消耗体力+1</t>
  </si>
  <si>
    <t>花语青</t>
  </si>
  <si>
    <t>跟花语白一起参加委托时，数值+20%</t>
  </si>
  <si>
    <t>花语白</t>
  </si>
  <si>
    <t>跟花语青一起参加委托时，数值+20%</t>
  </si>
  <si>
    <t>三上千织</t>
  </si>
  <si>
    <t>跟九条璃雨一起参加委托时，数值+20%</t>
  </si>
  <si>
    <t>九条璃雨</t>
  </si>
  <si>
    <t>跟三上千织一起参加委托时，数值+20%</t>
  </si>
  <si>
    <t>凉宫杏树</t>
  </si>
  <si>
    <t>跟扫地机器人一起完成委托时，不消耗体力，扫地机器人消耗体力+1</t>
  </si>
  <si>
    <t>艾丽莎</t>
  </si>
  <si>
    <t>跟呆呆一起完成委托时，不消耗体力，呆呆消耗体力+1</t>
  </si>
  <si>
    <t>卡维</t>
  </si>
  <si>
    <t>委托的大成功数值要求-20%</t>
  </si>
  <si>
    <t>七海礼奈</t>
  </si>
  <si>
    <t>参与委托的其他员工数值+20%</t>
  </si>
  <si>
    <t>森川绫子</t>
  </si>
  <si>
    <t>仅两人参与委托时，另一名员工数值+50%</t>
  </si>
  <si>
    <t>福姬</t>
  </si>
  <si>
    <t>参与委托的其他员工，力量数值+50%</t>
  </si>
  <si>
    <t>琳琅</t>
  </si>
  <si>
    <t>姬川响</t>
  </si>
  <si>
    <t>参与委托的其他员工，速度数值+50%</t>
  </si>
  <si>
    <t>A-37</t>
  </si>
  <si>
    <t>八木唯</t>
  </si>
  <si>
    <t>参与委托的其他员工，运气数值+50%</t>
  </si>
  <si>
    <t>西园寺一羽</t>
  </si>
  <si>
    <t>参与委托的所有员工，数值+30%</t>
  </si>
  <si>
    <t>北原莉莉</t>
  </si>
  <si>
    <t>参与委托的所有员工，20%概率不消耗体力</t>
  </si>
  <si>
    <t>南枫花</t>
  </si>
  <si>
    <t>参与委托的所有员工，体力为1时也可以完成委托</t>
  </si>
  <si>
    <t>东城玄音</t>
  </si>
  <si>
    <t>委托的成功/大成功数值要求-20%</t>
  </si>
  <si>
    <t>item_id</t>
    <phoneticPr fontId="3" type="noConversion"/>
  </si>
  <si>
    <t>雀魂雀士角色ID</t>
    <phoneticPr fontId="3" type="noConversion"/>
  </si>
  <si>
    <t>name</t>
    <phoneticPr fontId="3" type="noConversion"/>
  </si>
  <si>
    <t>skill</t>
    <phoneticPr fontId="3" type="noConversion"/>
  </si>
  <si>
    <t>特性描述文str/event</t>
    <phoneticPr fontId="3" type="noConversion"/>
  </si>
  <si>
    <t>员工名str/event</t>
    <phoneticPr fontId="3" type="noConversion"/>
  </si>
  <si>
    <t>泽尼娅</t>
    <phoneticPr fontId="3" type="noConversion"/>
  </si>
  <si>
    <t>display_change</t>
    <phoneticPr fontId="3" type="noConversion"/>
  </si>
  <si>
    <t>前端变动展示</t>
    <phoneticPr fontId="3" type="noConversion"/>
  </si>
  <si>
    <t>三三（如月莲的猫）</t>
  </si>
  <si>
    <t>扫地机器人A</t>
  </si>
  <si>
    <t>扫地机器人B</t>
  </si>
  <si>
    <t>呆呆（艾丽莎的羊）</t>
  </si>
  <si>
    <t>眼镜</t>
  </si>
  <si>
    <t>折扇</t>
  </si>
  <si>
    <t>娇小一姬粘土人</t>
  </si>
  <si>
    <t>烧鸟串</t>
  </si>
  <si>
    <t>咸鱼</t>
  </si>
  <si>
    <t>约瑟夫的老鹰</t>
  </si>
  <si>
    <t>青少年-男</t>
  </si>
  <si>
    <t>青少年-女</t>
  </si>
  <si>
    <t>成年-男</t>
  </si>
  <si>
    <t>成年-女</t>
  </si>
  <si>
    <t>老年-男</t>
  </si>
  <si>
    <t>老年-女</t>
  </si>
  <si>
    <t>rewards</t>
    <phoneticPr fontId="3" type="noConversion"/>
  </si>
  <si>
    <t>赠送qc_character的id</t>
    <phoneticPr fontId="3" type="noConversion"/>
  </si>
  <si>
    <t>初始赠送员工</t>
    <phoneticPr fontId="3" type="noConversion"/>
  </si>
  <si>
    <t>init_character_id[0]</t>
    <phoneticPr fontId="3" type="noConversion"/>
  </si>
  <si>
    <t>init_character_id[1]</t>
    <phoneticPr fontId="3" type="noConversion"/>
  </si>
  <si>
    <t>总和</t>
    <phoneticPr fontId="3" type="noConversion"/>
  </si>
  <si>
    <r>
      <rPr>
        <sz val="11"/>
        <color rgb="FF172B4D"/>
        <rFont val="宋体"/>
        <family val="3"/>
        <charset val="134"/>
      </rPr>
      <t>完成委托时，</t>
    </r>
    <r>
      <rPr>
        <sz val="11"/>
        <color rgb="FF172B4D"/>
        <rFont val="Segoe UI"/>
        <family val="2"/>
      </rPr>
      <t>+20%</t>
    </r>
    <r>
      <rPr>
        <sz val="11"/>
        <color rgb="FF172B4D"/>
        <rFont val="宋体"/>
        <family val="3"/>
        <charset val="134"/>
      </rPr>
      <t>概率变为大成功</t>
    </r>
    <phoneticPr fontId="3" type="noConversion"/>
  </si>
  <si>
    <r>
      <rPr>
        <sz val="11"/>
        <color rgb="FF172B4D"/>
        <rFont val="宋体"/>
        <family val="3"/>
        <charset val="134"/>
      </rPr>
      <t>完成委托时，+</t>
    </r>
    <r>
      <rPr>
        <sz val="11"/>
        <color rgb="FF172B4D"/>
        <rFont val="Segoe UI"/>
        <family val="2"/>
      </rPr>
      <t>10%</t>
    </r>
    <r>
      <rPr>
        <sz val="11"/>
        <color rgb="FF172B4D"/>
        <rFont val="宋体"/>
        <family val="3"/>
        <charset val="134"/>
      </rPr>
      <t>概率变为大成功</t>
    </r>
    <phoneticPr fontId="3" type="noConversion"/>
  </si>
  <si>
    <t>完成委托时，+x%概率变为大成功</t>
    <phoneticPr fontId="3" type="noConversion"/>
  </si>
  <si>
    <t>委托需要的数值总和超过x时，+y%概率变为大成功</t>
    <phoneticPr fontId="3" type="noConversion"/>
  </si>
  <si>
    <t>args[3]</t>
    <phoneticPr fontId="3" type="noConversion"/>
  </si>
  <si>
    <t>x</t>
    <phoneticPr fontId="3" type="noConversion"/>
  </si>
  <si>
    <t>y</t>
    <phoneticPr fontId="3" type="noConversion"/>
  </si>
  <si>
    <t>z</t>
    <phoneticPr fontId="3" type="noConversion"/>
  </si>
  <si>
    <t>n</t>
    <phoneticPr fontId="3" type="noConversion"/>
  </si>
  <si>
    <r>
      <t>委托中有员工x</t>
    </r>
    <r>
      <rPr>
        <b/>
        <sz val="11"/>
        <color rgb="FFFF0000"/>
        <rFont val="等线"/>
        <family val="3"/>
        <charset val="134"/>
        <scheme val="minor"/>
      </rPr>
      <t>[1力量 2速度 3运气]</t>
    </r>
    <r>
      <rPr>
        <sz val="11"/>
        <color theme="1"/>
        <rFont val="等线"/>
        <family val="2"/>
        <scheme val="minor"/>
      </rPr>
      <t>&gt;y时，所有成员的</t>
    </r>
    <r>
      <rPr>
        <b/>
        <sz val="11"/>
        <color rgb="FFFF0000"/>
        <rFont val="等线"/>
        <family val="3"/>
        <charset val="134"/>
        <scheme val="minor"/>
      </rPr>
      <t>[同上，三围]</t>
    </r>
    <r>
      <rPr>
        <sz val="11"/>
        <color theme="1"/>
        <rFont val="等线"/>
        <family val="2"/>
        <scheme val="minor"/>
      </rPr>
      <t>+z%</t>
    </r>
  </si>
  <si>
    <t>委托中有x名员工y【三围】&gt;z时，自己不消耗体力</t>
    <phoneticPr fontId="3" type="noConversion"/>
  </si>
  <si>
    <t>委托中有x名员工y【三围】&gt;z时，n%概率获得p物品q个</t>
    <phoneticPr fontId="3" type="noConversion"/>
  </si>
  <si>
    <t>args[4]</t>
    <phoneticPr fontId="3" type="noConversion"/>
  </si>
  <si>
    <t>args[5]</t>
    <phoneticPr fontId="3" type="noConversion"/>
  </si>
  <si>
    <t>p</t>
    <phoneticPr fontId="3" type="noConversion"/>
  </si>
  <si>
    <t>q</t>
    <phoneticPr fontId="3" type="noConversion"/>
  </si>
  <si>
    <t>和x[活动角色id]一起参加委托时，所有数值+y%</t>
    <phoneticPr fontId="3" type="noConversion"/>
  </si>
  <si>
    <t>和x[活动角色id]一起参加委托时，不消耗体力，x的消耗体力+y</t>
    <phoneticPr fontId="3" type="noConversion"/>
  </si>
  <si>
    <t>和x或y[活动角色id]一起参加委托时，不消耗体力，x或y的消耗体力+z</t>
    <phoneticPr fontId="3" type="noConversion"/>
  </si>
  <si>
    <t>委托的大成功数值要求变动x%</t>
    <phoneticPr fontId="3" type="noConversion"/>
  </si>
  <si>
    <t>参与委托的其他员工数值变动x%</t>
    <phoneticPr fontId="3" type="noConversion"/>
  </si>
  <si>
    <t>x名成员接受委托时，其他员工数值+y%</t>
    <phoneticPr fontId="3" type="noConversion"/>
  </si>
  <si>
    <t>其他员工x【三围】数值+y%</t>
    <phoneticPr fontId="3" type="noConversion"/>
  </si>
  <si>
    <t>包含自己，所有员工全数值+y%</t>
    <phoneticPr fontId="3" type="noConversion"/>
  </si>
  <si>
    <t>包含自己，所有员工+x%概率不消耗体力</t>
    <phoneticPr fontId="3" type="noConversion"/>
  </si>
  <si>
    <t>委托的成功/大成功数值要求变动x%</t>
    <phoneticPr fontId="3" type="noConversion"/>
  </si>
  <si>
    <t>包含自己，体力为1时也能完成委托（为0不可）</t>
    <phoneticPr fontId="3" type="noConversion"/>
  </si>
  <si>
    <t>client</t>
    <phoneticPr fontId="3" type="noConversion"/>
  </si>
  <si>
    <t>委托人种类</t>
    <phoneticPr fontId="3" type="noConversion"/>
  </si>
  <si>
    <t>character_id</t>
    <phoneticPr fontId="3" type="noConversion"/>
  </si>
  <si>
    <t>雀魂雀士id</t>
    <phoneticPr fontId="3" type="noConversion"/>
  </si>
  <si>
    <t>雀魂雀士</t>
    <phoneticPr fontId="3" type="noConversion"/>
  </si>
  <si>
    <t>青少年-男</t>
    <phoneticPr fontId="3" type="noConversion"/>
  </si>
  <si>
    <t>青少年-女</t>
    <phoneticPr fontId="3" type="noConversion"/>
  </si>
  <si>
    <t>成年-男</t>
    <phoneticPr fontId="3" type="noConversion"/>
  </si>
  <si>
    <t>成年-女</t>
    <phoneticPr fontId="3" type="noConversion"/>
  </si>
  <si>
    <t>老年-男</t>
    <phoneticPr fontId="3" type="noConversion"/>
  </si>
  <si>
    <t>老年-女</t>
    <phoneticPr fontId="3" type="noConversion"/>
  </si>
  <si>
    <t>client_name</t>
    <phoneticPr fontId="3" type="noConversion"/>
  </si>
  <si>
    <t>quest_id</t>
    <phoneticPr fontId="3" type="noConversion"/>
  </si>
  <si>
    <t>0为雀魂雀士
其他为npc，读取委托人名</t>
    <phoneticPr fontId="3" type="noConversion"/>
  </si>
  <si>
    <t>委托人名str/event</t>
    <phoneticPr fontId="3" type="noConversion"/>
  </si>
  <si>
    <t>quest_desc</t>
    <phoneticPr fontId="3" type="noConversion"/>
  </si>
  <si>
    <t>委托描述文str/event</t>
    <phoneticPr fontId="3" type="noConversion"/>
  </si>
  <si>
    <t>type</t>
    <phoneticPr fontId="3" type="noConversion"/>
  </si>
  <si>
    <t>委托种类</t>
    <phoneticPr fontId="3" type="noConversion"/>
  </si>
  <si>
    <t>普通委托</t>
    <phoneticPr fontId="3" type="noConversion"/>
  </si>
  <si>
    <t>高亮委托</t>
    <phoneticPr fontId="3" type="noConversion"/>
  </si>
  <si>
    <t>npc_code</t>
    <phoneticPr fontId="3" type="noConversion"/>
  </si>
  <si>
    <t>npc素材编号0001-0016</t>
    <phoneticPr fontId="3" type="noConversion"/>
  </si>
  <si>
    <t>0007</t>
    <phoneticPr fontId="3" type="noConversion"/>
  </si>
  <si>
    <t>0008</t>
    <phoneticPr fontId="3" type="noConversion"/>
  </si>
  <si>
    <t>0009</t>
    <phoneticPr fontId="3" type="noConversion"/>
  </si>
  <si>
    <t>0010</t>
    <phoneticPr fontId="3" type="noConversion"/>
  </si>
  <si>
    <t>0011</t>
    <phoneticPr fontId="3" type="noConversion"/>
  </si>
  <si>
    <t>0012</t>
    <phoneticPr fontId="3" type="noConversion"/>
  </si>
  <si>
    <t>0013</t>
    <phoneticPr fontId="3" type="noConversion"/>
  </si>
  <si>
    <t>0014</t>
    <phoneticPr fontId="3" type="noConversion"/>
  </si>
  <si>
    <t>0015</t>
    <phoneticPr fontId="3" type="noConversion"/>
  </si>
  <si>
    <t>0016</t>
    <phoneticPr fontId="3" type="noConversion"/>
  </si>
  <si>
    <t>0001</t>
    <phoneticPr fontId="3" type="noConversion"/>
  </si>
  <si>
    <t>0002</t>
    <phoneticPr fontId="3" type="noConversion"/>
  </si>
  <si>
    <t>0003</t>
    <phoneticPr fontId="3" type="noConversion"/>
  </si>
  <si>
    <t>0004</t>
    <phoneticPr fontId="3" type="noConversion"/>
  </si>
  <si>
    <t>0005</t>
    <phoneticPr fontId="3" type="noConversion"/>
  </si>
  <si>
    <t>0006</t>
    <phoneticPr fontId="3" type="noConversion"/>
  </si>
  <si>
    <t>market_count</t>
    <phoneticPr fontId="3" type="noConversion"/>
  </si>
  <si>
    <t>人才中心角色数量</t>
    <phoneticPr fontId="3" type="noConversion"/>
  </si>
  <si>
    <t>refresh_market_price</t>
    <phoneticPr fontId="3" type="noConversion"/>
  </si>
  <si>
    <t>刷新商店价格</t>
    <phoneticPr fontId="3" type="noConversion"/>
  </si>
  <si>
    <t>30900095-1</t>
    <phoneticPr fontId="3" type="noConversion"/>
  </si>
  <si>
    <r>
      <rPr>
        <sz val="11"/>
        <rFont val="宋体"/>
        <family val="3"/>
        <charset val="134"/>
      </rPr>
      <t>完成委托时，</t>
    </r>
    <r>
      <rPr>
        <sz val="11"/>
        <rFont val="Segoe UI"/>
        <family val="2"/>
      </rPr>
      <t>+10%</t>
    </r>
    <r>
      <rPr>
        <sz val="11"/>
        <rFont val="宋体"/>
        <family val="3"/>
        <charset val="134"/>
      </rPr>
      <t>概率变为大成功</t>
    </r>
    <phoneticPr fontId="3" type="noConversion"/>
  </si>
  <si>
    <r>
      <rPr>
        <sz val="11"/>
        <rFont val="宋体"/>
        <family val="3"/>
        <charset val="134"/>
      </rPr>
      <t>委托中包含三名员工时，全体员工的各项数值</t>
    </r>
    <r>
      <rPr>
        <sz val="11"/>
        <rFont val="Segoe UI"/>
        <family val="2"/>
      </rPr>
      <t>+10%</t>
    </r>
    <phoneticPr fontId="3" type="noConversion"/>
  </si>
  <si>
    <t>完成委托时，+10%的概率获得鲷鱼烧x1</t>
  </si>
  <si>
    <r>
      <rPr>
        <sz val="11"/>
        <rFont val="宋体"/>
        <family val="3"/>
        <charset val="134"/>
      </rPr>
      <t>委托中仅包含一名员工时，各项数值</t>
    </r>
    <r>
      <rPr>
        <sz val="11"/>
        <rFont val="Segoe UI"/>
        <family val="2"/>
      </rPr>
      <t>+50%</t>
    </r>
    <phoneticPr fontId="3" type="noConversion"/>
  </si>
  <si>
    <r>
      <rPr>
        <sz val="11"/>
        <color rgb="FFFF0000"/>
        <rFont val="宋体"/>
        <family val="3"/>
        <charset val="134"/>
      </rPr>
      <t>委托中仅包含两名员工时，</t>
    </r>
    <r>
      <rPr>
        <sz val="11"/>
        <color rgb="FFFF0000"/>
        <rFont val="Segoe UI"/>
        <family val="2"/>
      </rPr>
      <t>30%</t>
    </r>
    <r>
      <rPr>
        <sz val="11"/>
        <color rgb="FFFF0000"/>
        <rFont val="宋体"/>
        <family val="3"/>
        <charset val="134"/>
      </rPr>
      <t>概率变为大成功</t>
    </r>
    <phoneticPr fontId="3" type="noConversion"/>
  </si>
  <si>
    <r>
      <rPr>
        <sz val="11"/>
        <color rgb="FFFF0000"/>
        <rFont val="宋体"/>
        <family val="3"/>
        <charset val="134"/>
      </rPr>
      <t>委托中包含无技能的员工时，所有成员的力量</t>
    </r>
    <r>
      <rPr>
        <sz val="11"/>
        <color rgb="FFFF0000"/>
        <rFont val="Segoe UI"/>
        <family val="2"/>
      </rPr>
      <t>+20%</t>
    </r>
    <phoneticPr fontId="3" type="noConversion"/>
  </si>
  <si>
    <t>委托中包含无技能的员工时，所有成员的运气+20%</t>
  </si>
  <si>
    <t>满足委托的大成功要求时，+20%的概率获得鲷鱼烧x1</t>
  </si>
  <si>
    <r>
      <rPr>
        <sz val="11"/>
        <color rgb="FF172B4D"/>
        <rFont val="宋体"/>
        <family val="3"/>
        <charset val="134"/>
      </rPr>
      <t>跟如月莲一起参加委托时，各项数值</t>
    </r>
    <r>
      <rPr>
        <sz val="11"/>
        <color rgb="FF172B4D"/>
        <rFont val="Segoe UI"/>
        <family val="2"/>
      </rPr>
      <t>+20%</t>
    </r>
    <phoneticPr fontId="3" type="noConversion"/>
  </si>
  <si>
    <r>
      <rPr>
        <sz val="11"/>
        <color rgb="FF172B4D"/>
        <rFont val="宋体"/>
        <family val="3"/>
        <charset val="134"/>
      </rPr>
      <t>跟三三一起完成委托时，自己不消耗体力，三三消耗体力</t>
    </r>
    <r>
      <rPr>
        <sz val="11"/>
        <color rgb="FF172B4D"/>
        <rFont val="Segoe UI"/>
        <family val="2"/>
      </rPr>
      <t>+1</t>
    </r>
    <phoneticPr fontId="3" type="noConversion"/>
  </si>
  <si>
    <r>
      <rPr>
        <sz val="11"/>
        <color rgb="FF172B4D"/>
        <rFont val="宋体"/>
        <family val="3"/>
        <charset val="134"/>
      </rPr>
      <t>跟花语白一起参加委托时，各项数值</t>
    </r>
    <r>
      <rPr>
        <sz val="11"/>
        <color rgb="FF172B4D"/>
        <rFont val="Segoe UI"/>
        <family val="2"/>
      </rPr>
      <t>+20%</t>
    </r>
    <phoneticPr fontId="3" type="noConversion"/>
  </si>
  <si>
    <r>
      <rPr>
        <sz val="11"/>
        <color rgb="FF172B4D"/>
        <rFont val="宋体"/>
        <family val="3"/>
        <charset val="134"/>
      </rPr>
      <t>跟花语青一起参加委托时，各项数值</t>
    </r>
    <r>
      <rPr>
        <sz val="11"/>
        <color rgb="FF172B4D"/>
        <rFont val="Segoe UI"/>
        <family val="2"/>
      </rPr>
      <t>+20%</t>
    </r>
    <phoneticPr fontId="3" type="noConversion"/>
  </si>
  <si>
    <r>
      <rPr>
        <sz val="11"/>
        <color rgb="FF172B4D"/>
        <rFont val="宋体"/>
        <family val="3"/>
        <charset val="134"/>
      </rPr>
      <t>跟九条璃雨一起参加委托时，各项数值</t>
    </r>
    <r>
      <rPr>
        <sz val="11"/>
        <color rgb="FF172B4D"/>
        <rFont val="Segoe UI"/>
        <family val="2"/>
      </rPr>
      <t>+20%</t>
    </r>
    <phoneticPr fontId="3" type="noConversion"/>
  </si>
  <si>
    <r>
      <rPr>
        <sz val="11"/>
        <color rgb="FF172B4D"/>
        <rFont val="宋体"/>
        <family val="3"/>
        <charset val="134"/>
      </rPr>
      <t>跟三上千织一起参加委托时，各项数值</t>
    </r>
    <r>
      <rPr>
        <sz val="11"/>
        <color rgb="FF172B4D"/>
        <rFont val="Segoe UI"/>
        <family val="2"/>
      </rPr>
      <t>+20%</t>
    </r>
    <phoneticPr fontId="3" type="noConversion"/>
  </si>
  <si>
    <r>
      <rPr>
        <sz val="11"/>
        <color rgb="FF172B4D"/>
        <rFont val="宋体"/>
        <family val="3"/>
        <charset val="134"/>
      </rPr>
      <t>跟呆呆一起完成委托时，自己不消耗体力，呆呆消耗体力</t>
    </r>
    <r>
      <rPr>
        <sz val="11"/>
        <color rgb="FF172B4D"/>
        <rFont val="Segoe UI"/>
        <family val="2"/>
      </rPr>
      <t>+1</t>
    </r>
    <phoneticPr fontId="3" type="noConversion"/>
  </si>
  <si>
    <r>
      <rPr>
        <sz val="11"/>
        <color rgb="FF172B4D"/>
        <rFont val="宋体"/>
        <family val="3"/>
        <charset val="134"/>
      </rPr>
      <t>参加委托的其他员工各项数值</t>
    </r>
    <r>
      <rPr>
        <sz val="11"/>
        <color rgb="FF172B4D"/>
        <rFont val="Segoe UI"/>
        <family val="2"/>
      </rPr>
      <t>+20%</t>
    </r>
    <phoneticPr fontId="3" type="noConversion"/>
  </si>
  <si>
    <r>
      <rPr>
        <sz val="11"/>
        <color rgb="FF172B4D"/>
        <rFont val="宋体"/>
        <family val="3"/>
        <charset val="134"/>
      </rPr>
      <t>委托中仅包含两名员工时，另一名员工各项数值</t>
    </r>
    <r>
      <rPr>
        <sz val="11"/>
        <color rgb="FF172B4D"/>
        <rFont val="Segoe UI"/>
        <family val="2"/>
      </rPr>
      <t>+50%</t>
    </r>
    <phoneticPr fontId="3" type="noConversion"/>
  </si>
  <si>
    <t>参加委托的其他员工，力量数值+50%</t>
  </si>
  <si>
    <t>参加委托的其他员工，速度数值+50%</t>
  </si>
  <si>
    <t>参加委托的其他员工，运气数值+50%</t>
  </si>
  <si>
    <r>
      <rPr>
        <sz val="11"/>
        <rFont val="宋体"/>
        <family val="3"/>
        <charset val="134"/>
      </rPr>
      <t>参加委托的所有员工，各项数值</t>
    </r>
    <r>
      <rPr>
        <sz val="11"/>
        <rFont val="Segoe UI"/>
        <family val="2"/>
      </rPr>
      <t>+30%</t>
    </r>
    <phoneticPr fontId="3" type="noConversion"/>
  </si>
  <si>
    <r>
      <rPr>
        <sz val="11"/>
        <rFont val="宋体"/>
        <family val="3"/>
        <charset val="134"/>
      </rPr>
      <t>参加委托的所有员工，+</t>
    </r>
    <r>
      <rPr>
        <sz val="11"/>
        <rFont val="Segoe UI"/>
        <family val="2"/>
      </rPr>
      <t>20%</t>
    </r>
    <r>
      <rPr>
        <sz val="11"/>
        <rFont val="宋体"/>
        <family val="3"/>
        <charset val="134"/>
      </rPr>
      <t>概率不消耗体力</t>
    </r>
    <phoneticPr fontId="3" type="noConversion"/>
  </si>
  <si>
    <t>参加委托的所有员工，体力为1时也可以完成委托</t>
  </si>
  <si>
    <r>
      <rPr>
        <sz val="11"/>
        <rFont val="宋体"/>
        <family val="3"/>
        <charset val="134"/>
      </rPr>
      <t>委托的成功</t>
    </r>
    <r>
      <rPr>
        <sz val="11"/>
        <rFont val="Segoe UI"/>
        <family val="2"/>
      </rPr>
      <t>/</t>
    </r>
    <r>
      <rPr>
        <sz val="11"/>
        <rFont val="宋体"/>
        <family val="3"/>
        <charset val="134"/>
      </rPr>
      <t>大成功数值要求</t>
    </r>
    <r>
      <rPr>
        <sz val="11"/>
        <rFont val="Segoe UI"/>
        <family val="2"/>
      </rPr>
      <t>-20%</t>
    </r>
    <phoneticPr fontId="3" type="noConversion"/>
  </si>
  <si>
    <t>x名成员共同接受委托时，所有成员的数值+y%</t>
    <phoneticPr fontId="3" type="noConversion"/>
  </si>
  <si>
    <t>x名成员共同接受委托时，大成功概率+y%</t>
    <phoneticPr fontId="3" type="noConversion"/>
  </si>
  <si>
    <r>
      <rPr>
        <sz val="11"/>
        <color rgb="FFFF0000"/>
        <rFont val="宋体"/>
        <family val="3"/>
        <charset val="134"/>
      </rPr>
      <t>委托中包含无技能的员工时，所有成员的速度</t>
    </r>
    <r>
      <rPr>
        <sz val="11"/>
        <color rgb="FFFF0000"/>
        <rFont val="Segoe UI"/>
        <family val="2"/>
      </rPr>
      <t>+20%</t>
    </r>
    <phoneticPr fontId="3" type="noConversion"/>
  </si>
  <si>
    <t>委托中包含无技能的员工时，所有成员的x【三围】+y%</t>
    <phoneticPr fontId="3" type="noConversion"/>
  </si>
  <si>
    <t>满足委托的大成功要求时，自己不消耗体力</t>
    <phoneticPr fontId="3" type="noConversion"/>
  </si>
  <si>
    <t>满足委托的大成功要求时，+x%概率获得y物品z个</t>
    <phoneticPr fontId="3" type="noConversion"/>
  </si>
  <si>
    <t>我家的橘猫不见了，有人能帮我找找它吗？</t>
  </si>
  <si>
    <t>朋友出差，把布偶猫寄养在我这，最近突然不见了！帮我找找吧！</t>
  </si>
  <si>
    <t>我家的牛奶猫不见了！应该是离家出走了，有人能帮忙找一下吗？</t>
  </si>
  <si>
    <t>猫太聪明了总是离家出走，求人教导如何防止家里的猫开门开窗？</t>
  </si>
  <si>
    <t>想吃的一家店没有外送服务，有人能送过来吗？</t>
  </si>
  <si>
    <t>……水羊羹瘾犯了，辛苦跑一趟买一下。</t>
  </si>
  <si>
    <t>我想吃那个，那个啦，那个新出的套餐，帮我买一下吧……</t>
  </si>
  <si>
    <t>酒喝完了，能帮我去再买一瓶吗，要冰的。</t>
  </si>
  <si>
    <t>想吃点下酒菜，但懒得自己做，能帮我带点炸鸡回来吗？</t>
  </si>
  <si>
    <t>喝完冷的吃热的闹肚子了，帮我买点药来……！</t>
  </si>
  <si>
    <t>家里养的猫和狗学坏了开始学狗叫……有人能帮它改正吗？</t>
  </si>
  <si>
    <t>我家的猫偷偷摸摸地教狗说话，结果狗开始学猫叫了……！</t>
  </si>
  <si>
    <t>请帮忙买一只会说狗语和猫语的鹦鹉。</t>
  </si>
  <si>
    <t>手办被妈妈发现了。急需一个人上门承认手办是自己的。</t>
  </si>
  <si>
    <t>痛衣被妈妈发现了。急需一个人上门承认痛衣是自己的。</t>
  </si>
  <si>
    <t>等身抱枕被妈妈发现了。急需一个人上门承认抱枕是自己的。</t>
  </si>
  <si>
    <t>妈妈为了和我相处融洽开始看动画了……来人阻止她一下！</t>
  </si>
  <si>
    <t>帮帮我，国语作业做不完了！</t>
  </si>
  <si>
    <t>帮帮我，数学作业做不完了！</t>
  </si>
  <si>
    <t>帮帮我，外语作业做不完了！</t>
  </si>
  <si>
    <t>招财猫的手臂断了，不招财了，麻烦帮忙买下胶水。</t>
  </si>
  <si>
    <t>胶水把我黏在招财猫上了，救救我。</t>
  </si>
  <si>
    <t>玩具模型掉漆了，能帮我补一下吗？</t>
  </si>
  <si>
    <t>机娘的水贴太小了我没什么把握，急需有人帮忙贴水贴。</t>
  </si>
  <si>
    <t>能教我怎么用喷枪吗？</t>
  </si>
  <si>
    <t>需要深夜洗碗工，要求不害怕酒鬼和脏东西。</t>
  </si>
  <si>
    <t>请帮忙搜集一下本地清酒品牌。</t>
  </si>
  <si>
    <t>酒保腰肌劳损疼得要命，找个人帮忙摇雪克杯。</t>
  </si>
  <si>
    <t>我最爱的书被小猫当成猫抓板了，快帮我把它救回来！</t>
  </si>
  <si>
    <t>小猫对买了的猫抓板不感兴趣，谁来教教它吧！</t>
  </si>
  <si>
    <t>旧书被小猫挠烂了，求购一本《猫是我》的新书。</t>
  </si>
  <si>
    <t>有人知道猫对什么类型的猫抓板比较感兴趣吗？有偿求教！</t>
  </si>
  <si>
    <t>有会锻铁的人吗？我想打造一个铁书封……</t>
  </si>
  <si>
    <t>第一次参加同学聚会……有人能教我怎么和大家社交吗？</t>
  </si>
  <si>
    <t>第一次和喜欢的人约会……有人能在旁边打语音支招吗？</t>
  </si>
  <si>
    <t>实在不敢一个人逛超市……有人能帮忙和收银员说话吗?</t>
  </si>
  <si>
    <t>我很感谢邻居送的礼物，但是不敢和她搭话……有人能帮帮忙吗？</t>
  </si>
  <si>
    <t>我想做饭，但是酱油用完了，能帮我买一瓶吗？</t>
  </si>
  <si>
    <t>我想做饭，但是酱油摔碎了，能帮我买一瓶吗？</t>
  </si>
  <si>
    <t>我想做饭，但是酱油被路过的猫咪拍在地上摔碎了，能帮我买一瓶吗？</t>
  </si>
  <si>
    <t>我想做饭，但是酱油被突然出现的UFO吸走了，能帮我买一瓶吗？</t>
  </si>
  <si>
    <t>我想做饭……我想做饭……我想做饭……</t>
  </si>
  <si>
    <t>我想唱卡拉OK但是没有人陪我……来个人让我看起来不那么孤独吧……</t>
  </si>
  <si>
    <t>我想去做按摩但是没有人陪我……来个人让我看起来不那么孤独吧……</t>
  </si>
  <si>
    <t>我想去吃烤肉但是没有人陪我……来个人让我看起来不那么孤独吧……</t>
  </si>
  <si>
    <t>哇吔！好闷呀！我要找人陪我打麻将！</t>
  </si>
  <si>
    <t>呱！好无聊呀！我要找人陪我打麻将！</t>
  </si>
  <si>
    <t>打麻将，我要找人陪我打麻将呀，打麻将，打麻将，GO！</t>
  </si>
  <si>
    <t>需要有人协助进行石灯笼的清洁养护。</t>
  </si>
  <si>
    <t>需要有人协助进行油漆剥落鸟居的紧急修复。</t>
  </si>
  <si>
    <t>需要有人搬运枯山水石料。</t>
  </si>
  <si>
    <t>喂养的流浪猫叼来了金戒指……有人能帮忙贴一下招领启事吗？</t>
  </si>
  <si>
    <t>发布失物启示以后有一大堆人来找我……有人能分辨谁是真的失主吗？</t>
  </si>
  <si>
    <t>家里的戒指太多快要放不下了……有人能教教我怎么进行储物和分类吗？</t>
  </si>
  <si>
    <t>墙上挂的画总是莫名其妙掉在地上，有人来看看是怎么回事吗？</t>
  </si>
  <si>
    <t>家里的水龙头偶尔会突然打开，有人帮忙调查一下吗？</t>
  </si>
  <si>
    <t>深更半夜我家客厅的电动总是一闪一闪的，有人能检修一下吗？</t>
  </si>
  <si>
    <t>旧屋出售，寻找销售。</t>
  </si>
  <si>
    <t>之前的事情全是我家猫干的，有人能帮忙澄清一下我家不是凶宅吗？</t>
  </si>
  <si>
    <t>我的自行车链子掉了，有人能帮我装一下吗？</t>
  </si>
  <si>
    <t>我的自行车脚撑坏了，有人能帮我修一下吗？</t>
  </si>
  <si>
    <t>我的自行车车座坏了，有人能帮我修一下吗？</t>
  </si>
  <si>
    <t>我在山地骑车时因为把手坏了进了医院，请帮忙卖一下车。</t>
  </si>
  <si>
    <t>家附近野猫太多，我担心我的猫学坏……有人能赶赶它们吗？</t>
  </si>
  <si>
    <t>家里的猫带了野猫朋友回家，需要有人来拆散一下它们。</t>
  </si>
  <si>
    <t>家里的猫离家出走了，能帮我找一下吗？</t>
  </si>
  <si>
    <t>家里的猫讨厌我了，有人能帮忙支支招吗？</t>
  </si>
  <si>
    <t>借了图书馆的轻小说没还，有人能帮忙还一下吗？</t>
  </si>
  <si>
    <t>借阅的轻小说没有下文了，有人能在其他书店找找书的下卷吗？</t>
  </si>
  <si>
    <t>有人能找一下这本轻小说作者老师的联系方式吗？</t>
  </si>
  <si>
    <t>想要自己写轻小说，有人能联系出版社编辑吗？</t>
  </si>
  <si>
    <t>我是一个正在冲击新人奖的轻小说作家，招收一下写作助手。</t>
  </si>
  <si>
    <t>我不在家，今天有快递来了，帮我收一下吧。</t>
  </si>
  <si>
    <t>有很多快递到了，麻烦帮忙收一下。</t>
  </si>
  <si>
    <t>出差回家发现家里的快递堆成山了……谁能帮忙来拆快递？</t>
  </si>
  <si>
    <t>想要参加漫才大赛但是没有搭档……有人帮忙担任一下我的搭档吗？</t>
  </si>
  <si>
    <t>有人能帮忙带我家的狗散步吗？</t>
  </si>
  <si>
    <t>回转寿司店的传送带坏了，需要有人来店内帮忙递菜。</t>
  </si>
  <si>
    <t>回转寿司店的师傅请假了，需要有人来做寿司。</t>
  </si>
  <si>
    <t>回转寿司店的食材供应商没来，需要有人来运送食材。</t>
  </si>
  <si>
    <t>回转寿司店的服务员生病了，需要有人来当一下服务员。</t>
  </si>
  <si>
    <t>因为最近出的差错太多客人都跑了，有人能帮忙招揽客人吗？</t>
  </si>
  <si>
    <t>想在街上拍张自拍，但风总是吹乱我的头发！需要一个人形防风墙！</t>
  </si>
  <si>
    <t>在自拍的时候背景里总有路人乱入！需要有人帮忙清下场！</t>
  </si>
  <si>
    <t>拍到满意的自拍了！有会修图的人吗，我想再修修我的自拍！</t>
  </si>
  <si>
    <t>有人说一番市温泉煮的蛋能够转运……能帮我买一个吗？</t>
  </si>
  <si>
    <t>听说一番市温泉煮的蛋能转运……帮我问问温泉水能不能批发吧。</t>
  </si>
  <si>
    <t>我贴好了痛车车膜，但不敢去洗车店怕被洗坏，有人能帮忙手洗吗？</t>
  </si>
  <si>
    <t>我家的AI音箱在自言自语……能帮忙看看出什么问题了吗？</t>
  </si>
  <si>
    <t>我家的音箱不停地给我发短信，来人帮我拒收一下！</t>
  </si>
  <si>
    <t>我家音箱怕寂寞不停骚扰我，有会给机器做心理疏导的人吗？</t>
  </si>
  <si>
    <t>我家马桶冲水的时候会发出奇怪的呜咽声……有人能来看看吗？</t>
  </si>
  <si>
    <t>马桶坏了，要按住阀门才能修……我不敢，招募胆大的人帮帮忙。</t>
  </si>
  <si>
    <t>家里的马桶突然变得异常温暖……能帮忙检查一下吗？</t>
  </si>
  <si>
    <t>家里的马桶开始自动翻盖了！快来个灵媒救救我吧！</t>
  </si>
  <si>
    <t>听说便利店要下架我最爱的泡面……请帮忙扫货，有多少买多少！</t>
  </si>
  <si>
    <t>听说便利店要下架我最喜欢的泡面！请帮忙购置一下二手泡面……</t>
  </si>
  <si>
    <t>我的发明：“自动喂猫撸猫一体机”卡住了猫的头！快帮忙救猫！</t>
  </si>
  <si>
    <t>我的发明深得猫心……是时候上市了！有人能介绍天使投资人吗？</t>
  </si>
  <si>
    <t>发明陷入僵局，急需有人夸夸我，让我重拾信心！</t>
  </si>
  <si>
    <t>和大海相处最浪漫的方式就是捕鱼！招募水性好的船员一起出航！</t>
  </si>
  <si>
    <t>准备出门捕蟹了！有人想来当船员和海中的大螯比试一下吗？</t>
  </si>
  <si>
    <t>退潮了，沙滩上肯定有好货！招募人一起赶海捕贝，报酬面谈！</t>
  </si>
  <si>
    <t>快要到休渔期了，住在岛上的伙计要回市里生活了，招募搬家师傅。</t>
  </si>
  <si>
    <t>我发现了一个超级厉害的光魔法，需要有人帮忙买手电筒才能发动！</t>
  </si>
  <si>
    <t>我掌握了召唤火焰精灵的禁咒，需要有人帮忙买防风打火机！</t>
  </si>
  <si>
    <t>正在训练水球魔法的精准度，需要有人帮忙给气球灌水补充弹药！</t>
  </si>
  <si>
    <t>我能用风扇驱赶太阳的温度，需要找人试验风魔法对别人的效果！</t>
  </si>
  <si>
    <t>明里</t>
  </si>
  <si>
    <t>美羽</t>
  </si>
  <si>
    <t>太郎</t>
  </si>
  <si>
    <t>樱井</t>
  </si>
  <si>
    <t>友太</t>
  </si>
  <si>
    <t>龙一</t>
  </si>
  <si>
    <t>小弥</t>
  </si>
  <si>
    <t>井上</t>
  </si>
  <si>
    <t>三郎</t>
  </si>
  <si>
    <t>美纪</t>
  </si>
  <si>
    <t>真由子</t>
  </si>
  <si>
    <t>正夫</t>
  </si>
  <si>
    <t>虚子</t>
  </si>
  <si>
    <t>拓海</t>
  </si>
  <si>
    <t>岩内</t>
  </si>
  <si>
    <t>石田</t>
  </si>
  <si>
    <t>重藏</t>
  </si>
  <si>
    <t>青木</t>
  </si>
  <si>
    <t>中野</t>
  </si>
  <si>
    <t>田村</t>
  </si>
  <si>
    <t>美香</t>
  </si>
  <si>
    <t>悠</t>
    <phoneticPr fontId="3" type="noConversion"/>
  </si>
  <si>
    <t>退</t>
    <phoneticPr fontId="3" type="noConversion"/>
  </si>
  <si>
    <t>节乃</t>
  </si>
  <si>
    <t>玲奈</t>
  </si>
  <si>
    <t>美代子</t>
  </si>
  <si>
    <t>幸太郎</t>
  </si>
  <si>
    <t>西岛</t>
  </si>
  <si>
    <t>三浦</t>
  </si>
  <si>
    <t>正人</t>
  </si>
  <si>
    <t>直树</t>
  </si>
  <si>
    <t>海老名</t>
  </si>
  <si>
    <t>美夜子</t>
  </si>
  <si>
    <t>姓名</t>
    <phoneticPr fontId="3" type="noConversion"/>
  </si>
  <si>
    <t>编号</t>
    <phoneticPr fontId="3" type="noConversion"/>
  </si>
  <si>
    <t>委托人名</t>
    <phoneticPr fontId="3" type="noConversion"/>
  </si>
  <si>
    <t>正文</t>
    <phoneticPr fontId="3" type="noConversion"/>
  </si>
  <si>
    <t>层级</t>
    <phoneticPr fontId="3" type="noConversion"/>
  </si>
  <si>
    <t>str</t>
    <phoneticPr fontId="3" type="noConversion"/>
  </si>
  <si>
    <t>年龄</t>
    <phoneticPr fontId="3" type="noConversion"/>
  </si>
  <si>
    <t>委托人str</t>
    <phoneticPr fontId="3" type="noConversion"/>
  </si>
  <si>
    <t>委托人年龄</t>
    <phoneticPr fontId="3" type="noConversion"/>
  </si>
  <si>
    <t>0004</t>
  </si>
  <si>
    <t>0002</t>
  </si>
  <si>
    <t>0003</t>
  </si>
  <si>
    <t>0001</t>
  </si>
  <si>
    <t>0005</t>
  </si>
  <si>
    <t>0006</t>
  </si>
  <si>
    <t>正文str</t>
    <phoneticPr fontId="3" type="noConversion"/>
  </si>
  <si>
    <t>速</t>
    <phoneticPr fontId="3" type="noConversion"/>
  </si>
  <si>
    <t>运</t>
    <phoneticPr fontId="3" type="noConversion"/>
  </si>
  <si>
    <t>解锁天数</t>
    <phoneticPr fontId="3" type="noConversion"/>
  </si>
  <si>
    <t>力</t>
    <phoneticPr fontId="3" type="noConversion"/>
  </si>
  <si>
    <t>赠送员工</t>
    <phoneticPr fontId="3" type="noConversion"/>
  </si>
  <si>
    <t>一姬</t>
    <phoneticPr fontId="3" type="noConversion"/>
  </si>
  <si>
    <t>好像有新的好心人打算加入万事屋！</t>
    <phoneticPr fontId="3" type="noConversion"/>
  </si>
  <si>
    <t>sort</t>
    <phoneticPr fontId="3" type="noConversion"/>
  </si>
  <si>
    <t>委托排序从小到大</t>
    <phoneticPr fontId="3" type="noConversion"/>
  </si>
  <si>
    <t>30900095-6</t>
    <phoneticPr fontId="3" type="noConversion"/>
  </si>
  <si>
    <t>30900095-12</t>
    <phoneticPr fontId="3" type="noConversion"/>
  </si>
  <si>
    <t>30900095-18</t>
    <phoneticPr fontId="3" type="noConversion"/>
  </si>
  <si>
    <t>30900095-3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</si>
</sst>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3"/>
      <charset val="134"/>
      <scheme val="minor"/>
    </font>
    <font>
      <sz val="11"/>
      <color rgb="FF172B4D"/>
      <name val="Segoe UI"/>
      <family val="2"/>
    </font>
    <font>
      <sz val="11"/>
      <color rgb="FFFF0000"/>
      <name val="Segoe UI"/>
      <family val="2"/>
    </font>
    <font>
      <b/>
      <sz val="11"/>
      <color rgb="FFFF0000"/>
      <name val="Segoe UI"/>
      <family val="2"/>
    </font>
    <font>
      <sz val="11"/>
      <color rgb="FF172B4D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172B4D"/>
      <name val="Segoe UI"/>
      <family val="3"/>
      <charset val="134"/>
    </font>
    <font>
      <sz val="11"/>
      <color rgb="FFFF0000"/>
      <name val="Segoe UI"/>
      <family val="3"/>
      <charset val="134"/>
    </font>
    <font>
      <b/>
      <sz val="11"/>
      <color rgb="FFFF0000"/>
      <name val="等线"/>
      <family val="3"/>
      <charset val="134"/>
      <scheme val="minor"/>
    </font>
    <font>
      <sz val="11"/>
      <name val="Segoe UI"/>
      <family val="3"/>
      <charset val="134"/>
    </font>
    <font>
      <sz val="11"/>
      <name val="宋体"/>
      <family val="3"/>
      <charset val="134"/>
    </font>
    <font>
      <sz val="11"/>
      <name val="Segoe UI"/>
      <family val="2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2"/>
      <color rgb="FF1F2329"/>
      <name val="Tahoma"/>
      <family val="2"/>
    </font>
    <font>
      <b/>
      <sz val="11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6B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0B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0">
    <xf numFmtId="0" fontId="0" fillId="0" borderId="0" xfId="0"/>
    <xf numFmtId="0" fontId="1" fillId="0" borderId="0" xfId="1"/>
    <xf numFmtId="0" fontId="2" fillId="0" borderId="0" xfId="2"/>
    <xf numFmtId="0" fontId="1" fillId="0" borderId="0" xfId="2" applyFont="1"/>
    <xf numFmtId="0" fontId="0" fillId="2" borderId="0" xfId="0" applyFill="1"/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top" wrapText="1"/>
    </xf>
    <xf numFmtId="0" fontId="0" fillId="5" borderId="0" xfId="0" applyFill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8" borderId="0" xfId="0" applyFill="1"/>
    <xf numFmtId="0" fontId="0" fillId="8" borderId="0" xfId="0" applyFill="1" applyAlignment="1">
      <alignment wrapText="1"/>
    </xf>
    <xf numFmtId="49" fontId="0" fillId="0" borderId="0" xfId="0" applyNumberFormat="1"/>
    <xf numFmtId="49" fontId="1" fillId="0" borderId="0" xfId="1" applyNumberFormat="1"/>
    <xf numFmtId="0" fontId="12" fillId="3" borderId="1" xfId="0" applyFont="1" applyFill="1" applyBorder="1" applyAlignment="1">
      <alignment horizontal="left" vertical="top" wrapText="1"/>
    </xf>
    <xf numFmtId="0" fontId="14" fillId="3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15" fillId="9" borderId="0" xfId="0" applyFont="1" applyFill="1"/>
    <xf numFmtId="0" fontId="16" fillId="9" borderId="0" xfId="0" applyFont="1" applyFill="1"/>
    <xf numFmtId="0" fontId="8" fillId="9" borderId="1" xfId="0" applyFont="1" applyFill="1" applyBorder="1" applyAlignment="1">
      <alignment horizontal="left" vertical="top" wrapText="1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8" fillId="3" borderId="4" xfId="0" applyFont="1" applyFill="1" applyBorder="1" applyAlignment="1">
      <alignment horizontal="left" vertical="top"/>
    </xf>
    <xf numFmtId="0" fontId="18" fillId="3" borderId="5" xfId="0" applyFont="1" applyFill="1" applyBorder="1" applyAlignment="1">
      <alignment horizontal="left" vertical="top"/>
    </xf>
    <xf numFmtId="0" fontId="18" fillId="3" borderId="6" xfId="0" applyFont="1" applyFill="1" applyBorder="1" applyAlignment="1">
      <alignment horizontal="left" vertical="top"/>
    </xf>
    <xf numFmtId="0" fontId="18" fillId="3" borderId="7" xfId="0" applyFont="1" applyFill="1" applyBorder="1" applyAlignment="1">
      <alignment horizontal="left" vertical="top"/>
    </xf>
    <xf numFmtId="0" fontId="18" fillId="3" borderId="2" xfId="0" applyFont="1" applyFill="1" applyBorder="1" applyAlignment="1">
      <alignment horizontal="left" vertical="top"/>
    </xf>
    <xf numFmtId="0" fontId="18" fillId="3" borderId="8" xfId="0" applyFont="1" applyFill="1" applyBorder="1" applyAlignment="1">
      <alignment horizontal="left" vertical="top"/>
    </xf>
    <xf numFmtId="0" fontId="18" fillId="0" borderId="9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0" fillId="10" borderId="0" xfId="0" applyFill="1"/>
    <xf numFmtId="0" fontId="20" fillId="10" borderId="0" xfId="0" applyFont="1" applyFill="1"/>
    <xf numFmtId="0" fontId="18" fillId="0" borderId="6" xfId="0" applyFont="1" applyBorder="1" applyAlignment="1">
      <alignment horizontal="left" vertical="center"/>
    </xf>
    <xf numFmtId="0" fontId="18" fillId="0" borderId="8" xfId="0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8" fillId="3" borderId="0" xfId="0" applyFont="1" applyFill="1" applyAlignment="1">
      <alignment horizontal="left" vertical="top"/>
    </xf>
    <xf numFmtId="0" fontId="18" fillId="0" borderId="0" xfId="0" applyFont="1" applyAlignment="1">
      <alignment vertical="center"/>
    </xf>
    <xf numFmtId="0" fontId="17" fillId="8" borderId="2" xfId="0" applyFont="1" applyFill="1" applyBorder="1" applyAlignment="1">
      <alignment horizontal="center" vertical="center"/>
    </xf>
    <xf numFmtId="0" fontId="19" fillId="8" borderId="0" xfId="0" applyFont="1" applyFill="1" applyAlignment="1">
      <alignment vertical="center"/>
    </xf>
    <xf numFmtId="0" fontId="18" fillId="8" borderId="0" xfId="0" applyFont="1" applyFill="1" applyAlignment="1">
      <alignment horizontal="left" vertical="top"/>
    </xf>
  </cellXfs>
  <cellStyles count="3">
    <cellStyle name="常规" xfId="0" builtinId="0"/>
    <cellStyle name="常规 2" xfId="2" xr:uid="{F278EE73-7646-48DE-961D-BC9ED676A212}"/>
    <cellStyle name="常规 3" xfId="1" xr:uid="{C47631C0-72B8-4F01-9598-74C532B80E3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B6" sqref="B6"/>
    </sheetView>
  </sheetViews>
  <sheetFormatPr defaultRowHeight="14.25" x14ac:dyDescent="0.2"/>
  <cols>
    <col min="4" max="4" width="13.125" bestFit="1" customWidth="1"/>
  </cols>
  <sheetData>
    <row r="1" spans="1:5" x14ac:dyDescent="0.2">
      <c r="A1" s="2" t="s">
        <v>6</v>
      </c>
      <c r="B1" s="2" t="s">
        <v>7</v>
      </c>
      <c r="C1" s="2" t="s">
        <v>8</v>
      </c>
      <c r="D1" s="3" t="s">
        <v>9</v>
      </c>
      <c r="E1" s="2" t="s">
        <v>10</v>
      </c>
    </row>
    <row r="2" spans="1:5" x14ac:dyDescent="0.2">
      <c r="A2" t="s">
        <v>46</v>
      </c>
      <c r="B2" t="s">
        <v>40</v>
      </c>
      <c r="C2" t="s">
        <v>50</v>
      </c>
      <c r="E2" t="s">
        <v>52</v>
      </c>
    </row>
    <row r="3" spans="1:5" x14ac:dyDescent="0.2">
      <c r="A3" t="s">
        <v>47</v>
      </c>
      <c r="B3" t="s">
        <v>40</v>
      </c>
      <c r="C3" t="s">
        <v>51</v>
      </c>
      <c r="E3" t="s">
        <v>53</v>
      </c>
    </row>
    <row r="4" spans="1:5" x14ac:dyDescent="0.2">
      <c r="A4" t="s">
        <v>48</v>
      </c>
      <c r="B4" t="s">
        <v>40</v>
      </c>
      <c r="C4" t="s">
        <v>50</v>
      </c>
      <c r="E4" t="s">
        <v>54</v>
      </c>
    </row>
    <row r="5" spans="1:5" x14ac:dyDescent="0.2">
      <c r="A5" t="s">
        <v>49</v>
      </c>
      <c r="B5" t="s">
        <v>40</v>
      </c>
      <c r="C5" t="s">
        <v>51</v>
      </c>
      <c r="E5" t="s">
        <v>55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D5275-DB96-46E7-9820-BC380833D846}">
  <dimension ref="A1:K5"/>
  <sheetViews>
    <sheetView workbookViewId="0">
      <selection activeCell="F30" sqref="F30"/>
    </sheetView>
  </sheetViews>
  <sheetFormatPr defaultRowHeight="14.25" x14ac:dyDescent="0.2"/>
  <cols>
    <col min="1" max="1" width="13" bestFit="1" customWidth="1"/>
    <col min="3" max="3" width="9.5" bestFit="1" customWidth="1"/>
    <col min="5" max="5" width="19.125" bestFit="1" customWidth="1"/>
    <col min="6" max="6" width="17.25" bestFit="1" customWidth="1"/>
    <col min="7" max="7" width="23" bestFit="1" customWidth="1"/>
    <col min="8" max="8" width="27.625" bestFit="1" customWidth="1"/>
    <col min="9" max="9" width="31.75" bestFit="1" customWidth="1"/>
    <col min="10" max="10" width="18.625" customWidth="1"/>
    <col min="11" max="11" width="17.25" bestFit="1" customWidth="1"/>
  </cols>
  <sheetData>
    <row r="1" spans="1:11" x14ac:dyDescent="0.2">
      <c r="A1" s="1" t="s">
        <v>0</v>
      </c>
      <c r="B1" s="1" t="s">
        <v>1</v>
      </c>
      <c r="C1" t="s">
        <v>42</v>
      </c>
      <c r="D1" t="s">
        <v>45</v>
      </c>
      <c r="E1" t="s">
        <v>236</v>
      </c>
      <c r="F1" t="s">
        <v>234</v>
      </c>
      <c r="G1" t="s">
        <v>60</v>
      </c>
      <c r="H1" t="s">
        <v>67</v>
      </c>
      <c r="I1" t="s">
        <v>66</v>
      </c>
      <c r="J1" t="s">
        <v>165</v>
      </c>
      <c r="K1" t="s">
        <v>166</v>
      </c>
    </row>
    <row r="2" spans="1:11" x14ac:dyDescent="0.2">
      <c r="A2" s="1" t="s">
        <v>2</v>
      </c>
      <c r="B2" s="1" t="s">
        <v>11</v>
      </c>
      <c r="C2" t="s">
        <v>43</v>
      </c>
      <c r="D2" t="s">
        <v>44</v>
      </c>
      <c r="E2" t="s">
        <v>237</v>
      </c>
      <c r="F2" t="s">
        <v>235</v>
      </c>
      <c r="G2" t="s">
        <v>61</v>
      </c>
      <c r="H2" t="s">
        <v>69</v>
      </c>
      <c r="I2" t="s">
        <v>68</v>
      </c>
      <c r="J2" t="s">
        <v>164</v>
      </c>
    </row>
    <row r="3" spans="1:11" x14ac:dyDescent="0.2">
      <c r="A3" s="1" t="s">
        <v>3</v>
      </c>
      <c r="B3" s="1" t="s">
        <v>4</v>
      </c>
      <c r="C3" t="s">
        <v>4</v>
      </c>
      <c r="D3" t="s">
        <v>4</v>
      </c>
      <c r="E3" t="s">
        <v>59</v>
      </c>
      <c r="F3" t="s">
        <v>4</v>
      </c>
      <c r="G3" t="s">
        <v>59</v>
      </c>
      <c r="H3" t="s">
        <v>65</v>
      </c>
      <c r="I3" t="s">
        <v>65</v>
      </c>
      <c r="J3" t="s">
        <v>65</v>
      </c>
    </row>
    <row r="4" spans="1:11" x14ac:dyDescent="0.2">
      <c r="A4" s="1" t="s">
        <v>5</v>
      </c>
      <c r="B4" s="1"/>
    </row>
    <row r="5" spans="1:11" x14ac:dyDescent="0.2">
      <c r="A5" s="1" t="s">
        <v>72</v>
      </c>
      <c r="B5" s="4">
        <v>251001</v>
      </c>
      <c r="C5">
        <v>1001</v>
      </c>
      <c r="D5">
        <v>2001</v>
      </c>
      <c r="E5" t="s">
        <v>438</v>
      </c>
      <c r="F5">
        <v>4</v>
      </c>
      <c r="G5" t="s">
        <v>238</v>
      </c>
      <c r="H5">
        <v>50</v>
      </c>
      <c r="I5">
        <v>150</v>
      </c>
      <c r="J5">
        <v>10001</v>
      </c>
      <c r="K5">
        <v>10002</v>
      </c>
    </row>
  </sheetData>
  <phoneticPr fontId="3" type="noConversion"/>
  <conditionalFormatting sqref="B5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7313F-FE1C-4A0F-A10E-9DB37142DF32}">
  <dimension ref="A1:S60"/>
  <sheetViews>
    <sheetView workbookViewId="0">
      <pane ySplit="3" topLeftCell="A37" activePane="bottomLeft" state="frozen"/>
      <selection pane="bottomLeft" activeCell="L39" sqref="L39"/>
    </sheetView>
  </sheetViews>
  <sheetFormatPr defaultRowHeight="14.25" x14ac:dyDescent="0.2"/>
  <cols>
    <col min="3" max="3" width="11.5" bestFit="1" customWidth="1"/>
    <col min="9" max="9" width="15.125" bestFit="1" customWidth="1"/>
    <col min="10" max="10" width="14" customWidth="1"/>
    <col min="11" max="11" width="15" bestFit="1" customWidth="1"/>
    <col min="12" max="12" width="14.875" bestFit="1" customWidth="1"/>
    <col min="13" max="13" width="19" bestFit="1" customWidth="1"/>
    <col min="14" max="14" width="16.125" style="19" customWidth="1"/>
    <col min="15" max="15" width="14.25" bestFit="1" customWidth="1"/>
    <col min="16" max="16" width="15.375" customWidth="1"/>
    <col min="17" max="17" width="46.125" customWidth="1"/>
  </cols>
  <sheetData>
    <row r="1" spans="1:19" x14ac:dyDescent="0.2">
      <c r="A1" s="1" t="s">
        <v>0</v>
      </c>
      <c r="B1" t="s">
        <v>40</v>
      </c>
      <c r="C1" s="1" t="s">
        <v>39</v>
      </c>
      <c r="D1" t="s">
        <v>63</v>
      </c>
      <c r="E1" t="s">
        <v>14</v>
      </c>
      <c r="F1" t="s">
        <v>16</v>
      </c>
      <c r="G1" t="s">
        <v>18</v>
      </c>
      <c r="H1" t="s">
        <v>20</v>
      </c>
      <c r="I1" t="s">
        <v>57</v>
      </c>
      <c r="J1" t="s">
        <v>56</v>
      </c>
      <c r="K1" s="1" t="s">
        <v>137</v>
      </c>
      <c r="L1" t="s">
        <v>139</v>
      </c>
      <c r="M1" t="s">
        <v>140</v>
      </c>
      <c r="N1" s="19" t="s">
        <v>216</v>
      </c>
      <c r="O1" t="s">
        <v>144</v>
      </c>
    </row>
    <row r="2" spans="1:19" x14ac:dyDescent="0.2">
      <c r="A2" s="1" t="s">
        <v>2</v>
      </c>
      <c r="B2" t="s">
        <v>41</v>
      </c>
      <c r="C2" s="1" t="s">
        <v>12</v>
      </c>
      <c r="D2" t="s">
        <v>13</v>
      </c>
      <c r="E2" t="s">
        <v>15</v>
      </c>
      <c r="F2" t="s">
        <v>17</v>
      </c>
      <c r="G2" t="s">
        <v>19</v>
      </c>
      <c r="H2" t="s">
        <v>21</v>
      </c>
      <c r="I2" t="s">
        <v>34</v>
      </c>
      <c r="J2" t="s">
        <v>58</v>
      </c>
      <c r="K2" s="1" t="s">
        <v>138</v>
      </c>
      <c r="L2" t="s">
        <v>142</v>
      </c>
      <c r="M2" t="s">
        <v>141</v>
      </c>
      <c r="N2" s="19" t="s">
        <v>217</v>
      </c>
      <c r="O2" t="s">
        <v>145</v>
      </c>
    </row>
    <row r="3" spans="1:19" x14ac:dyDescent="0.2">
      <c r="A3" s="1" t="s">
        <v>3</v>
      </c>
      <c r="B3" s="1" t="s">
        <v>4</v>
      </c>
      <c r="C3" s="1" t="s">
        <v>4</v>
      </c>
      <c r="D3" s="1" t="s">
        <v>4</v>
      </c>
      <c r="E3" s="1" t="s">
        <v>4</v>
      </c>
      <c r="F3" s="1" t="s">
        <v>4</v>
      </c>
      <c r="G3" s="1" t="s">
        <v>4</v>
      </c>
      <c r="H3" s="1" t="s">
        <v>4</v>
      </c>
      <c r="I3" s="1" t="s">
        <v>4</v>
      </c>
      <c r="J3" s="1" t="s">
        <v>59</v>
      </c>
      <c r="K3" s="1" t="s">
        <v>4</v>
      </c>
      <c r="L3" s="1" t="s">
        <v>4</v>
      </c>
      <c r="M3" s="1" t="s">
        <v>4</v>
      </c>
      <c r="N3" s="20" t="s">
        <v>59</v>
      </c>
      <c r="O3" s="1" t="s">
        <v>4</v>
      </c>
    </row>
    <row r="4" spans="1:19" ht="15" thickBot="1" x14ac:dyDescent="0.25">
      <c r="A4" s="1" t="s">
        <v>5</v>
      </c>
      <c r="B4" s="1"/>
    </row>
    <row r="5" spans="1:19" ht="17.25" thickBot="1" x14ac:dyDescent="0.25">
      <c r="B5">
        <v>1001</v>
      </c>
      <c r="C5">
        <v>10001</v>
      </c>
      <c r="D5">
        <v>3</v>
      </c>
      <c r="E5">
        <v>10</v>
      </c>
      <c r="F5">
        <v>30</v>
      </c>
      <c r="G5">
        <v>30</v>
      </c>
      <c r="H5">
        <v>10001</v>
      </c>
      <c r="K5">
        <v>200001</v>
      </c>
      <c r="M5">
        <v>25100201</v>
      </c>
      <c r="P5" s="5" t="s">
        <v>73</v>
      </c>
      <c r="Q5" s="12" t="s">
        <v>169</v>
      </c>
      <c r="R5" s="5"/>
      <c r="S5" s="5" t="s">
        <v>74</v>
      </c>
    </row>
    <row r="6" spans="1:19" ht="17.25" thickBot="1" x14ac:dyDescent="0.25">
      <c r="B6">
        <v>1001</v>
      </c>
      <c r="C6">
        <v>10002</v>
      </c>
      <c r="D6">
        <v>3</v>
      </c>
      <c r="E6">
        <v>30</v>
      </c>
      <c r="F6">
        <v>30</v>
      </c>
      <c r="G6">
        <v>30</v>
      </c>
      <c r="H6">
        <v>10002</v>
      </c>
      <c r="K6">
        <v>20000113</v>
      </c>
      <c r="M6">
        <v>25100202</v>
      </c>
      <c r="O6">
        <v>1</v>
      </c>
      <c r="P6" s="5" t="s">
        <v>75</v>
      </c>
      <c r="Q6" s="6" t="s">
        <v>76</v>
      </c>
      <c r="R6" s="7" t="s">
        <v>77</v>
      </c>
      <c r="S6" s="5" t="s">
        <v>74</v>
      </c>
    </row>
    <row r="7" spans="1:19" ht="17.25" thickBot="1" x14ac:dyDescent="0.25">
      <c r="B7">
        <v>1001</v>
      </c>
      <c r="C7">
        <v>10003</v>
      </c>
      <c r="D7">
        <v>3</v>
      </c>
      <c r="E7">
        <v>10</v>
      </c>
      <c r="F7">
        <v>50</v>
      </c>
      <c r="G7">
        <v>30</v>
      </c>
      <c r="H7">
        <v>10003</v>
      </c>
      <c r="K7">
        <v>20000114</v>
      </c>
      <c r="M7">
        <v>25100203</v>
      </c>
      <c r="P7" s="5" t="s">
        <v>78</v>
      </c>
      <c r="Q7" s="6" t="s">
        <v>79</v>
      </c>
      <c r="R7" s="5"/>
      <c r="S7" s="5" t="s">
        <v>80</v>
      </c>
    </row>
    <row r="8" spans="1:19" ht="17.25" thickBot="1" x14ac:dyDescent="0.25">
      <c r="B8">
        <v>1001</v>
      </c>
      <c r="C8">
        <v>10004</v>
      </c>
      <c r="D8">
        <v>3</v>
      </c>
      <c r="E8">
        <v>50</v>
      </c>
      <c r="F8">
        <v>30</v>
      </c>
      <c r="G8">
        <v>10</v>
      </c>
      <c r="H8">
        <v>10004</v>
      </c>
      <c r="K8">
        <v>20000115</v>
      </c>
      <c r="M8">
        <v>25100204</v>
      </c>
      <c r="O8">
        <v>1</v>
      </c>
      <c r="P8" s="5" t="s">
        <v>81</v>
      </c>
      <c r="Q8" s="6" t="s">
        <v>82</v>
      </c>
      <c r="R8" s="7" t="s">
        <v>77</v>
      </c>
      <c r="S8" s="5" t="s">
        <v>80</v>
      </c>
    </row>
    <row r="9" spans="1:19" ht="17.25" thickBot="1" x14ac:dyDescent="0.25">
      <c r="B9">
        <v>1001</v>
      </c>
      <c r="C9">
        <v>10005</v>
      </c>
      <c r="D9">
        <v>3</v>
      </c>
      <c r="E9">
        <v>30</v>
      </c>
      <c r="F9">
        <v>10</v>
      </c>
      <c r="G9">
        <v>50</v>
      </c>
      <c r="H9">
        <v>10005</v>
      </c>
      <c r="K9">
        <v>20000116</v>
      </c>
      <c r="M9">
        <v>25100205</v>
      </c>
      <c r="P9" s="5" t="s">
        <v>83</v>
      </c>
      <c r="Q9" s="6" t="s">
        <v>84</v>
      </c>
      <c r="R9" s="5"/>
      <c r="S9" s="5" t="s">
        <v>80</v>
      </c>
    </row>
    <row r="10" spans="1:19" ht="17.25" thickBot="1" x14ac:dyDescent="0.25">
      <c r="B10">
        <v>1001</v>
      </c>
      <c r="C10">
        <v>10006</v>
      </c>
      <c r="D10">
        <v>3</v>
      </c>
      <c r="E10">
        <v>20</v>
      </c>
      <c r="F10">
        <v>25</v>
      </c>
      <c r="G10">
        <v>25</v>
      </c>
      <c r="H10">
        <v>10006</v>
      </c>
      <c r="I10">
        <v>1</v>
      </c>
      <c r="J10" t="s">
        <v>435</v>
      </c>
      <c r="K10">
        <v>200002</v>
      </c>
      <c r="M10">
        <v>25100206</v>
      </c>
      <c r="P10" s="5" t="s">
        <v>85</v>
      </c>
      <c r="Q10" s="5" t="s">
        <v>86</v>
      </c>
      <c r="R10" s="5"/>
      <c r="S10" s="5">
        <v>10</v>
      </c>
    </row>
    <row r="11" spans="1:19" ht="17.25" thickBot="1" x14ac:dyDescent="0.25">
      <c r="B11">
        <v>1001</v>
      </c>
      <c r="C11">
        <v>10007</v>
      </c>
      <c r="D11">
        <v>3</v>
      </c>
      <c r="E11">
        <v>40</v>
      </c>
      <c r="F11">
        <v>20</v>
      </c>
      <c r="G11">
        <v>10</v>
      </c>
      <c r="H11">
        <v>10007</v>
      </c>
      <c r="I11">
        <v>1</v>
      </c>
      <c r="J11" t="s">
        <v>435</v>
      </c>
      <c r="K11">
        <v>200012</v>
      </c>
      <c r="M11">
        <v>25100207</v>
      </c>
      <c r="P11" s="5" t="s">
        <v>87</v>
      </c>
      <c r="Q11" s="12" t="s">
        <v>168</v>
      </c>
      <c r="R11" s="5"/>
      <c r="S11" s="5">
        <v>10</v>
      </c>
    </row>
    <row r="12" spans="1:19" ht="17.25" thickBot="1" x14ac:dyDescent="0.25">
      <c r="B12">
        <v>1001</v>
      </c>
      <c r="C12">
        <v>10008</v>
      </c>
      <c r="D12">
        <v>3</v>
      </c>
      <c r="E12">
        <v>10</v>
      </c>
      <c r="F12">
        <v>20</v>
      </c>
      <c r="G12">
        <v>40</v>
      </c>
      <c r="H12">
        <v>10008</v>
      </c>
      <c r="I12">
        <v>1</v>
      </c>
      <c r="J12" t="s">
        <v>435</v>
      </c>
      <c r="K12">
        <v>200029</v>
      </c>
      <c r="M12">
        <v>25100208</v>
      </c>
      <c r="P12" s="5" t="s">
        <v>88</v>
      </c>
      <c r="Q12" s="5" t="s">
        <v>86</v>
      </c>
      <c r="R12" s="5"/>
      <c r="S12" s="5">
        <v>10</v>
      </c>
    </row>
    <row r="13" spans="1:19" ht="17.25" thickBot="1" x14ac:dyDescent="0.25">
      <c r="B13">
        <v>1001</v>
      </c>
      <c r="C13">
        <v>10009</v>
      </c>
      <c r="D13">
        <v>3</v>
      </c>
      <c r="E13">
        <v>5</v>
      </c>
      <c r="F13">
        <v>55</v>
      </c>
      <c r="G13">
        <v>20</v>
      </c>
      <c r="H13">
        <v>10009</v>
      </c>
      <c r="I13">
        <v>1</v>
      </c>
      <c r="J13" t="s">
        <v>435</v>
      </c>
      <c r="K13">
        <v>200005</v>
      </c>
      <c r="M13">
        <v>25100209</v>
      </c>
      <c r="O13">
        <v>1</v>
      </c>
      <c r="P13" s="5" t="s">
        <v>89</v>
      </c>
      <c r="Q13" s="5" t="s">
        <v>90</v>
      </c>
      <c r="R13" s="7" t="s">
        <v>77</v>
      </c>
      <c r="S13" s="5">
        <v>10</v>
      </c>
    </row>
    <row r="14" spans="1:19" ht="17.25" thickBot="1" x14ac:dyDescent="0.25">
      <c r="B14">
        <v>1001</v>
      </c>
      <c r="C14">
        <v>10010</v>
      </c>
      <c r="D14">
        <v>3</v>
      </c>
      <c r="E14">
        <v>50</v>
      </c>
      <c r="F14">
        <v>15</v>
      </c>
      <c r="G14">
        <v>15</v>
      </c>
      <c r="H14">
        <v>10010</v>
      </c>
      <c r="I14">
        <v>1</v>
      </c>
      <c r="J14" t="s">
        <v>435</v>
      </c>
      <c r="K14">
        <v>200006</v>
      </c>
      <c r="M14">
        <v>25100210</v>
      </c>
      <c r="O14">
        <v>1</v>
      </c>
      <c r="P14" s="5" t="s">
        <v>91</v>
      </c>
      <c r="Q14" s="5" t="s">
        <v>92</v>
      </c>
      <c r="R14" s="7" t="s">
        <v>77</v>
      </c>
      <c r="S14" s="5">
        <v>10</v>
      </c>
    </row>
    <row r="15" spans="1:19" ht="17.25" thickBot="1" x14ac:dyDescent="0.25">
      <c r="B15">
        <v>1001</v>
      </c>
      <c r="C15">
        <v>10011</v>
      </c>
      <c r="D15">
        <v>3</v>
      </c>
      <c r="E15">
        <v>20</v>
      </c>
      <c r="F15">
        <v>10</v>
      </c>
      <c r="G15">
        <v>50</v>
      </c>
      <c r="H15">
        <v>10011</v>
      </c>
      <c r="I15">
        <v>1</v>
      </c>
      <c r="J15" t="s">
        <v>435</v>
      </c>
      <c r="K15">
        <v>200016</v>
      </c>
      <c r="M15">
        <v>25100211</v>
      </c>
      <c r="O15">
        <v>1</v>
      </c>
      <c r="P15" s="5" t="s">
        <v>93</v>
      </c>
      <c r="Q15" s="5" t="s">
        <v>94</v>
      </c>
      <c r="R15" s="7" t="s">
        <v>77</v>
      </c>
      <c r="S15" s="5">
        <v>10</v>
      </c>
    </row>
    <row r="16" spans="1:19" ht="17.25" thickBot="1" x14ac:dyDescent="0.25">
      <c r="B16">
        <v>1001</v>
      </c>
      <c r="C16">
        <v>10012</v>
      </c>
      <c r="D16">
        <v>3</v>
      </c>
      <c r="E16">
        <v>5</v>
      </c>
      <c r="F16">
        <v>45</v>
      </c>
      <c r="G16">
        <v>30</v>
      </c>
      <c r="H16">
        <v>10012</v>
      </c>
      <c r="I16">
        <v>1</v>
      </c>
      <c r="J16" t="s">
        <v>435</v>
      </c>
      <c r="K16">
        <v>200028</v>
      </c>
      <c r="M16">
        <v>25100212</v>
      </c>
      <c r="O16">
        <v>1</v>
      </c>
      <c r="P16" s="5" t="s">
        <v>95</v>
      </c>
      <c r="Q16" s="5" t="s">
        <v>96</v>
      </c>
      <c r="R16" s="7" t="s">
        <v>77</v>
      </c>
      <c r="S16" s="5">
        <v>10</v>
      </c>
    </row>
    <row r="17" spans="2:19" ht="17.25" thickBot="1" x14ac:dyDescent="0.25">
      <c r="B17">
        <v>1001</v>
      </c>
      <c r="C17">
        <v>10013</v>
      </c>
      <c r="D17">
        <v>3</v>
      </c>
      <c r="E17">
        <v>70</v>
      </c>
      <c r="F17">
        <v>5</v>
      </c>
      <c r="G17">
        <v>5</v>
      </c>
      <c r="H17">
        <v>10013</v>
      </c>
      <c r="I17">
        <v>1</v>
      </c>
      <c r="J17" t="s">
        <v>435</v>
      </c>
      <c r="K17">
        <v>200022</v>
      </c>
      <c r="M17">
        <v>25100213</v>
      </c>
      <c r="P17" s="5" t="s">
        <v>97</v>
      </c>
      <c r="Q17" s="5" t="s">
        <v>98</v>
      </c>
      <c r="R17" s="5"/>
      <c r="S17" s="5">
        <v>10</v>
      </c>
    </row>
    <row r="18" spans="2:19" ht="17.25" thickBot="1" x14ac:dyDescent="0.25">
      <c r="B18">
        <v>1001</v>
      </c>
      <c r="C18">
        <v>10014</v>
      </c>
      <c r="D18">
        <v>3</v>
      </c>
      <c r="E18">
        <v>10</v>
      </c>
      <c r="F18">
        <v>40</v>
      </c>
      <c r="G18">
        <v>20</v>
      </c>
      <c r="H18">
        <v>10014</v>
      </c>
      <c r="I18">
        <v>1</v>
      </c>
      <c r="J18" t="s">
        <v>435</v>
      </c>
      <c r="K18">
        <v>200031</v>
      </c>
      <c r="M18">
        <v>25100214</v>
      </c>
      <c r="O18">
        <v>1</v>
      </c>
      <c r="P18" s="5" t="s">
        <v>99</v>
      </c>
      <c r="Q18" s="5" t="s">
        <v>100</v>
      </c>
      <c r="R18" s="7" t="s">
        <v>77</v>
      </c>
      <c r="S18" s="5">
        <v>10</v>
      </c>
    </row>
    <row r="19" spans="2:19" ht="17.25" thickBot="1" x14ac:dyDescent="0.25">
      <c r="B19">
        <v>1001</v>
      </c>
      <c r="C19">
        <v>10015</v>
      </c>
      <c r="D19">
        <v>3</v>
      </c>
      <c r="E19">
        <v>10</v>
      </c>
      <c r="F19">
        <v>30</v>
      </c>
      <c r="G19">
        <v>20</v>
      </c>
      <c r="H19">
        <v>10015</v>
      </c>
      <c r="I19">
        <v>1</v>
      </c>
      <c r="J19" t="s">
        <v>435</v>
      </c>
      <c r="K19">
        <v>200030</v>
      </c>
      <c r="M19">
        <v>25100215</v>
      </c>
      <c r="O19">
        <v>1</v>
      </c>
      <c r="P19" s="5" t="s">
        <v>101</v>
      </c>
      <c r="Q19" s="5" t="s">
        <v>102</v>
      </c>
      <c r="R19" s="7" t="s">
        <v>77</v>
      </c>
      <c r="S19" s="5">
        <v>10</v>
      </c>
    </row>
    <row r="20" spans="2:19" ht="17.25" thickBot="1" x14ac:dyDescent="0.25">
      <c r="B20">
        <v>1001</v>
      </c>
      <c r="C20">
        <v>10016</v>
      </c>
      <c r="D20">
        <v>3</v>
      </c>
      <c r="E20">
        <v>30</v>
      </c>
      <c r="F20">
        <v>30</v>
      </c>
      <c r="G20">
        <v>10</v>
      </c>
      <c r="H20">
        <v>10016</v>
      </c>
      <c r="I20">
        <v>1</v>
      </c>
      <c r="J20" t="s">
        <v>435</v>
      </c>
      <c r="K20">
        <v>200098</v>
      </c>
      <c r="M20">
        <v>25100216</v>
      </c>
      <c r="O20">
        <v>1</v>
      </c>
      <c r="P20" s="5" t="s">
        <v>103</v>
      </c>
      <c r="Q20" s="5" t="s">
        <v>104</v>
      </c>
      <c r="R20" s="7" t="s">
        <v>77</v>
      </c>
      <c r="S20" s="5">
        <v>10</v>
      </c>
    </row>
    <row r="21" spans="2:19" ht="17.25" thickBot="1" x14ac:dyDescent="0.25">
      <c r="B21">
        <v>1001</v>
      </c>
      <c r="C21">
        <v>10017</v>
      </c>
      <c r="D21">
        <v>3</v>
      </c>
      <c r="E21">
        <v>15</v>
      </c>
      <c r="F21">
        <v>15</v>
      </c>
      <c r="G21">
        <v>40</v>
      </c>
      <c r="H21">
        <v>10017</v>
      </c>
      <c r="I21">
        <v>1</v>
      </c>
      <c r="J21" t="s">
        <v>435</v>
      </c>
      <c r="K21">
        <v>200099</v>
      </c>
      <c r="M21">
        <v>25100217</v>
      </c>
      <c r="O21">
        <v>1</v>
      </c>
      <c r="P21" s="5" t="s">
        <v>105</v>
      </c>
      <c r="Q21" s="5" t="s">
        <v>106</v>
      </c>
      <c r="R21" s="7" t="s">
        <v>77</v>
      </c>
      <c r="S21" s="5">
        <v>10</v>
      </c>
    </row>
    <row r="22" spans="2:19" ht="17.25" thickBot="1" x14ac:dyDescent="0.25">
      <c r="B22">
        <v>1001</v>
      </c>
      <c r="C22">
        <v>10018</v>
      </c>
      <c r="D22">
        <v>3</v>
      </c>
      <c r="E22">
        <v>15</v>
      </c>
      <c r="F22">
        <v>30</v>
      </c>
      <c r="G22">
        <v>15</v>
      </c>
      <c r="H22">
        <v>10018</v>
      </c>
      <c r="I22">
        <v>1</v>
      </c>
      <c r="J22" t="s">
        <v>435</v>
      </c>
      <c r="K22">
        <v>200004</v>
      </c>
      <c r="M22">
        <v>25100218</v>
      </c>
      <c r="O22">
        <v>1</v>
      </c>
      <c r="P22" s="5" t="s">
        <v>107</v>
      </c>
      <c r="Q22" s="5" t="s">
        <v>108</v>
      </c>
      <c r="R22" s="7" t="s">
        <v>77</v>
      </c>
      <c r="S22" s="5">
        <v>10</v>
      </c>
    </row>
    <row r="23" spans="2:19" ht="17.25" thickBot="1" x14ac:dyDescent="0.25">
      <c r="B23">
        <v>1001</v>
      </c>
      <c r="C23">
        <v>10019</v>
      </c>
      <c r="D23">
        <v>3</v>
      </c>
      <c r="E23">
        <v>40</v>
      </c>
      <c r="F23">
        <v>10</v>
      </c>
      <c r="G23">
        <v>10</v>
      </c>
      <c r="H23">
        <v>10019</v>
      </c>
      <c r="I23">
        <v>1</v>
      </c>
      <c r="J23" t="s">
        <v>435</v>
      </c>
      <c r="K23">
        <v>200008</v>
      </c>
      <c r="M23">
        <v>25100219</v>
      </c>
      <c r="O23">
        <v>1</v>
      </c>
      <c r="P23" s="5" t="s">
        <v>109</v>
      </c>
      <c r="Q23" s="5" t="s">
        <v>110</v>
      </c>
      <c r="R23" s="7" t="s">
        <v>77</v>
      </c>
      <c r="S23" s="5">
        <v>10</v>
      </c>
    </row>
    <row r="24" spans="2:19" ht="33.75" thickBot="1" x14ac:dyDescent="0.25">
      <c r="B24">
        <v>1001</v>
      </c>
      <c r="C24">
        <v>10020</v>
      </c>
      <c r="D24">
        <v>3</v>
      </c>
      <c r="E24">
        <v>20</v>
      </c>
      <c r="F24">
        <v>20</v>
      </c>
      <c r="G24">
        <v>20</v>
      </c>
      <c r="H24">
        <v>10020</v>
      </c>
      <c r="I24">
        <v>1</v>
      </c>
      <c r="J24" t="s">
        <v>435</v>
      </c>
      <c r="K24">
        <v>200021</v>
      </c>
      <c r="M24">
        <v>25100220</v>
      </c>
      <c r="O24">
        <v>1</v>
      </c>
      <c r="P24" s="5" t="s">
        <v>111</v>
      </c>
      <c r="Q24" s="5" t="s">
        <v>112</v>
      </c>
      <c r="R24" s="7" t="s">
        <v>77</v>
      </c>
      <c r="S24" s="5">
        <v>10</v>
      </c>
    </row>
    <row r="25" spans="2:19" ht="17.25" thickBot="1" x14ac:dyDescent="0.25">
      <c r="B25">
        <v>1001</v>
      </c>
      <c r="C25">
        <v>10021</v>
      </c>
      <c r="D25">
        <v>3</v>
      </c>
      <c r="E25">
        <v>30</v>
      </c>
      <c r="F25">
        <v>10</v>
      </c>
      <c r="G25">
        <v>20</v>
      </c>
      <c r="H25">
        <v>10021</v>
      </c>
      <c r="I25">
        <v>1</v>
      </c>
      <c r="J25" t="s">
        <v>435</v>
      </c>
      <c r="K25">
        <v>200032</v>
      </c>
      <c r="M25">
        <v>25100221</v>
      </c>
      <c r="O25">
        <v>1</v>
      </c>
      <c r="P25" s="5" t="s">
        <v>113</v>
      </c>
      <c r="Q25" s="5" t="s">
        <v>114</v>
      </c>
      <c r="R25" s="7" t="s">
        <v>77</v>
      </c>
      <c r="S25" s="5">
        <v>10</v>
      </c>
    </row>
    <row r="26" spans="2:19" ht="17.25" thickBot="1" x14ac:dyDescent="0.25">
      <c r="B26">
        <v>1001</v>
      </c>
      <c r="C26">
        <v>10022</v>
      </c>
      <c r="D26">
        <v>3</v>
      </c>
      <c r="E26">
        <v>15</v>
      </c>
      <c r="F26">
        <v>15</v>
      </c>
      <c r="G26">
        <v>15</v>
      </c>
      <c r="H26">
        <v>10022</v>
      </c>
      <c r="I26">
        <v>1</v>
      </c>
      <c r="J26" t="s">
        <v>436</v>
      </c>
      <c r="K26">
        <v>200010</v>
      </c>
      <c r="M26">
        <v>25100222</v>
      </c>
      <c r="O26">
        <v>1</v>
      </c>
      <c r="P26" s="5" t="s">
        <v>115</v>
      </c>
      <c r="Q26" s="5" t="s">
        <v>116</v>
      </c>
      <c r="R26" s="7" t="s">
        <v>77</v>
      </c>
      <c r="S26" s="5">
        <v>20</v>
      </c>
    </row>
    <row r="27" spans="2:19" ht="17.25" thickBot="1" x14ac:dyDescent="0.25">
      <c r="B27">
        <v>1001</v>
      </c>
      <c r="C27">
        <v>10023</v>
      </c>
      <c r="D27">
        <v>3</v>
      </c>
      <c r="E27">
        <v>5</v>
      </c>
      <c r="F27">
        <v>5</v>
      </c>
      <c r="G27">
        <v>30</v>
      </c>
      <c r="H27">
        <v>10023</v>
      </c>
      <c r="I27">
        <v>1</v>
      </c>
      <c r="J27" t="s">
        <v>436</v>
      </c>
      <c r="K27">
        <v>200044</v>
      </c>
      <c r="M27">
        <v>25100223</v>
      </c>
      <c r="O27">
        <v>1</v>
      </c>
      <c r="P27" s="5" t="s">
        <v>117</v>
      </c>
      <c r="Q27" s="5" t="s">
        <v>118</v>
      </c>
      <c r="R27" s="7" t="s">
        <v>77</v>
      </c>
      <c r="S27" s="5">
        <v>20</v>
      </c>
    </row>
    <row r="28" spans="2:19" ht="17.25" thickBot="1" x14ac:dyDescent="0.25">
      <c r="B28">
        <v>1001</v>
      </c>
      <c r="C28">
        <v>10024</v>
      </c>
      <c r="D28">
        <v>3</v>
      </c>
      <c r="E28">
        <v>10</v>
      </c>
      <c r="F28">
        <v>15</v>
      </c>
      <c r="G28">
        <v>25</v>
      </c>
      <c r="H28">
        <v>10024</v>
      </c>
      <c r="I28">
        <v>1</v>
      </c>
      <c r="J28" t="s">
        <v>436</v>
      </c>
      <c r="K28">
        <v>200048</v>
      </c>
      <c r="M28">
        <v>25100224</v>
      </c>
      <c r="O28">
        <v>1</v>
      </c>
      <c r="P28" s="5" t="s">
        <v>119</v>
      </c>
      <c r="Q28" s="5" t="s">
        <v>120</v>
      </c>
      <c r="R28" s="7" t="s">
        <v>77</v>
      </c>
      <c r="S28" s="5">
        <v>20</v>
      </c>
    </row>
    <row r="29" spans="2:19" ht="17.25" thickBot="1" x14ac:dyDescent="0.25">
      <c r="B29">
        <v>1001</v>
      </c>
      <c r="C29">
        <v>10025</v>
      </c>
      <c r="D29">
        <v>3</v>
      </c>
      <c r="E29">
        <v>70</v>
      </c>
      <c r="F29">
        <v>25</v>
      </c>
      <c r="G29">
        <v>5</v>
      </c>
      <c r="H29">
        <v>10025</v>
      </c>
      <c r="I29">
        <v>1</v>
      </c>
      <c r="J29" t="s">
        <v>436</v>
      </c>
      <c r="K29">
        <v>200038</v>
      </c>
      <c r="M29">
        <v>25100225</v>
      </c>
      <c r="O29">
        <v>1</v>
      </c>
      <c r="P29" s="5" t="s">
        <v>121</v>
      </c>
      <c r="Q29" s="5" t="s">
        <v>122</v>
      </c>
      <c r="R29" s="7" t="s">
        <v>77</v>
      </c>
      <c r="S29" s="5">
        <v>20</v>
      </c>
    </row>
    <row r="30" spans="2:19" ht="17.25" thickBot="1" x14ac:dyDescent="0.25">
      <c r="B30">
        <v>1001</v>
      </c>
      <c r="C30">
        <v>10026</v>
      </c>
      <c r="D30">
        <v>3</v>
      </c>
      <c r="E30">
        <v>65</v>
      </c>
      <c r="F30">
        <v>5</v>
      </c>
      <c r="G30">
        <v>30</v>
      </c>
      <c r="H30">
        <v>10026</v>
      </c>
      <c r="I30">
        <v>1</v>
      </c>
      <c r="J30" t="s">
        <v>436</v>
      </c>
      <c r="K30">
        <v>200084</v>
      </c>
      <c r="M30">
        <v>25100226</v>
      </c>
      <c r="O30">
        <v>1</v>
      </c>
      <c r="P30" s="5" t="s">
        <v>123</v>
      </c>
      <c r="Q30" s="5" t="s">
        <v>122</v>
      </c>
      <c r="R30" s="7" t="s">
        <v>77</v>
      </c>
      <c r="S30" s="5">
        <v>20</v>
      </c>
    </row>
    <row r="31" spans="2:19" ht="17.25" thickBot="1" x14ac:dyDescent="0.25">
      <c r="B31">
        <v>1001</v>
      </c>
      <c r="C31">
        <v>10027</v>
      </c>
      <c r="D31">
        <v>3</v>
      </c>
      <c r="E31">
        <v>5</v>
      </c>
      <c r="F31">
        <v>70</v>
      </c>
      <c r="G31">
        <v>25</v>
      </c>
      <c r="H31">
        <v>10027</v>
      </c>
      <c r="I31">
        <v>1</v>
      </c>
      <c r="J31" t="s">
        <v>436</v>
      </c>
      <c r="K31">
        <v>200046</v>
      </c>
      <c r="M31">
        <v>25100227</v>
      </c>
      <c r="O31">
        <v>1</v>
      </c>
      <c r="P31" s="5" t="s">
        <v>124</v>
      </c>
      <c r="Q31" s="5" t="s">
        <v>125</v>
      </c>
      <c r="R31" s="7" t="s">
        <v>77</v>
      </c>
      <c r="S31" s="5">
        <v>20</v>
      </c>
    </row>
    <row r="32" spans="2:19" ht="17.25" thickBot="1" x14ac:dyDescent="0.25">
      <c r="B32">
        <v>1001</v>
      </c>
      <c r="C32">
        <v>10028</v>
      </c>
      <c r="D32">
        <v>3</v>
      </c>
      <c r="E32">
        <v>25</v>
      </c>
      <c r="F32">
        <v>65</v>
      </c>
      <c r="G32">
        <v>10</v>
      </c>
      <c r="H32">
        <v>10028</v>
      </c>
      <c r="I32">
        <v>1</v>
      </c>
      <c r="J32" t="s">
        <v>436</v>
      </c>
      <c r="K32">
        <v>200045</v>
      </c>
      <c r="M32">
        <v>25100228</v>
      </c>
      <c r="O32">
        <v>1</v>
      </c>
      <c r="P32" s="5" t="s">
        <v>126</v>
      </c>
      <c r="Q32" s="5" t="s">
        <v>125</v>
      </c>
      <c r="R32" s="7" t="s">
        <v>77</v>
      </c>
      <c r="S32" s="5">
        <v>20</v>
      </c>
    </row>
    <row r="33" spans="2:19" ht="17.25" thickBot="1" x14ac:dyDescent="0.25">
      <c r="B33">
        <v>1001</v>
      </c>
      <c r="C33">
        <v>10029</v>
      </c>
      <c r="D33">
        <v>3</v>
      </c>
      <c r="E33">
        <v>10</v>
      </c>
      <c r="F33">
        <v>20</v>
      </c>
      <c r="G33">
        <v>70</v>
      </c>
      <c r="H33">
        <v>10029</v>
      </c>
      <c r="I33">
        <v>1</v>
      </c>
      <c r="J33" t="s">
        <v>436</v>
      </c>
      <c r="K33">
        <v>200007</v>
      </c>
      <c r="M33">
        <v>25100229</v>
      </c>
      <c r="O33">
        <v>1</v>
      </c>
      <c r="P33" s="5" t="s">
        <v>127</v>
      </c>
      <c r="Q33" s="5" t="s">
        <v>128</v>
      </c>
      <c r="R33" s="7" t="s">
        <v>77</v>
      </c>
      <c r="S33" s="5">
        <v>20</v>
      </c>
    </row>
    <row r="34" spans="2:19" ht="17.25" thickBot="1" x14ac:dyDescent="0.25">
      <c r="B34">
        <v>1001</v>
      </c>
      <c r="C34">
        <v>10030</v>
      </c>
      <c r="D34">
        <v>3</v>
      </c>
      <c r="E34">
        <v>5</v>
      </c>
      <c r="F34">
        <v>30</v>
      </c>
      <c r="G34">
        <v>65</v>
      </c>
      <c r="H34">
        <v>10030</v>
      </c>
      <c r="I34">
        <v>1</v>
      </c>
      <c r="J34" t="s">
        <v>436</v>
      </c>
      <c r="K34">
        <v>200009</v>
      </c>
      <c r="M34">
        <v>25100230</v>
      </c>
      <c r="O34">
        <v>1</v>
      </c>
      <c r="P34" s="9" t="s">
        <v>143</v>
      </c>
      <c r="Q34" s="5" t="s">
        <v>128</v>
      </c>
      <c r="R34" s="7" t="s">
        <v>77</v>
      </c>
      <c r="S34" s="5">
        <v>20</v>
      </c>
    </row>
    <row r="35" spans="2:19" ht="17.25" thickBot="1" x14ac:dyDescent="0.25">
      <c r="B35">
        <v>1001</v>
      </c>
      <c r="C35">
        <v>10031</v>
      </c>
      <c r="D35">
        <v>3</v>
      </c>
      <c r="E35">
        <v>50</v>
      </c>
      <c r="F35">
        <v>50</v>
      </c>
      <c r="G35">
        <v>20</v>
      </c>
      <c r="H35">
        <v>10031</v>
      </c>
      <c r="I35">
        <v>1</v>
      </c>
      <c r="J35" t="s">
        <v>437</v>
      </c>
      <c r="K35">
        <v>200052</v>
      </c>
      <c r="M35">
        <v>25100231</v>
      </c>
      <c r="O35">
        <v>1</v>
      </c>
      <c r="P35" s="5" t="s">
        <v>129</v>
      </c>
      <c r="Q35" s="6" t="s">
        <v>130</v>
      </c>
      <c r="R35" s="7" t="s">
        <v>77</v>
      </c>
      <c r="S35" s="5">
        <v>30</v>
      </c>
    </row>
    <row r="36" spans="2:19" ht="17.25" thickBot="1" x14ac:dyDescent="0.25">
      <c r="B36">
        <v>1001</v>
      </c>
      <c r="C36">
        <v>10032</v>
      </c>
      <c r="D36">
        <v>3</v>
      </c>
      <c r="E36">
        <v>15</v>
      </c>
      <c r="F36">
        <v>70</v>
      </c>
      <c r="G36">
        <v>35</v>
      </c>
      <c r="H36">
        <v>10032</v>
      </c>
      <c r="I36">
        <v>1</v>
      </c>
      <c r="J36" t="s">
        <v>437</v>
      </c>
      <c r="K36">
        <v>200061</v>
      </c>
      <c r="M36">
        <v>25100232</v>
      </c>
      <c r="P36" s="5" t="s">
        <v>131</v>
      </c>
      <c r="Q36" s="6" t="s">
        <v>132</v>
      </c>
      <c r="R36" s="5"/>
      <c r="S36" s="5">
        <v>30</v>
      </c>
    </row>
    <row r="37" spans="2:19" ht="17.25" thickBot="1" x14ac:dyDescent="0.25">
      <c r="B37">
        <v>1001</v>
      </c>
      <c r="C37">
        <v>10033</v>
      </c>
      <c r="D37">
        <v>3</v>
      </c>
      <c r="E37">
        <v>10</v>
      </c>
      <c r="F37">
        <v>20</v>
      </c>
      <c r="G37">
        <v>90</v>
      </c>
      <c r="H37">
        <v>10033</v>
      </c>
      <c r="I37">
        <v>1</v>
      </c>
      <c r="J37" t="s">
        <v>437</v>
      </c>
      <c r="K37">
        <v>200095</v>
      </c>
      <c r="M37">
        <v>25100233</v>
      </c>
      <c r="O37">
        <v>1</v>
      </c>
      <c r="P37" s="5" t="s">
        <v>133</v>
      </c>
      <c r="Q37" s="6" t="s">
        <v>134</v>
      </c>
      <c r="R37" s="5"/>
      <c r="S37" s="5">
        <v>30</v>
      </c>
    </row>
    <row r="38" spans="2:19" ht="17.25" thickBot="1" x14ac:dyDescent="0.25">
      <c r="B38">
        <v>1001</v>
      </c>
      <c r="C38">
        <v>10034</v>
      </c>
      <c r="D38">
        <v>3</v>
      </c>
      <c r="E38">
        <v>35</v>
      </c>
      <c r="F38">
        <v>15</v>
      </c>
      <c r="G38">
        <v>70</v>
      </c>
      <c r="H38">
        <v>10034</v>
      </c>
      <c r="I38">
        <v>1</v>
      </c>
      <c r="J38" t="s">
        <v>437</v>
      </c>
      <c r="K38">
        <v>200076</v>
      </c>
      <c r="M38">
        <v>25100234</v>
      </c>
      <c r="O38">
        <v>1</v>
      </c>
      <c r="P38" s="5" t="s">
        <v>135</v>
      </c>
      <c r="Q38" s="6" t="s">
        <v>136</v>
      </c>
      <c r="R38" s="7" t="s">
        <v>77</v>
      </c>
      <c r="S38" s="5">
        <v>30</v>
      </c>
    </row>
    <row r="39" spans="2:19" ht="33.75" thickBot="1" x14ac:dyDescent="0.25">
      <c r="B39">
        <v>1001</v>
      </c>
      <c r="C39">
        <v>10101</v>
      </c>
      <c r="D39">
        <v>3</v>
      </c>
      <c r="E39">
        <v>5</v>
      </c>
      <c r="F39">
        <v>30</v>
      </c>
      <c r="G39">
        <v>5</v>
      </c>
      <c r="I39">
        <v>1</v>
      </c>
      <c r="J39" t="s">
        <v>438</v>
      </c>
      <c r="L39">
        <v>25100101</v>
      </c>
      <c r="N39" s="19" t="s">
        <v>218</v>
      </c>
      <c r="P39" s="10" t="s">
        <v>146</v>
      </c>
      <c r="S39" s="5">
        <v>5</v>
      </c>
    </row>
    <row r="40" spans="2:19" ht="17.25" thickBot="1" x14ac:dyDescent="0.25">
      <c r="B40">
        <v>1001</v>
      </c>
      <c r="C40">
        <v>10102</v>
      </c>
      <c r="D40">
        <v>3</v>
      </c>
      <c r="E40">
        <v>10</v>
      </c>
      <c r="F40">
        <v>15</v>
      </c>
      <c r="G40">
        <v>0</v>
      </c>
      <c r="I40">
        <v>1</v>
      </c>
      <c r="J40" t="s">
        <v>438</v>
      </c>
      <c r="L40">
        <v>25100102</v>
      </c>
      <c r="N40" s="19" t="s">
        <v>219</v>
      </c>
      <c r="P40" s="10" t="s">
        <v>147</v>
      </c>
      <c r="S40" s="5">
        <v>5</v>
      </c>
    </row>
    <row r="41" spans="2:19" ht="17.25" thickBot="1" x14ac:dyDescent="0.25">
      <c r="B41">
        <v>1001</v>
      </c>
      <c r="C41">
        <v>10103</v>
      </c>
      <c r="D41">
        <v>3</v>
      </c>
      <c r="E41">
        <v>20</v>
      </c>
      <c r="F41">
        <v>5</v>
      </c>
      <c r="G41">
        <v>0</v>
      </c>
      <c r="I41">
        <v>1</v>
      </c>
      <c r="J41" t="s">
        <v>438</v>
      </c>
      <c r="L41">
        <v>25100103</v>
      </c>
      <c r="N41" s="19" t="s">
        <v>220</v>
      </c>
      <c r="P41" s="10" t="s">
        <v>148</v>
      </c>
      <c r="S41" s="5">
        <v>5</v>
      </c>
    </row>
    <row r="42" spans="2:19" ht="33.75" thickBot="1" x14ac:dyDescent="0.25">
      <c r="B42">
        <v>1001</v>
      </c>
      <c r="C42">
        <v>10104</v>
      </c>
      <c r="D42">
        <v>3</v>
      </c>
      <c r="E42">
        <v>30</v>
      </c>
      <c r="F42">
        <v>5</v>
      </c>
      <c r="G42">
        <v>5</v>
      </c>
      <c r="I42">
        <v>1</v>
      </c>
      <c r="J42" t="s">
        <v>438</v>
      </c>
      <c r="L42">
        <v>25100104</v>
      </c>
      <c r="N42" s="19" t="s">
        <v>221</v>
      </c>
      <c r="P42" s="10" t="s">
        <v>149</v>
      </c>
      <c r="S42" s="5">
        <v>5</v>
      </c>
    </row>
    <row r="43" spans="2:19" ht="17.25" thickBot="1" x14ac:dyDescent="0.25">
      <c r="B43">
        <v>1001</v>
      </c>
      <c r="C43">
        <v>10105</v>
      </c>
      <c r="D43">
        <v>3</v>
      </c>
      <c r="E43">
        <v>5</v>
      </c>
      <c r="F43">
        <v>5</v>
      </c>
      <c r="G43">
        <v>5</v>
      </c>
      <c r="I43">
        <v>1</v>
      </c>
      <c r="J43" t="s">
        <v>438</v>
      </c>
      <c r="L43">
        <v>25100105</v>
      </c>
      <c r="N43" s="19" t="s">
        <v>222</v>
      </c>
      <c r="P43" s="10" t="s">
        <v>150</v>
      </c>
      <c r="S43" s="5">
        <v>5</v>
      </c>
    </row>
    <row r="44" spans="2:19" ht="17.25" thickBot="1" x14ac:dyDescent="0.25">
      <c r="B44">
        <v>1001</v>
      </c>
      <c r="C44">
        <v>10106</v>
      </c>
      <c r="D44">
        <v>3</v>
      </c>
      <c r="E44">
        <v>10</v>
      </c>
      <c r="F44">
        <v>10</v>
      </c>
      <c r="G44">
        <v>10</v>
      </c>
      <c r="I44">
        <v>1</v>
      </c>
      <c r="J44" t="s">
        <v>438</v>
      </c>
      <c r="L44">
        <v>25100106</v>
      </c>
      <c r="N44" s="19" t="s">
        <v>223</v>
      </c>
      <c r="P44" s="10" t="s">
        <v>151</v>
      </c>
      <c r="S44" s="5">
        <v>5</v>
      </c>
    </row>
    <row r="45" spans="2:19" ht="17.25" thickBot="1" x14ac:dyDescent="0.25">
      <c r="B45">
        <v>1001</v>
      </c>
      <c r="C45">
        <v>10107</v>
      </c>
      <c r="D45">
        <v>3</v>
      </c>
      <c r="E45">
        <v>5</v>
      </c>
      <c r="F45">
        <v>10</v>
      </c>
      <c r="G45">
        <v>20</v>
      </c>
      <c r="I45">
        <v>1</v>
      </c>
      <c r="J45" t="s">
        <v>438</v>
      </c>
      <c r="L45">
        <v>25100107</v>
      </c>
      <c r="N45" s="19" t="s">
        <v>224</v>
      </c>
      <c r="P45" s="11" t="s">
        <v>152</v>
      </c>
      <c r="S45" s="5">
        <v>5</v>
      </c>
    </row>
    <row r="46" spans="2:19" ht="17.25" thickBot="1" x14ac:dyDescent="0.25">
      <c r="B46">
        <v>1001</v>
      </c>
      <c r="C46">
        <v>10108</v>
      </c>
      <c r="D46">
        <v>3</v>
      </c>
      <c r="E46">
        <v>10</v>
      </c>
      <c r="F46">
        <v>0</v>
      </c>
      <c r="G46">
        <v>10</v>
      </c>
      <c r="I46">
        <v>1</v>
      </c>
      <c r="J46" t="s">
        <v>438</v>
      </c>
      <c r="L46">
        <v>25100108</v>
      </c>
      <c r="N46" s="19" t="s">
        <v>225</v>
      </c>
      <c r="P46" s="11" t="s">
        <v>153</v>
      </c>
      <c r="S46" s="5">
        <v>5</v>
      </c>
    </row>
    <row r="47" spans="2:19" ht="17.25" thickBot="1" x14ac:dyDescent="0.25">
      <c r="B47">
        <v>1001</v>
      </c>
      <c r="C47">
        <v>10109</v>
      </c>
      <c r="D47">
        <v>3</v>
      </c>
      <c r="E47">
        <v>5</v>
      </c>
      <c r="F47">
        <v>5</v>
      </c>
      <c r="G47">
        <v>0</v>
      </c>
      <c r="I47">
        <v>1</v>
      </c>
      <c r="J47" t="s">
        <v>438</v>
      </c>
      <c r="L47">
        <v>25100109</v>
      </c>
      <c r="N47" s="19" t="s">
        <v>226</v>
      </c>
      <c r="P47" s="11" t="s">
        <v>154</v>
      </c>
      <c r="S47" s="5">
        <v>5</v>
      </c>
    </row>
    <row r="48" spans="2:19" ht="17.25" thickBot="1" x14ac:dyDescent="0.25">
      <c r="B48">
        <v>1001</v>
      </c>
      <c r="C48">
        <v>10110</v>
      </c>
      <c r="D48">
        <v>3</v>
      </c>
      <c r="E48">
        <v>10</v>
      </c>
      <c r="F48">
        <v>30</v>
      </c>
      <c r="G48">
        <v>0</v>
      </c>
      <c r="I48">
        <v>1</v>
      </c>
      <c r="J48" t="s">
        <v>438</v>
      </c>
      <c r="L48">
        <v>25100110</v>
      </c>
      <c r="N48" s="19" t="s">
        <v>227</v>
      </c>
      <c r="P48" s="11" t="s">
        <v>155</v>
      </c>
      <c r="S48" s="5">
        <v>5</v>
      </c>
    </row>
    <row r="49" spans="2:19" ht="17.25" thickBot="1" x14ac:dyDescent="0.25">
      <c r="B49">
        <v>1001</v>
      </c>
      <c r="C49">
        <v>10111</v>
      </c>
      <c r="D49">
        <v>3</v>
      </c>
      <c r="E49">
        <v>25</v>
      </c>
      <c r="F49">
        <v>15</v>
      </c>
      <c r="G49">
        <v>20</v>
      </c>
      <c r="I49">
        <v>1</v>
      </c>
      <c r="J49" t="s">
        <v>435</v>
      </c>
      <c r="L49">
        <v>25100111</v>
      </c>
      <c r="N49" s="19" t="s">
        <v>228</v>
      </c>
      <c r="P49" s="8" t="s">
        <v>156</v>
      </c>
      <c r="S49" s="5">
        <v>10</v>
      </c>
    </row>
    <row r="50" spans="2:19" ht="17.25" thickBot="1" x14ac:dyDescent="0.25">
      <c r="B50">
        <v>1001</v>
      </c>
      <c r="C50">
        <v>10112</v>
      </c>
      <c r="D50">
        <v>3</v>
      </c>
      <c r="E50">
        <v>30</v>
      </c>
      <c r="F50">
        <v>30</v>
      </c>
      <c r="G50">
        <v>10</v>
      </c>
      <c r="I50">
        <v>1</v>
      </c>
      <c r="J50" t="s">
        <v>435</v>
      </c>
      <c r="L50">
        <v>25100112</v>
      </c>
      <c r="N50" s="19" t="s">
        <v>228</v>
      </c>
      <c r="P50" s="5" t="s">
        <v>156</v>
      </c>
      <c r="S50" s="5">
        <v>10</v>
      </c>
    </row>
    <row r="51" spans="2:19" ht="17.25" thickBot="1" x14ac:dyDescent="0.25">
      <c r="B51">
        <v>1001</v>
      </c>
      <c r="C51">
        <v>10113</v>
      </c>
      <c r="D51">
        <v>3</v>
      </c>
      <c r="E51">
        <v>10</v>
      </c>
      <c r="F51">
        <v>20</v>
      </c>
      <c r="G51">
        <v>30</v>
      </c>
      <c r="I51">
        <v>1</v>
      </c>
      <c r="J51" t="s">
        <v>435</v>
      </c>
      <c r="L51">
        <v>25100113</v>
      </c>
      <c r="N51" s="19" t="s">
        <v>229</v>
      </c>
      <c r="P51" s="5" t="s">
        <v>157</v>
      </c>
      <c r="S51" s="5">
        <v>10</v>
      </c>
    </row>
    <row r="52" spans="2:19" ht="17.25" thickBot="1" x14ac:dyDescent="0.25">
      <c r="B52">
        <v>1001</v>
      </c>
      <c r="C52">
        <v>10114</v>
      </c>
      <c r="D52">
        <v>3</v>
      </c>
      <c r="E52">
        <v>15</v>
      </c>
      <c r="F52">
        <v>30</v>
      </c>
      <c r="G52">
        <v>25</v>
      </c>
      <c r="I52">
        <v>1</v>
      </c>
      <c r="J52" t="s">
        <v>435</v>
      </c>
      <c r="L52">
        <v>25100114</v>
      </c>
      <c r="N52" s="19" t="s">
        <v>229</v>
      </c>
      <c r="P52" s="5" t="s">
        <v>157</v>
      </c>
      <c r="S52" s="5">
        <v>10</v>
      </c>
    </row>
    <row r="53" spans="2:19" ht="17.25" thickBot="1" x14ac:dyDescent="0.25">
      <c r="B53">
        <v>1001</v>
      </c>
      <c r="C53">
        <v>10115</v>
      </c>
      <c r="D53">
        <v>3</v>
      </c>
      <c r="E53">
        <v>25</v>
      </c>
      <c r="F53">
        <v>15</v>
      </c>
      <c r="G53">
        <v>30</v>
      </c>
      <c r="I53">
        <v>1</v>
      </c>
      <c r="J53" t="s">
        <v>435</v>
      </c>
      <c r="L53">
        <v>25100115</v>
      </c>
      <c r="N53" s="19" t="s">
        <v>230</v>
      </c>
      <c r="P53" s="5" t="s">
        <v>158</v>
      </c>
      <c r="S53" s="5">
        <v>10</v>
      </c>
    </row>
    <row r="54" spans="2:19" ht="17.25" thickBot="1" x14ac:dyDescent="0.25">
      <c r="B54">
        <v>1001</v>
      </c>
      <c r="C54">
        <v>10116</v>
      </c>
      <c r="D54">
        <v>3</v>
      </c>
      <c r="E54">
        <v>45</v>
      </c>
      <c r="F54">
        <v>25</v>
      </c>
      <c r="G54">
        <v>10</v>
      </c>
      <c r="I54">
        <v>1</v>
      </c>
      <c r="J54" t="s">
        <v>435</v>
      </c>
      <c r="L54">
        <v>25100116</v>
      </c>
      <c r="N54" s="19" t="s">
        <v>230</v>
      </c>
      <c r="P54" s="5" t="s">
        <v>158</v>
      </c>
      <c r="S54" s="5">
        <v>10</v>
      </c>
    </row>
    <row r="55" spans="2:19" ht="17.25" thickBot="1" x14ac:dyDescent="0.25">
      <c r="B55">
        <v>1001</v>
      </c>
      <c r="C55">
        <v>10117</v>
      </c>
      <c r="D55">
        <v>3</v>
      </c>
      <c r="E55">
        <v>10</v>
      </c>
      <c r="F55">
        <v>10</v>
      </c>
      <c r="G55">
        <v>50</v>
      </c>
      <c r="I55">
        <v>1</v>
      </c>
      <c r="J55" t="s">
        <v>435</v>
      </c>
      <c r="L55">
        <v>25100117</v>
      </c>
      <c r="N55" s="19" t="s">
        <v>231</v>
      </c>
      <c r="P55" s="5" t="s">
        <v>159</v>
      </c>
      <c r="S55" s="5">
        <v>10</v>
      </c>
    </row>
    <row r="56" spans="2:19" ht="17.25" thickBot="1" x14ac:dyDescent="0.25">
      <c r="B56">
        <v>1001</v>
      </c>
      <c r="C56">
        <v>10118</v>
      </c>
      <c r="D56">
        <v>3</v>
      </c>
      <c r="E56">
        <v>10</v>
      </c>
      <c r="F56">
        <v>40</v>
      </c>
      <c r="G56">
        <v>30</v>
      </c>
      <c r="I56">
        <v>1</v>
      </c>
      <c r="J56" t="s">
        <v>435</v>
      </c>
      <c r="L56">
        <v>25100118</v>
      </c>
      <c r="N56" s="19" t="s">
        <v>231</v>
      </c>
      <c r="P56" s="5" t="s">
        <v>159</v>
      </c>
      <c r="S56" s="5">
        <v>10</v>
      </c>
    </row>
    <row r="57" spans="2:19" ht="17.25" thickBot="1" x14ac:dyDescent="0.25">
      <c r="B57">
        <v>1001</v>
      </c>
      <c r="C57">
        <v>10119</v>
      </c>
      <c r="D57">
        <v>3</v>
      </c>
      <c r="E57">
        <v>30</v>
      </c>
      <c r="F57">
        <v>15</v>
      </c>
      <c r="G57">
        <v>15</v>
      </c>
      <c r="I57">
        <v>1</v>
      </c>
      <c r="J57" t="s">
        <v>435</v>
      </c>
      <c r="L57">
        <v>25100119</v>
      </c>
      <c r="N57" s="19" t="s">
        <v>232</v>
      </c>
      <c r="P57" s="5" t="s">
        <v>160</v>
      </c>
      <c r="S57" s="5">
        <v>10</v>
      </c>
    </row>
    <row r="58" spans="2:19" ht="17.25" thickBot="1" x14ac:dyDescent="0.25">
      <c r="B58">
        <v>1001</v>
      </c>
      <c r="C58">
        <v>10120</v>
      </c>
      <c r="D58">
        <v>3</v>
      </c>
      <c r="E58">
        <v>15</v>
      </c>
      <c r="F58">
        <v>10</v>
      </c>
      <c r="G58">
        <v>45</v>
      </c>
      <c r="I58">
        <v>1</v>
      </c>
      <c r="J58" t="s">
        <v>435</v>
      </c>
      <c r="L58">
        <v>25100120</v>
      </c>
      <c r="N58" s="19" t="s">
        <v>232</v>
      </c>
      <c r="P58" s="5" t="s">
        <v>160</v>
      </c>
      <c r="S58" s="5">
        <v>10</v>
      </c>
    </row>
    <row r="59" spans="2:19" ht="17.25" thickBot="1" x14ac:dyDescent="0.25">
      <c r="B59">
        <v>1001</v>
      </c>
      <c r="C59">
        <v>10121</v>
      </c>
      <c r="D59">
        <v>3</v>
      </c>
      <c r="E59">
        <v>25</v>
      </c>
      <c r="F59">
        <v>10</v>
      </c>
      <c r="G59">
        <v>25</v>
      </c>
      <c r="I59">
        <v>1</v>
      </c>
      <c r="J59" t="s">
        <v>435</v>
      </c>
      <c r="L59">
        <v>25100121</v>
      </c>
      <c r="N59" s="19" t="s">
        <v>233</v>
      </c>
      <c r="P59" s="5" t="s">
        <v>161</v>
      </c>
      <c r="S59" s="5">
        <v>10</v>
      </c>
    </row>
    <row r="60" spans="2:19" ht="17.25" thickBot="1" x14ac:dyDescent="0.25">
      <c r="B60">
        <v>1001</v>
      </c>
      <c r="C60">
        <v>10122</v>
      </c>
      <c r="D60">
        <v>3</v>
      </c>
      <c r="E60">
        <v>5</v>
      </c>
      <c r="F60">
        <v>55</v>
      </c>
      <c r="G60">
        <v>10</v>
      </c>
      <c r="I60">
        <v>1</v>
      </c>
      <c r="J60" t="s">
        <v>435</v>
      </c>
      <c r="L60">
        <v>25100122</v>
      </c>
      <c r="N60" s="19" t="s">
        <v>233</v>
      </c>
      <c r="P60" s="5" t="s">
        <v>161</v>
      </c>
      <c r="S60" s="5">
        <v>10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3E9B-694F-424E-9605-914DDCE3A782}">
  <dimension ref="A1:U38"/>
  <sheetViews>
    <sheetView workbookViewId="0">
      <selection activeCell="F17" sqref="F17"/>
    </sheetView>
  </sheetViews>
  <sheetFormatPr defaultRowHeight="14.25" x14ac:dyDescent="0.2"/>
  <cols>
    <col min="12" max="12" width="57.5" bestFit="1" customWidth="1"/>
    <col min="13" max="18" width="4.625" customWidth="1"/>
    <col min="19" max="19" width="4.125" customWidth="1"/>
    <col min="21" max="21" width="90.875" customWidth="1"/>
  </cols>
  <sheetData>
    <row r="1" spans="1:21" x14ac:dyDescent="0.2">
      <c r="A1" s="1" t="s">
        <v>0</v>
      </c>
      <c r="B1" s="1" t="s">
        <v>1</v>
      </c>
      <c r="C1" t="s">
        <v>8</v>
      </c>
      <c r="D1" t="s">
        <v>24</v>
      </c>
      <c r="E1" t="s">
        <v>25</v>
      </c>
      <c r="F1" t="s">
        <v>26</v>
      </c>
      <c r="G1" t="s">
        <v>172</v>
      </c>
      <c r="H1" t="s">
        <v>180</v>
      </c>
      <c r="I1" t="s">
        <v>181</v>
      </c>
    </row>
    <row r="2" spans="1:21" x14ac:dyDescent="0.2">
      <c r="A2" s="1" t="s">
        <v>2</v>
      </c>
      <c r="B2" s="1" t="s">
        <v>22</v>
      </c>
      <c r="C2" t="s">
        <v>23</v>
      </c>
      <c r="D2" t="s">
        <v>27</v>
      </c>
    </row>
    <row r="3" spans="1:21" x14ac:dyDescent="0.2">
      <c r="A3" s="1" t="s">
        <v>3</v>
      </c>
      <c r="B3" s="1" t="s">
        <v>4</v>
      </c>
      <c r="C3" t="s">
        <v>4</v>
      </c>
      <c r="D3" t="s">
        <v>71</v>
      </c>
    </row>
    <row r="4" spans="1:21" ht="15" thickBot="1" x14ac:dyDescent="0.25">
      <c r="A4" s="1" t="s">
        <v>5</v>
      </c>
      <c r="B4" s="1"/>
      <c r="K4" t="s">
        <v>8</v>
      </c>
      <c r="L4" t="s">
        <v>28</v>
      </c>
      <c r="M4" t="s">
        <v>24</v>
      </c>
      <c r="N4" t="s">
        <v>25</v>
      </c>
      <c r="O4" t="s">
        <v>26</v>
      </c>
      <c r="P4" t="s">
        <v>172</v>
      </c>
      <c r="Q4" t="s">
        <v>180</v>
      </c>
      <c r="R4" t="s">
        <v>181</v>
      </c>
    </row>
    <row r="5" spans="1:21" ht="17.25" thickBot="1" x14ac:dyDescent="0.25">
      <c r="B5">
        <v>10001</v>
      </c>
      <c r="C5">
        <v>101</v>
      </c>
      <c r="D5">
        <v>10</v>
      </c>
      <c r="K5">
        <v>101</v>
      </c>
      <c r="L5" t="s">
        <v>170</v>
      </c>
      <c r="M5" t="s">
        <v>29</v>
      </c>
      <c r="T5" s="14">
        <v>10001</v>
      </c>
      <c r="U5" s="21" t="s">
        <v>239</v>
      </c>
    </row>
    <row r="6" spans="1:21" ht="17.25" thickBot="1" x14ac:dyDescent="0.25">
      <c r="B6">
        <v>10002</v>
      </c>
      <c r="C6">
        <v>102</v>
      </c>
      <c r="D6">
        <v>3</v>
      </c>
      <c r="E6">
        <v>10</v>
      </c>
      <c r="K6">
        <v>102</v>
      </c>
      <c r="L6" t="s">
        <v>263</v>
      </c>
      <c r="M6" t="s">
        <v>29</v>
      </c>
      <c r="N6" t="s">
        <v>30</v>
      </c>
      <c r="T6" s="14">
        <v>10002</v>
      </c>
      <c r="U6" s="21" t="s">
        <v>240</v>
      </c>
    </row>
    <row r="7" spans="1:21" ht="17.25" thickBot="1" x14ac:dyDescent="0.25">
      <c r="B7">
        <v>10003</v>
      </c>
      <c r="C7">
        <v>103</v>
      </c>
      <c r="D7">
        <v>10</v>
      </c>
      <c r="E7" s="13">
        <v>100002</v>
      </c>
      <c r="F7">
        <v>1</v>
      </c>
      <c r="K7">
        <v>103</v>
      </c>
      <c r="L7" t="s">
        <v>31</v>
      </c>
      <c r="M7" t="s">
        <v>29</v>
      </c>
      <c r="N7" t="s">
        <v>30</v>
      </c>
      <c r="O7" t="s">
        <v>32</v>
      </c>
      <c r="T7" s="14">
        <v>10003</v>
      </c>
      <c r="U7" s="22" t="s">
        <v>241</v>
      </c>
    </row>
    <row r="8" spans="1:21" ht="17.25" thickBot="1" x14ac:dyDescent="0.25">
      <c r="B8">
        <v>10004</v>
      </c>
      <c r="C8">
        <v>102</v>
      </c>
      <c r="D8">
        <v>1</v>
      </c>
      <c r="E8">
        <v>50</v>
      </c>
      <c r="K8">
        <v>104</v>
      </c>
      <c r="L8" t="s">
        <v>171</v>
      </c>
      <c r="M8" t="s">
        <v>29</v>
      </c>
      <c r="N8" t="s">
        <v>30</v>
      </c>
      <c r="T8" s="14">
        <v>10004</v>
      </c>
      <c r="U8" s="21" t="s">
        <v>242</v>
      </c>
    </row>
    <row r="9" spans="1:21" ht="29.25" thickBot="1" x14ac:dyDescent="0.25">
      <c r="B9">
        <v>10005</v>
      </c>
      <c r="C9">
        <v>119</v>
      </c>
      <c r="D9">
        <v>2</v>
      </c>
      <c r="E9">
        <v>30</v>
      </c>
      <c r="K9">
        <v>105</v>
      </c>
      <c r="L9" s="15" t="s">
        <v>177</v>
      </c>
      <c r="M9" t="s">
        <v>173</v>
      </c>
      <c r="N9" t="s">
        <v>174</v>
      </c>
      <c r="O9" t="s">
        <v>175</v>
      </c>
      <c r="P9" t="s">
        <v>176</v>
      </c>
      <c r="T9" s="14">
        <v>10005</v>
      </c>
      <c r="U9" s="23" t="s">
        <v>243</v>
      </c>
    </row>
    <row r="10" spans="1:21" ht="17.25" thickBot="1" x14ac:dyDescent="0.25">
      <c r="B10">
        <v>10006</v>
      </c>
      <c r="C10">
        <v>101</v>
      </c>
      <c r="D10">
        <v>20</v>
      </c>
      <c r="K10">
        <v>106</v>
      </c>
      <c r="L10" t="s">
        <v>178</v>
      </c>
      <c r="M10" t="s">
        <v>173</v>
      </c>
      <c r="N10" t="s">
        <v>174</v>
      </c>
      <c r="O10" t="s">
        <v>175</v>
      </c>
      <c r="T10" s="14">
        <v>10006</v>
      </c>
      <c r="U10" s="5" t="s">
        <v>86</v>
      </c>
    </row>
    <row r="11" spans="1:21" ht="17.25" thickBot="1" x14ac:dyDescent="0.25">
      <c r="B11">
        <v>10007</v>
      </c>
      <c r="C11">
        <v>101</v>
      </c>
      <c r="D11">
        <v>20</v>
      </c>
      <c r="K11">
        <v>107</v>
      </c>
      <c r="L11" t="s">
        <v>179</v>
      </c>
      <c r="M11" t="s">
        <v>173</v>
      </c>
      <c r="N11" t="s">
        <v>174</v>
      </c>
      <c r="O11" t="s">
        <v>175</v>
      </c>
      <c r="P11" t="s">
        <v>176</v>
      </c>
      <c r="Q11" t="s">
        <v>182</v>
      </c>
      <c r="R11" t="s">
        <v>183</v>
      </c>
      <c r="T11" s="14">
        <v>10007</v>
      </c>
      <c r="U11" s="5" t="s">
        <v>86</v>
      </c>
    </row>
    <row r="12" spans="1:21" ht="17.25" thickBot="1" x14ac:dyDescent="0.25">
      <c r="B12">
        <v>10008</v>
      </c>
      <c r="C12">
        <v>101</v>
      </c>
      <c r="D12">
        <v>20</v>
      </c>
      <c r="K12">
        <v>108</v>
      </c>
      <c r="L12" t="s">
        <v>184</v>
      </c>
      <c r="M12" t="s">
        <v>173</v>
      </c>
      <c r="N12" t="s">
        <v>174</v>
      </c>
      <c r="T12" s="14">
        <v>10008</v>
      </c>
      <c r="U12" s="5" t="s">
        <v>86</v>
      </c>
    </row>
    <row r="13" spans="1:21" ht="17.25" thickBot="1" x14ac:dyDescent="0.25">
      <c r="B13">
        <v>10009</v>
      </c>
      <c r="C13">
        <v>120</v>
      </c>
      <c r="D13">
        <v>2</v>
      </c>
      <c r="E13">
        <v>20</v>
      </c>
      <c r="K13">
        <v>109</v>
      </c>
      <c r="L13" t="s">
        <v>185</v>
      </c>
      <c r="M13" t="s">
        <v>173</v>
      </c>
      <c r="N13" t="s">
        <v>174</v>
      </c>
      <c r="T13" s="14">
        <v>10009</v>
      </c>
      <c r="U13" s="23" t="s">
        <v>265</v>
      </c>
    </row>
    <row r="14" spans="1:21" ht="17.25" thickBot="1" x14ac:dyDescent="0.25">
      <c r="B14">
        <v>10010</v>
      </c>
      <c r="C14">
        <v>120</v>
      </c>
      <c r="D14">
        <v>1</v>
      </c>
      <c r="E14">
        <v>20</v>
      </c>
      <c r="K14">
        <v>110</v>
      </c>
      <c r="L14" t="s">
        <v>186</v>
      </c>
      <c r="M14" t="s">
        <v>173</v>
      </c>
      <c r="N14" t="s">
        <v>174</v>
      </c>
      <c r="O14" t="s">
        <v>175</v>
      </c>
      <c r="T14" s="14">
        <v>10010</v>
      </c>
      <c r="U14" s="23" t="s">
        <v>244</v>
      </c>
    </row>
    <row r="15" spans="1:21" ht="17.25" thickBot="1" x14ac:dyDescent="0.25">
      <c r="B15">
        <v>10011</v>
      </c>
      <c r="C15">
        <v>120</v>
      </c>
      <c r="D15">
        <v>3</v>
      </c>
      <c r="E15">
        <v>20</v>
      </c>
      <c r="K15">
        <v>111</v>
      </c>
      <c r="L15" t="s">
        <v>187</v>
      </c>
      <c r="M15" t="s">
        <v>173</v>
      </c>
      <c r="T15" s="14">
        <v>10011</v>
      </c>
      <c r="U15" s="24" t="s">
        <v>245</v>
      </c>
    </row>
    <row r="16" spans="1:21" ht="15" thickBot="1" x14ac:dyDescent="0.25">
      <c r="B16">
        <v>10012</v>
      </c>
      <c r="C16">
        <v>121</v>
      </c>
      <c r="K16">
        <v>112</v>
      </c>
      <c r="L16" t="s">
        <v>188</v>
      </c>
      <c r="M16" t="s">
        <v>173</v>
      </c>
      <c r="T16" s="16">
        <v>10012</v>
      </c>
      <c r="U16" s="27" t="s">
        <v>267</v>
      </c>
    </row>
    <row r="17" spans="2:21" ht="17.25" thickBot="1" x14ac:dyDescent="0.25">
      <c r="B17">
        <v>10013</v>
      </c>
      <c r="C17">
        <v>122</v>
      </c>
      <c r="D17">
        <v>20</v>
      </c>
      <c r="E17" s="13">
        <v>100002</v>
      </c>
      <c r="F17">
        <v>1</v>
      </c>
      <c r="K17">
        <v>113</v>
      </c>
      <c r="L17" t="s">
        <v>189</v>
      </c>
      <c r="M17" t="s">
        <v>173</v>
      </c>
      <c r="N17" t="s">
        <v>174</v>
      </c>
      <c r="T17" s="16">
        <v>10013</v>
      </c>
      <c r="U17" s="24" t="s">
        <v>246</v>
      </c>
    </row>
    <row r="18" spans="2:21" ht="17.25" thickBot="1" x14ac:dyDescent="0.25">
      <c r="B18">
        <v>10014</v>
      </c>
      <c r="C18">
        <v>108</v>
      </c>
      <c r="D18">
        <v>10015</v>
      </c>
      <c r="E18">
        <v>20</v>
      </c>
      <c r="K18">
        <v>114</v>
      </c>
      <c r="L18" t="s">
        <v>190</v>
      </c>
      <c r="M18" t="s">
        <v>173</v>
      </c>
      <c r="N18" t="s">
        <v>174</v>
      </c>
      <c r="T18" s="16">
        <v>10014</v>
      </c>
      <c r="U18" s="12" t="s">
        <v>247</v>
      </c>
    </row>
    <row r="19" spans="2:21" ht="17.25" thickBot="1" x14ac:dyDescent="0.25">
      <c r="B19">
        <v>10015</v>
      </c>
      <c r="C19">
        <v>109</v>
      </c>
      <c r="D19">
        <v>10101</v>
      </c>
      <c r="E19">
        <v>1</v>
      </c>
      <c r="K19">
        <v>115</v>
      </c>
      <c r="L19" t="s">
        <v>191</v>
      </c>
      <c r="T19" s="16">
        <v>10015</v>
      </c>
      <c r="U19" s="12" t="s">
        <v>248</v>
      </c>
    </row>
    <row r="20" spans="2:21" ht="17.25" thickBot="1" x14ac:dyDescent="0.25">
      <c r="B20">
        <v>10016</v>
      </c>
      <c r="C20">
        <v>108</v>
      </c>
      <c r="D20">
        <v>10017</v>
      </c>
      <c r="E20">
        <v>20</v>
      </c>
      <c r="K20">
        <v>116</v>
      </c>
      <c r="L20" t="s">
        <v>192</v>
      </c>
      <c r="T20">
        <v>10016</v>
      </c>
      <c r="U20" s="12" t="s">
        <v>249</v>
      </c>
    </row>
    <row r="21" spans="2:21" ht="17.25" thickBot="1" x14ac:dyDescent="0.25">
      <c r="B21">
        <v>10017</v>
      </c>
      <c r="C21">
        <v>108</v>
      </c>
      <c r="D21">
        <v>10016</v>
      </c>
      <c r="E21">
        <v>20</v>
      </c>
      <c r="K21">
        <v>117</v>
      </c>
      <c r="L21" t="s">
        <v>194</v>
      </c>
      <c r="T21">
        <v>10017</v>
      </c>
      <c r="U21" s="12" t="s">
        <v>250</v>
      </c>
    </row>
    <row r="22" spans="2:21" ht="17.25" thickBot="1" x14ac:dyDescent="0.25">
      <c r="B22">
        <v>10018</v>
      </c>
      <c r="C22">
        <v>108</v>
      </c>
      <c r="D22">
        <v>10019</v>
      </c>
      <c r="E22">
        <v>20</v>
      </c>
      <c r="K22">
        <v>118</v>
      </c>
      <c r="L22" t="s">
        <v>193</v>
      </c>
      <c r="T22">
        <v>10018</v>
      </c>
      <c r="U22" s="12" t="s">
        <v>251</v>
      </c>
    </row>
    <row r="23" spans="2:21" ht="17.25" thickBot="1" x14ac:dyDescent="0.25">
      <c r="B23">
        <v>10019</v>
      </c>
      <c r="C23">
        <v>108</v>
      </c>
      <c r="D23">
        <v>10018</v>
      </c>
      <c r="E23">
        <v>20</v>
      </c>
      <c r="K23" s="25">
        <v>119</v>
      </c>
      <c r="L23" s="25" t="s">
        <v>264</v>
      </c>
      <c r="M23" s="26" t="s">
        <v>173</v>
      </c>
      <c r="N23" s="26" t="s">
        <v>174</v>
      </c>
      <c r="T23">
        <v>10019</v>
      </c>
      <c r="U23" s="12" t="s">
        <v>252</v>
      </c>
    </row>
    <row r="24" spans="2:21" ht="17.25" thickBot="1" x14ac:dyDescent="0.25">
      <c r="B24">
        <v>10020</v>
      </c>
      <c r="C24">
        <v>110</v>
      </c>
      <c r="D24">
        <v>10102</v>
      </c>
      <c r="E24">
        <v>10103</v>
      </c>
      <c r="F24">
        <v>1</v>
      </c>
      <c r="K24" s="25">
        <v>120</v>
      </c>
      <c r="L24" s="25" t="s">
        <v>266</v>
      </c>
      <c r="M24" s="26" t="s">
        <v>173</v>
      </c>
      <c r="N24" s="26" t="s">
        <v>174</v>
      </c>
      <c r="T24">
        <v>10020</v>
      </c>
      <c r="U24" s="5" t="s">
        <v>112</v>
      </c>
    </row>
    <row r="25" spans="2:21" ht="17.25" thickBot="1" x14ac:dyDescent="0.25">
      <c r="B25">
        <v>10021</v>
      </c>
      <c r="C25">
        <v>109</v>
      </c>
      <c r="D25">
        <v>10104</v>
      </c>
      <c r="E25">
        <v>1</v>
      </c>
      <c r="K25" s="25">
        <v>121</v>
      </c>
      <c r="L25" s="25" t="s">
        <v>267</v>
      </c>
      <c r="M25" s="26"/>
      <c r="N25" s="26"/>
      <c r="T25">
        <v>10021</v>
      </c>
      <c r="U25" s="12" t="s">
        <v>253</v>
      </c>
    </row>
    <row r="26" spans="2:21" ht="17.25" thickBot="1" x14ac:dyDescent="0.25">
      <c r="B26">
        <v>10022</v>
      </c>
      <c r="C26">
        <v>111</v>
      </c>
      <c r="D26">
        <v>-20</v>
      </c>
      <c r="K26" s="25">
        <v>122</v>
      </c>
      <c r="L26" s="25" t="s">
        <v>268</v>
      </c>
      <c r="M26" s="26" t="s">
        <v>173</v>
      </c>
      <c r="N26" s="26" t="s">
        <v>174</v>
      </c>
      <c r="O26" s="26" t="s">
        <v>175</v>
      </c>
      <c r="T26">
        <v>10022</v>
      </c>
      <c r="U26" s="5" t="s">
        <v>116</v>
      </c>
    </row>
    <row r="27" spans="2:21" ht="17.25" thickBot="1" x14ac:dyDescent="0.25">
      <c r="B27">
        <v>10023</v>
      </c>
      <c r="C27">
        <v>112</v>
      </c>
      <c r="D27">
        <v>20</v>
      </c>
      <c r="T27">
        <v>10023</v>
      </c>
      <c r="U27" s="12" t="s">
        <v>254</v>
      </c>
    </row>
    <row r="28" spans="2:21" ht="17.25" thickBot="1" x14ac:dyDescent="0.25">
      <c r="B28">
        <v>10024</v>
      </c>
      <c r="C28">
        <v>113</v>
      </c>
      <c r="D28">
        <v>2</v>
      </c>
      <c r="E28">
        <v>50</v>
      </c>
      <c r="T28">
        <v>10024</v>
      </c>
      <c r="U28" s="12" t="s">
        <v>255</v>
      </c>
    </row>
    <row r="29" spans="2:21" ht="17.25" thickBot="1" x14ac:dyDescent="0.25">
      <c r="B29">
        <v>10025</v>
      </c>
      <c r="C29">
        <v>114</v>
      </c>
      <c r="D29">
        <v>1</v>
      </c>
      <c r="E29">
        <v>50</v>
      </c>
      <c r="T29">
        <v>10025</v>
      </c>
      <c r="U29" s="5" t="s">
        <v>256</v>
      </c>
    </row>
    <row r="30" spans="2:21" ht="17.25" thickBot="1" x14ac:dyDescent="0.25">
      <c r="B30">
        <v>10026</v>
      </c>
      <c r="C30">
        <v>114</v>
      </c>
      <c r="D30">
        <v>1</v>
      </c>
      <c r="E30">
        <v>50</v>
      </c>
      <c r="T30">
        <v>10026</v>
      </c>
      <c r="U30" s="5" t="s">
        <v>256</v>
      </c>
    </row>
    <row r="31" spans="2:21" ht="17.25" thickBot="1" x14ac:dyDescent="0.25">
      <c r="B31">
        <v>10027</v>
      </c>
      <c r="C31">
        <v>114</v>
      </c>
      <c r="D31">
        <v>2</v>
      </c>
      <c r="E31">
        <v>50</v>
      </c>
      <c r="T31">
        <v>10027</v>
      </c>
      <c r="U31" s="5" t="s">
        <v>257</v>
      </c>
    </row>
    <row r="32" spans="2:21" ht="17.25" thickBot="1" x14ac:dyDescent="0.25">
      <c r="B32">
        <v>10028</v>
      </c>
      <c r="C32">
        <v>114</v>
      </c>
      <c r="D32">
        <v>2</v>
      </c>
      <c r="E32">
        <v>50</v>
      </c>
      <c r="T32">
        <v>10028</v>
      </c>
      <c r="U32" s="5" t="s">
        <v>257</v>
      </c>
    </row>
    <row r="33" spans="2:21" ht="17.25" thickBot="1" x14ac:dyDescent="0.25">
      <c r="B33">
        <v>10029</v>
      </c>
      <c r="C33">
        <v>114</v>
      </c>
      <c r="D33">
        <v>3</v>
      </c>
      <c r="E33">
        <v>50</v>
      </c>
      <c r="T33">
        <v>10029</v>
      </c>
      <c r="U33" s="5" t="s">
        <v>258</v>
      </c>
    </row>
    <row r="34" spans="2:21" ht="17.25" thickBot="1" x14ac:dyDescent="0.25">
      <c r="B34">
        <v>10030</v>
      </c>
      <c r="C34">
        <v>114</v>
      </c>
      <c r="D34">
        <v>3</v>
      </c>
      <c r="E34">
        <v>50</v>
      </c>
      <c r="T34">
        <v>10030</v>
      </c>
      <c r="U34" s="5" t="s">
        <v>258</v>
      </c>
    </row>
    <row r="35" spans="2:21" ht="17.25" thickBot="1" x14ac:dyDescent="0.25">
      <c r="B35">
        <v>10031</v>
      </c>
      <c r="C35">
        <v>115</v>
      </c>
      <c r="D35">
        <v>30</v>
      </c>
      <c r="T35">
        <v>10031</v>
      </c>
      <c r="U35" s="21" t="s">
        <v>259</v>
      </c>
    </row>
    <row r="36" spans="2:21" ht="17.25" thickBot="1" x14ac:dyDescent="0.25">
      <c r="B36">
        <v>10032</v>
      </c>
      <c r="C36">
        <v>116</v>
      </c>
      <c r="D36">
        <v>20</v>
      </c>
      <c r="T36">
        <v>10032</v>
      </c>
      <c r="U36" s="21" t="s">
        <v>260</v>
      </c>
    </row>
    <row r="37" spans="2:21" ht="17.25" thickBot="1" x14ac:dyDescent="0.25">
      <c r="B37">
        <v>10033</v>
      </c>
      <c r="C37">
        <v>117</v>
      </c>
      <c r="T37">
        <v>10033</v>
      </c>
      <c r="U37" s="22" t="s">
        <v>261</v>
      </c>
    </row>
    <row r="38" spans="2:21" ht="17.25" thickBot="1" x14ac:dyDescent="0.25">
      <c r="B38">
        <v>10034</v>
      </c>
      <c r="C38">
        <v>118</v>
      </c>
      <c r="D38">
        <v>-20</v>
      </c>
      <c r="T38">
        <v>10034</v>
      </c>
      <c r="U38" s="21" t="s">
        <v>262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EB1F4-AB10-4748-AEE1-900A93D9E056}">
  <dimension ref="A1:Y115"/>
  <sheetViews>
    <sheetView tabSelected="1" topLeftCell="I1" workbookViewId="0">
      <selection activeCell="Q13" sqref="Q13"/>
    </sheetView>
  </sheetViews>
  <sheetFormatPr defaultRowHeight="14.25" x14ac:dyDescent="0.2"/>
  <cols>
    <col min="4" max="4" width="16.125" customWidth="1"/>
    <col min="9" max="9" width="24.5" bestFit="1" customWidth="1"/>
    <col min="10" max="10" width="11" bestFit="1" customWidth="1"/>
    <col min="11" max="11" width="19" customWidth="1"/>
    <col min="12" max="12" width="12.875" customWidth="1"/>
    <col min="13" max="13" width="11.5" bestFit="1" customWidth="1"/>
    <col min="14" max="14" width="16.875" bestFit="1" customWidth="1"/>
    <col min="15" max="15" width="20" customWidth="1"/>
    <col min="16" max="16" width="16.125" customWidth="1"/>
    <col min="17" max="17" width="13" customWidth="1"/>
    <col min="18" max="18" width="23.75" customWidth="1"/>
  </cols>
  <sheetData>
    <row r="1" spans="1:24" x14ac:dyDescent="0.2">
      <c r="A1" s="1" t="s">
        <v>0</v>
      </c>
      <c r="B1" t="s">
        <v>40</v>
      </c>
      <c r="C1" s="1" t="s">
        <v>207</v>
      </c>
      <c r="D1" s="1" t="s">
        <v>433</v>
      </c>
      <c r="E1" s="1" t="s">
        <v>212</v>
      </c>
      <c r="F1" t="s">
        <v>14</v>
      </c>
      <c r="G1" t="s">
        <v>16</v>
      </c>
      <c r="H1" t="s">
        <v>18</v>
      </c>
      <c r="I1" t="s">
        <v>35</v>
      </c>
      <c r="J1" t="s">
        <v>62</v>
      </c>
      <c r="K1" t="s">
        <v>162</v>
      </c>
      <c r="L1" t="s">
        <v>195</v>
      </c>
      <c r="M1" t="s">
        <v>197</v>
      </c>
      <c r="N1" t="s">
        <v>206</v>
      </c>
      <c r="O1" t="s">
        <v>210</v>
      </c>
      <c r="P1" t="s">
        <v>216</v>
      </c>
    </row>
    <row r="2" spans="1:24" x14ac:dyDescent="0.2">
      <c r="A2" s="1" t="s">
        <v>2</v>
      </c>
      <c r="B2" t="s">
        <v>44</v>
      </c>
      <c r="C2" s="1" t="s">
        <v>33</v>
      </c>
      <c r="D2" s="1" t="s">
        <v>434</v>
      </c>
      <c r="E2" s="1" t="s">
        <v>213</v>
      </c>
      <c r="F2" t="s">
        <v>36</v>
      </c>
      <c r="G2" t="s">
        <v>37</v>
      </c>
      <c r="H2" t="s">
        <v>38</v>
      </c>
      <c r="I2" t="s">
        <v>70</v>
      </c>
      <c r="J2" t="s">
        <v>64</v>
      </c>
      <c r="K2" t="s">
        <v>163</v>
      </c>
      <c r="L2" t="s">
        <v>196</v>
      </c>
      <c r="M2" t="s">
        <v>198</v>
      </c>
      <c r="N2" t="s">
        <v>209</v>
      </c>
      <c r="O2" t="s">
        <v>211</v>
      </c>
      <c r="P2" t="s">
        <v>217</v>
      </c>
    </row>
    <row r="3" spans="1:24" x14ac:dyDescent="0.2">
      <c r="A3" s="1" t="s">
        <v>3</v>
      </c>
      <c r="B3" t="s">
        <v>4</v>
      </c>
      <c r="C3" s="1" t="s">
        <v>4</v>
      </c>
      <c r="D3" s="1" t="s">
        <v>4</v>
      </c>
      <c r="E3" s="1" t="s">
        <v>4</v>
      </c>
      <c r="F3" s="1" t="s">
        <v>4</v>
      </c>
      <c r="G3" s="1" t="s">
        <v>4</v>
      </c>
      <c r="H3" s="1" t="s">
        <v>4</v>
      </c>
      <c r="I3" s="1" t="s">
        <v>4</v>
      </c>
      <c r="J3" s="1" t="s">
        <v>65</v>
      </c>
      <c r="K3" s="1" t="s">
        <v>4</v>
      </c>
      <c r="L3" s="1" t="s">
        <v>4</v>
      </c>
      <c r="M3" s="1" t="s">
        <v>4</v>
      </c>
      <c r="N3" s="1" t="s">
        <v>4</v>
      </c>
      <c r="O3" s="1" t="s">
        <v>4</v>
      </c>
      <c r="P3" s="1" t="s">
        <v>59</v>
      </c>
    </row>
    <row r="4" spans="1:24" x14ac:dyDescent="0.2">
      <c r="A4" s="1" t="s">
        <v>5</v>
      </c>
      <c r="B4" s="1"/>
      <c r="X4" t="s">
        <v>167</v>
      </c>
    </row>
    <row r="5" spans="1:24" x14ac:dyDescent="0.2">
      <c r="B5">
        <v>2001</v>
      </c>
      <c r="C5">
        <v>20001</v>
      </c>
      <c r="D5">
        <v>1</v>
      </c>
      <c r="E5">
        <v>0</v>
      </c>
      <c r="F5">
        <v>10</v>
      </c>
      <c r="G5">
        <v>30</v>
      </c>
      <c r="H5">
        <v>40</v>
      </c>
      <c r="I5">
        <v>0</v>
      </c>
      <c r="J5">
        <v>2</v>
      </c>
      <c r="L5">
        <v>4</v>
      </c>
      <c r="N5">
        <v>25101001</v>
      </c>
      <c r="O5">
        <v>25101501</v>
      </c>
      <c r="P5" t="s">
        <v>419</v>
      </c>
      <c r="S5">
        <f ca="1">ROUND(RAND()*(X5/2-10)/5,0)*5+10</f>
        <v>25</v>
      </c>
      <c r="T5">
        <f ca="1">ROUND(RAND()*(X5/2-10)/5,0)*5+10</f>
        <v>10</v>
      </c>
      <c r="U5">
        <f ca="1">X5-S5-T5</f>
        <v>45</v>
      </c>
      <c r="X5">
        <v>80</v>
      </c>
    </row>
    <row r="6" spans="1:24" x14ac:dyDescent="0.2">
      <c r="B6">
        <v>2001</v>
      </c>
      <c r="C6">
        <v>20002</v>
      </c>
      <c r="D6">
        <v>2</v>
      </c>
      <c r="E6">
        <v>0</v>
      </c>
      <c r="F6">
        <v>50</v>
      </c>
      <c r="G6">
        <v>20</v>
      </c>
      <c r="H6">
        <v>10</v>
      </c>
      <c r="I6">
        <v>0</v>
      </c>
      <c r="J6">
        <v>2</v>
      </c>
      <c r="L6">
        <v>2</v>
      </c>
      <c r="N6">
        <v>25101002</v>
      </c>
      <c r="O6">
        <v>25101505</v>
      </c>
      <c r="P6" t="s">
        <v>420</v>
      </c>
      <c r="S6">
        <f t="shared" ref="S6:S41" ca="1" si="0">ROUND(RAND()*(X6/2-10)/5,0)*5+10</f>
        <v>25</v>
      </c>
      <c r="T6">
        <f t="shared" ref="T6:T41" ca="1" si="1">ROUND(RAND()*(X6/2-10)/5,0)*5+10</f>
        <v>20</v>
      </c>
      <c r="U6">
        <f t="shared" ref="U6:U72" ca="1" si="2">X6-S6-T6</f>
        <v>35</v>
      </c>
      <c r="X6">
        <v>80</v>
      </c>
    </row>
    <row r="7" spans="1:24" x14ac:dyDescent="0.2">
      <c r="B7">
        <v>2001</v>
      </c>
      <c r="C7">
        <v>20003</v>
      </c>
      <c r="D7">
        <v>3</v>
      </c>
      <c r="E7">
        <v>0</v>
      </c>
      <c r="F7">
        <v>15</v>
      </c>
      <c r="G7">
        <v>40</v>
      </c>
      <c r="H7">
        <v>25</v>
      </c>
      <c r="I7">
        <v>0</v>
      </c>
      <c r="J7">
        <v>2</v>
      </c>
      <c r="L7">
        <v>3</v>
      </c>
      <c r="N7">
        <v>25101003</v>
      </c>
      <c r="O7">
        <v>25101508</v>
      </c>
      <c r="P7" t="s">
        <v>421</v>
      </c>
      <c r="S7">
        <f t="shared" ca="1" si="0"/>
        <v>30</v>
      </c>
      <c r="T7">
        <f t="shared" ca="1" si="1"/>
        <v>15</v>
      </c>
      <c r="U7">
        <f t="shared" ca="1" si="2"/>
        <v>35</v>
      </c>
      <c r="X7">
        <v>80</v>
      </c>
    </row>
    <row r="8" spans="1:24" x14ac:dyDescent="0.2">
      <c r="B8">
        <v>2001</v>
      </c>
      <c r="C8">
        <v>20004</v>
      </c>
      <c r="D8">
        <v>4</v>
      </c>
      <c r="E8">
        <v>0</v>
      </c>
      <c r="F8">
        <v>50</v>
      </c>
      <c r="G8">
        <v>15</v>
      </c>
      <c r="H8">
        <v>15</v>
      </c>
      <c r="I8">
        <v>0</v>
      </c>
      <c r="J8">
        <v>2</v>
      </c>
      <c r="L8">
        <v>3</v>
      </c>
      <c r="N8">
        <v>25101004</v>
      </c>
      <c r="O8">
        <v>25101511</v>
      </c>
      <c r="P8" t="s">
        <v>421</v>
      </c>
      <c r="Q8" s="17" t="s">
        <v>213</v>
      </c>
      <c r="R8" s="18"/>
      <c r="S8">
        <f t="shared" ca="1" si="0"/>
        <v>30</v>
      </c>
      <c r="T8">
        <f t="shared" ca="1" si="1"/>
        <v>30</v>
      </c>
      <c r="U8">
        <f t="shared" ca="1" si="2"/>
        <v>20</v>
      </c>
      <c r="X8">
        <v>80</v>
      </c>
    </row>
    <row r="9" spans="1:24" x14ac:dyDescent="0.2">
      <c r="B9">
        <v>2001</v>
      </c>
      <c r="C9">
        <v>20005</v>
      </c>
      <c r="D9">
        <v>5</v>
      </c>
      <c r="E9">
        <v>0</v>
      </c>
      <c r="F9">
        <v>10</v>
      </c>
      <c r="G9">
        <v>20</v>
      </c>
      <c r="H9">
        <v>50</v>
      </c>
      <c r="I9">
        <v>0</v>
      </c>
      <c r="J9">
        <v>2</v>
      </c>
      <c r="L9">
        <v>1</v>
      </c>
      <c r="N9">
        <v>25101005</v>
      </c>
      <c r="O9">
        <v>25101514</v>
      </c>
      <c r="P9" t="s">
        <v>422</v>
      </c>
      <c r="Q9" s="17">
        <v>0</v>
      </c>
      <c r="R9" s="17" t="s">
        <v>214</v>
      </c>
      <c r="S9">
        <f t="shared" ca="1" si="0"/>
        <v>20</v>
      </c>
      <c r="T9">
        <f t="shared" ca="1" si="1"/>
        <v>30</v>
      </c>
      <c r="U9">
        <f t="shared" ca="1" si="2"/>
        <v>30</v>
      </c>
      <c r="X9">
        <v>80</v>
      </c>
    </row>
    <row r="10" spans="1:24" x14ac:dyDescent="0.2">
      <c r="B10">
        <v>2001</v>
      </c>
      <c r="C10">
        <v>20006</v>
      </c>
      <c r="D10">
        <v>6</v>
      </c>
      <c r="E10">
        <v>0</v>
      </c>
      <c r="F10">
        <v>15</v>
      </c>
      <c r="G10">
        <v>50</v>
      </c>
      <c r="H10">
        <v>20</v>
      </c>
      <c r="I10">
        <v>0</v>
      </c>
      <c r="J10">
        <v>2</v>
      </c>
      <c r="L10">
        <v>1</v>
      </c>
      <c r="N10">
        <v>25101006</v>
      </c>
      <c r="O10">
        <v>25101518</v>
      </c>
      <c r="P10" t="s">
        <v>422</v>
      </c>
      <c r="Q10" s="17">
        <v>1</v>
      </c>
      <c r="R10" s="17" t="s">
        <v>215</v>
      </c>
      <c r="S10">
        <f t="shared" ca="1" si="0"/>
        <v>25</v>
      </c>
      <c r="T10">
        <f t="shared" ca="1" si="1"/>
        <v>20</v>
      </c>
      <c r="U10">
        <f t="shared" ca="1" si="2"/>
        <v>40</v>
      </c>
      <c r="X10">
        <v>85</v>
      </c>
    </row>
    <row r="11" spans="1:24" x14ac:dyDescent="0.2">
      <c r="B11">
        <v>2001</v>
      </c>
      <c r="C11">
        <v>20007</v>
      </c>
      <c r="D11">
        <v>7</v>
      </c>
      <c r="E11">
        <v>0</v>
      </c>
      <c r="F11">
        <v>40</v>
      </c>
      <c r="G11">
        <v>40</v>
      </c>
      <c r="H11">
        <v>5</v>
      </c>
      <c r="I11">
        <v>0</v>
      </c>
      <c r="J11">
        <v>2</v>
      </c>
      <c r="L11">
        <v>3</v>
      </c>
      <c r="N11">
        <v>25101008</v>
      </c>
      <c r="O11">
        <v>25101523</v>
      </c>
      <c r="P11" t="s">
        <v>421</v>
      </c>
      <c r="S11">
        <f t="shared" ca="1" si="0"/>
        <v>25</v>
      </c>
      <c r="T11">
        <f t="shared" ca="1" si="1"/>
        <v>30</v>
      </c>
      <c r="U11">
        <f t="shared" ca="1" si="2"/>
        <v>30</v>
      </c>
      <c r="X11">
        <v>85</v>
      </c>
    </row>
    <row r="12" spans="1:24" x14ac:dyDescent="0.2">
      <c r="B12">
        <v>2001</v>
      </c>
      <c r="C12">
        <v>20008</v>
      </c>
      <c r="D12">
        <v>8</v>
      </c>
      <c r="E12">
        <v>0</v>
      </c>
      <c r="F12">
        <v>15</v>
      </c>
      <c r="G12">
        <v>10</v>
      </c>
      <c r="H12">
        <v>60</v>
      </c>
      <c r="I12">
        <v>0</v>
      </c>
      <c r="J12">
        <v>2</v>
      </c>
      <c r="L12">
        <v>5</v>
      </c>
      <c r="N12">
        <v>25101009</v>
      </c>
      <c r="O12">
        <v>25101526</v>
      </c>
      <c r="P12" t="s">
        <v>423</v>
      </c>
      <c r="S12">
        <f t="shared" ca="1" si="0"/>
        <v>40</v>
      </c>
      <c r="T12">
        <f t="shared" ca="1" si="1"/>
        <v>35</v>
      </c>
      <c r="U12">
        <f t="shared" ca="1" si="2"/>
        <v>10</v>
      </c>
      <c r="X12">
        <v>85</v>
      </c>
    </row>
    <row r="13" spans="1:24" x14ac:dyDescent="0.2">
      <c r="B13">
        <v>2001</v>
      </c>
      <c r="C13">
        <v>20009</v>
      </c>
      <c r="D13">
        <v>9</v>
      </c>
      <c r="E13">
        <v>0</v>
      </c>
      <c r="F13">
        <v>10</v>
      </c>
      <c r="G13">
        <v>70</v>
      </c>
      <c r="H13">
        <v>5</v>
      </c>
      <c r="I13">
        <v>0</v>
      </c>
      <c r="J13">
        <v>2</v>
      </c>
      <c r="L13">
        <v>4</v>
      </c>
      <c r="N13">
        <v>25101010</v>
      </c>
      <c r="O13">
        <v>25101529</v>
      </c>
      <c r="P13" t="s">
        <v>419</v>
      </c>
      <c r="S13">
        <f t="shared" ca="1" si="0"/>
        <v>10</v>
      </c>
      <c r="T13">
        <f t="shared" ca="1" si="1"/>
        <v>30</v>
      </c>
      <c r="U13">
        <f t="shared" ca="1" si="2"/>
        <v>45</v>
      </c>
      <c r="X13">
        <v>85</v>
      </c>
    </row>
    <row r="14" spans="1:24" x14ac:dyDescent="0.2">
      <c r="B14">
        <v>2001</v>
      </c>
      <c r="C14">
        <v>20010</v>
      </c>
      <c r="D14">
        <v>10</v>
      </c>
      <c r="E14">
        <v>0</v>
      </c>
      <c r="F14">
        <v>30</v>
      </c>
      <c r="G14">
        <v>10</v>
      </c>
      <c r="H14">
        <v>45</v>
      </c>
      <c r="I14">
        <v>0</v>
      </c>
      <c r="J14">
        <v>2</v>
      </c>
      <c r="L14">
        <v>4</v>
      </c>
      <c r="N14">
        <v>25101011</v>
      </c>
      <c r="O14">
        <v>25101534</v>
      </c>
      <c r="P14" t="s">
        <v>419</v>
      </c>
      <c r="S14">
        <f t="shared" ca="1" si="0"/>
        <v>10</v>
      </c>
      <c r="T14">
        <f t="shared" ca="1" si="1"/>
        <v>35</v>
      </c>
      <c r="U14">
        <f t="shared" ca="1" si="2"/>
        <v>40</v>
      </c>
      <c r="X14">
        <v>85</v>
      </c>
    </row>
    <row r="15" spans="1:24" x14ac:dyDescent="0.2">
      <c r="B15">
        <v>2001</v>
      </c>
      <c r="C15">
        <v>20011</v>
      </c>
      <c r="D15">
        <v>11</v>
      </c>
      <c r="E15">
        <v>0</v>
      </c>
      <c r="F15">
        <v>30</v>
      </c>
      <c r="G15">
        <v>35</v>
      </c>
      <c r="H15">
        <v>25</v>
      </c>
      <c r="I15">
        <v>0</v>
      </c>
      <c r="J15">
        <v>2</v>
      </c>
      <c r="L15">
        <v>3</v>
      </c>
      <c r="N15">
        <v>25101012</v>
      </c>
      <c r="O15">
        <v>25101538</v>
      </c>
      <c r="P15" t="s">
        <v>421</v>
      </c>
      <c r="S15">
        <f t="shared" ca="1" si="0"/>
        <v>10</v>
      </c>
      <c r="T15">
        <f t="shared" ca="1" si="1"/>
        <v>10</v>
      </c>
      <c r="U15">
        <f t="shared" ca="1" si="2"/>
        <v>70</v>
      </c>
      <c r="X15">
        <v>90</v>
      </c>
    </row>
    <row r="16" spans="1:24" ht="28.5" x14ac:dyDescent="0.2">
      <c r="B16">
        <v>2001</v>
      </c>
      <c r="C16">
        <v>20012</v>
      </c>
      <c r="D16">
        <v>12</v>
      </c>
      <c r="E16">
        <v>0</v>
      </c>
      <c r="F16">
        <v>25</v>
      </c>
      <c r="G16">
        <v>20</v>
      </c>
      <c r="H16">
        <v>45</v>
      </c>
      <c r="I16">
        <v>0</v>
      </c>
      <c r="J16">
        <v>2</v>
      </c>
      <c r="L16">
        <v>4</v>
      </c>
      <c r="N16">
        <v>25101013</v>
      </c>
      <c r="O16">
        <v>25101543</v>
      </c>
      <c r="P16" t="s">
        <v>419</v>
      </c>
      <c r="Q16" s="17" t="s">
        <v>196</v>
      </c>
      <c r="R16" s="18" t="s">
        <v>208</v>
      </c>
      <c r="S16">
        <f t="shared" ca="1" si="0"/>
        <v>30</v>
      </c>
      <c r="T16">
        <f t="shared" ca="1" si="1"/>
        <v>35</v>
      </c>
      <c r="U16">
        <f t="shared" ca="1" si="2"/>
        <v>25</v>
      </c>
      <c r="X16">
        <v>90</v>
      </c>
    </row>
    <row r="17" spans="2:24" x14ac:dyDescent="0.2">
      <c r="B17">
        <v>2001</v>
      </c>
      <c r="C17">
        <v>20013</v>
      </c>
      <c r="D17">
        <v>13</v>
      </c>
      <c r="E17">
        <v>0</v>
      </c>
      <c r="F17">
        <v>20</v>
      </c>
      <c r="G17">
        <v>20</v>
      </c>
      <c r="H17">
        <v>50</v>
      </c>
      <c r="I17">
        <v>0</v>
      </c>
      <c r="J17">
        <v>2</v>
      </c>
      <c r="L17">
        <v>4</v>
      </c>
      <c r="N17">
        <v>25101014</v>
      </c>
      <c r="O17">
        <v>25101546</v>
      </c>
      <c r="P17" t="s">
        <v>421</v>
      </c>
      <c r="Q17" s="17">
        <v>0</v>
      </c>
      <c r="R17" s="17" t="s">
        <v>199</v>
      </c>
      <c r="S17">
        <f t="shared" ca="1" si="0"/>
        <v>30</v>
      </c>
      <c r="T17">
        <f t="shared" ca="1" si="1"/>
        <v>35</v>
      </c>
      <c r="U17">
        <f t="shared" ca="1" si="2"/>
        <v>25</v>
      </c>
      <c r="X17">
        <v>90</v>
      </c>
    </row>
    <row r="18" spans="2:24" x14ac:dyDescent="0.2">
      <c r="B18">
        <v>2001</v>
      </c>
      <c r="C18">
        <v>20014</v>
      </c>
      <c r="D18">
        <v>14</v>
      </c>
      <c r="E18">
        <v>0</v>
      </c>
      <c r="F18">
        <v>55</v>
      </c>
      <c r="G18">
        <v>10</v>
      </c>
      <c r="H18">
        <v>25</v>
      </c>
      <c r="I18">
        <v>0</v>
      </c>
      <c r="J18">
        <v>2</v>
      </c>
      <c r="L18">
        <v>5</v>
      </c>
      <c r="N18">
        <v>25101015</v>
      </c>
      <c r="O18">
        <v>25101549</v>
      </c>
      <c r="P18" t="s">
        <v>423</v>
      </c>
      <c r="Q18" s="17">
        <v>1</v>
      </c>
      <c r="R18" s="17" t="s">
        <v>200</v>
      </c>
      <c r="S18">
        <f t="shared" ca="1" si="0"/>
        <v>15</v>
      </c>
      <c r="T18">
        <f t="shared" ca="1" si="1"/>
        <v>20</v>
      </c>
      <c r="U18">
        <f t="shared" ca="1" si="2"/>
        <v>55</v>
      </c>
      <c r="X18">
        <v>90</v>
      </c>
    </row>
    <row r="19" spans="2:24" x14ac:dyDescent="0.2">
      <c r="B19">
        <v>2001</v>
      </c>
      <c r="C19">
        <v>20015</v>
      </c>
      <c r="D19">
        <v>15</v>
      </c>
      <c r="E19">
        <v>0</v>
      </c>
      <c r="F19">
        <v>20</v>
      </c>
      <c r="G19">
        <v>20</v>
      </c>
      <c r="H19">
        <v>50</v>
      </c>
      <c r="I19">
        <v>0</v>
      </c>
      <c r="J19">
        <v>2</v>
      </c>
      <c r="L19">
        <v>3</v>
      </c>
      <c r="N19">
        <v>25101016</v>
      </c>
      <c r="O19">
        <v>25101552</v>
      </c>
      <c r="P19" t="s">
        <v>421</v>
      </c>
      <c r="Q19" s="17">
        <v>2</v>
      </c>
      <c r="R19" s="17" t="s">
        <v>201</v>
      </c>
      <c r="S19">
        <f t="shared" ca="1" si="0"/>
        <v>30</v>
      </c>
      <c r="T19">
        <f t="shared" ca="1" si="1"/>
        <v>35</v>
      </c>
      <c r="U19">
        <f t="shared" ca="1" si="2"/>
        <v>25</v>
      </c>
      <c r="X19">
        <v>90</v>
      </c>
    </row>
    <row r="20" spans="2:24" x14ac:dyDescent="0.2">
      <c r="B20">
        <v>2001</v>
      </c>
      <c r="C20">
        <v>20016</v>
      </c>
      <c r="D20">
        <v>16</v>
      </c>
      <c r="E20">
        <v>0</v>
      </c>
      <c r="F20">
        <v>30</v>
      </c>
      <c r="G20">
        <v>30</v>
      </c>
      <c r="H20">
        <v>35</v>
      </c>
      <c r="I20">
        <v>0</v>
      </c>
      <c r="J20">
        <v>2</v>
      </c>
      <c r="L20">
        <v>5</v>
      </c>
      <c r="N20">
        <v>25101017</v>
      </c>
      <c r="O20">
        <v>25101555</v>
      </c>
      <c r="P20" t="s">
        <v>423</v>
      </c>
      <c r="Q20" s="17">
        <v>3</v>
      </c>
      <c r="R20" s="17" t="s">
        <v>202</v>
      </c>
      <c r="S20">
        <f t="shared" ca="1" si="0"/>
        <v>45</v>
      </c>
      <c r="T20">
        <f t="shared" ca="1" si="1"/>
        <v>30</v>
      </c>
      <c r="U20">
        <f t="shared" ca="1" si="2"/>
        <v>20</v>
      </c>
      <c r="X20">
        <v>95</v>
      </c>
    </row>
    <row r="21" spans="2:24" x14ac:dyDescent="0.2">
      <c r="B21">
        <v>2001</v>
      </c>
      <c r="C21">
        <v>20017</v>
      </c>
      <c r="D21">
        <v>17</v>
      </c>
      <c r="E21">
        <v>0</v>
      </c>
      <c r="F21">
        <v>45</v>
      </c>
      <c r="G21">
        <v>35</v>
      </c>
      <c r="H21">
        <v>15</v>
      </c>
      <c r="I21">
        <v>0</v>
      </c>
      <c r="J21">
        <v>2</v>
      </c>
      <c r="L21">
        <v>3</v>
      </c>
      <c r="N21">
        <v>25101018</v>
      </c>
      <c r="O21">
        <v>25101560</v>
      </c>
      <c r="P21" t="s">
        <v>421</v>
      </c>
      <c r="Q21" s="17">
        <v>4</v>
      </c>
      <c r="R21" s="17" t="s">
        <v>203</v>
      </c>
      <c r="S21">
        <f t="shared" ca="1" si="0"/>
        <v>25</v>
      </c>
      <c r="T21">
        <f t="shared" ca="1" si="1"/>
        <v>30</v>
      </c>
      <c r="U21">
        <f t="shared" ca="1" si="2"/>
        <v>40</v>
      </c>
      <c r="X21">
        <v>95</v>
      </c>
    </row>
    <row r="22" spans="2:24" x14ac:dyDescent="0.2">
      <c r="B22">
        <v>2001</v>
      </c>
      <c r="C22">
        <v>20018</v>
      </c>
      <c r="D22">
        <v>18</v>
      </c>
      <c r="E22">
        <v>0</v>
      </c>
      <c r="F22">
        <v>15</v>
      </c>
      <c r="G22">
        <v>55</v>
      </c>
      <c r="H22">
        <v>25</v>
      </c>
      <c r="I22">
        <v>0</v>
      </c>
      <c r="J22">
        <v>2</v>
      </c>
      <c r="L22">
        <v>4</v>
      </c>
      <c r="N22">
        <v>25101019</v>
      </c>
      <c r="O22">
        <v>25101564</v>
      </c>
      <c r="P22" t="s">
        <v>419</v>
      </c>
      <c r="Q22" s="17">
        <v>5</v>
      </c>
      <c r="R22" s="17" t="s">
        <v>204</v>
      </c>
      <c r="S22">
        <f t="shared" ca="1" si="0"/>
        <v>15</v>
      </c>
      <c r="T22">
        <f t="shared" ca="1" si="1"/>
        <v>10</v>
      </c>
      <c r="U22">
        <f t="shared" ca="1" si="2"/>
        <v>70</v>
      </c>
      <c r="X22">
        <v>95</v>
      </c>
    </row>
    <row r="23" spans="2:24" x14ac:dyDescent="0.2">
      <c r="B23">
        <v>2001</v>
      </c>
      <c r="C23">
        <v>20019</v>
      </c>
      <c r="D23">
        <v>19</v>
      </c>
      <c r="E23">
        <v>0</v>
      </c>
      <c r="F23">
        <v>25</v>
      </c>
      <c r="G23">
        <v>45</v>
      </c>
      <c r="H23">
        <v>25</v>
      </c>
      <c r="I23">
        <v>0</v>
      </c>
      <c r="J23">
        <v>2</v>
      </c>
      <c r="L23">
        <v>3</v>
      </c>
      <c r="N23">
        <v>25101020</v>
      </c>
      <c r="O23">
        <v>25101568</v>
      </c>
      <c r="P23" t="s">
        <v>421</v>
      </c>
      <c r="Q23" s="17">
        <v>6</v>
      </c>
      <c r="R23" s="17" t="s">
        <v>205</v>
      </c>
      <c r="S23">
        <f t="shared" ca="1" si="0"/>
        <v>30</v>
      </c>
      <c r="T23">
        <f t="shared" ca="1" si="1"/>
        <v>30</v>
      </c>
      <c r="U23">
        <f t="shared" ca="1" si="2"/>
        <v>35</v>
      </c>
      <c r="X23">
        <v>95</v>
      </c>
    </row>
    <row r="24" spans="2:24" x14ac:dyDescent="0.2">
      <c r="B24">
        <v>2001</v>
      </c>
      <c r="C24">
        <v>20020</v>
      </c>
      <c r="D24">
        <v>20</v>
      </c>
      <c r="E24">
        <v>0</v>
      </c>
      <c r="F24">
        <v>30</v>
      </c>
      <c r="G24">
        <v>30</v>
      </c>
      <c r="H24">
        <v>35</v>
      </c>
      <c r="I24">
        <v>0</v>
      </c>
      <c r="J24">
        <v>2</v>
      </c>
      <c r="L24">
        <v>4</v>
      </c>
      <c r="N24">
        <v>25101021</v>
      </c>
      <c r="O24">
        <v>25101573</v>
      </c>
      <c r="P24" t="s">
        <v>419</v>
      </c>
      <c r="S24">
        <f t="shared" ca="1" si="0"/>
        <v>30</v>
      </c>
      <c r="T24">
        <f t="shared" ca="1" si="1"/>
        <v>15</v>
      </c>
      <c r="U24">
        <f t="shared" ca="1" si="2"/>
        <v>50</v>
      </c>
      <c r="X24">
        <v>95</v>
      </c>
    </row>
    <row r="25" spans="2:24" x14ac:dyDescent="0.2">
      <c r="B25" s="17">
        <v>2001</v>
      </c>
      <c r="C25" s="17">
        <v>20201</v>
      </c>
      <c r="D25">
        <v>21</v>
      </c>
      <c r="E25" s="17">
        <v>1</v>
      </c>
      <c r="F25" s="17">
        <v>40</v>
      </c>
      <c r="G25" s="17">
        <v>40</v>
      </c>
      <c r="H25" s="17">
        <v>40</v>
      </c>
      <c r="I25" s="17">
        <v>1</v>
      </c>
      <c r="J25" s="17">
        <v>2</v>
      </c>
      <c r="K25">
        <v>10003</v>
      </c>
      <c r="L25" s="17">
        <v>0</v>
      </c>
      <c r="M25" s="17">
        <v>200001</v>
      </c>
      <c r="O25" s="49">
        <v>25101700</v>
      </c>
      <c r="P25" s="17"/>
    </row>
    <row r="26" spans="2:24" x14ac:dyDescent="0.2">
      <c r="B26">
        <v>2001</v>
      </c>
      <c r="C26">
        <v>20021</v>
      </c>
      <c r="D26">
        <v>22</v>
      </c>
      <c r="E26">
        <v>0</v>
      </c>
      <c r="F26">
        <v>60</v>
      </c>
      <c r="G26">
        <v>20</v>
      </c>
      <c r="H26">
        <v>20</v>
      </c>
      <c r="I26">
        <v>1</v>
      </c>
      <c r="J26">
        <v>2</v>
      </c>
      <c r="L26">
        <v>6</v>
      </c>
      <c r="N26">
        <v>25101024</v>
      </c>
      <c r="O26">
        <v>25101578</v>
      </c>
      <c r="P26" t="s">
        <v>424</v>
      </c>
      <c r="S26">
        <f t="shared" ca="1" si="0"/>
        <v>10</v>
      </c>
      <c r="T26">
        <f t="shared" ca="1" si="1"/>
        <v>45</v>
      </c>
      <c r="U26">
        <f t="shared" ca="1" si="2"/>
        <v>45</v>
      </c>
      <c r="X26">
        <v>100</v>
      </c>
    </row>
    <row r="27" spans="2:24" x14ac:dyDescent="0.2">
      <c r="B27">
        <v>2001</v>
      </c>
      <c r="C27">
        <v>20022</v>
      </c>
      <c r="D27">
        <v>23</v>
      </c>
      <c r="E27">
        <v>0</v>
      </c>
      <c r="F27">
        <v>35</v>
      </c>
      <c r="G27">
        <v>50</v>
      </c>
      <c r="H27">
        <v>15</v>
      </c>
      <c r="I27">
        <v>1</v>
      </c>
      <c r="J27">
        <v>2</v>
      </c>
      <c r="L27">
        <v>2</v>
      </c>
      <c r="N27">
        <v>25101025</v>
      </c>
      <c r="O27">
        <v>25101583</v>
      </c>
      <c r="P27" t="s">
        <v>420</v>
      </c>
      <c r="S27">
        <f t="shared" ca="1" si="0"/>
        <v>35</v>
      </c>
      <c r="T27">
        <f t="shared" ca="1" si="1"/>
        <v>15</v>
      </c>
      <c r="U27">
        <f t="shared" ca="1" si="2"/>
        <v>50</v>
      </c>
      <c r="X27">
        <v>100</v>
      </c>
    </row>
    <row r="28" spans="2:24" x14ac:dyDescent="0.2">
      <c r="B28">
        <v>2001</v>
      </c>
      <c r="C28">
        <v>20023</v>
      </c>
      <c r="D28">
        <v>24</v>
      </c>
      <c r="E28">
        <v>0</v>
      </c>
      <c r="F28">
        <v>30</v>
      </c>
      <c r="G28">
        <v>15</v>
      </c>
      <c r="H28">
        <v>55</v>
      </c>
      <c r="I28">
        <v>1</v>
      </c>
      <c r="J28">
        <v>2</v>
      </c>
      <c r="L28">
        <v>4</v>
      </c>
      <c r="N28">
        <v>25101028</v>
      </c>
      <c r="O28">
        <v>25101589</v>
      </c>
      <c r="P28" t="s">
        <v>419</v>
      </c>
      <c r="S28">
        <f t="shared" ca="1" si="0"/>
        <v>15</v>
      </c>
      <c r="T28">
        <f t="shared" ca="1" si="1"/>
        <v>25</v>
      </c>
      <c r="U28">
        <f t="shared" ca="1" si="2"/>
        <v>60</v>
      </c>
      <c r="X28">
        <v>100</v>
      </c>
    </row>
    <row r="29" spans="2:24" x14ac:dyDescent="0.2">
      <c r="B29">
        <v>2001</v>
      </c>
      <c r="C29">
        <v>20024</v>
      </c>
      <c r="D29">
        <v>25</v>
      </c>
      <c r="E29">
        <v>0</v>
      </c>
      <c r="F29">
        <v>5</v>
      </c>
      <c r="G29">
        <v>80</v>
      </c>
      <c r="H29">
        <v>15</v>
      </c>
      <c r="I29">
        <v>1</v>
      </c>
      <c r="J29">
        <v>2</v>
      </c>
      <c r="L29">
        <v>3</v>
      </c>
      <c r="N29">
        <v>25101029</v>
      </c>
      <c r="O29">
        <v>25101592</v>
      </c>
      <c r="P29" t="s">
        <v>421</v>
      </c>
      <c r="S29">
        <f t="shared" ca="1" si="0"/>
        <v>30</v>
      </c>
      <c r="T29">
        <f t="shared" ca="1" si="1"/>
        <v>15</v>
      </c>
      <c r="U29">
        <f t="shared" ca="1" si="2"/>
        <v>55</v>
      </c>
      <c r="X29">
        <v>100</v>
      </c>
    </row>
    <row r="30" spans="2:24" x14ac:dyDescent="0.2">
      <c r="B30">
        <v>2001</v>
      </c>
      <c r="C30">
        <v>20025</v>
      </c>
      <c r="D30">
        <v>26</v>
      </c>
      <c r="E30">
        <v>0</v>
      </c>
      <c r="F30">
        <v>60</v>
      </c>
      <c r="G30">
        <v>25</v>
      </c>
      <c r="H30">
        <v>15</v>
      </c>
      <c r="I30">
        <v>1</v>
      </c>
      <c r="J30">
        <v>2</v>
      </c>
      <c r="L30">
        <v>3</v>
      </c>
      <c r="N30">
        <v>25101031</v>
      </c>
      <c r="O30">
        <v>25101598</v>
      </c>
      <c r="P30" t="s">
        <v>421</v>
      </c>
      <c r="S30">
        <f t="shared" ca="1" si="0"/>
        <v>15</v>
      </c>
      <c r="T30">
        <f t="shared" ca="1" si="1"/>
        <v>40</v>
      </c>
      <c r="U30">
        <f t="shared" ca="1" si="2"/>
        <v>45</v>
      </c>
      <c r="X30">
        <v>100</v>
      </c>
    </row>
    <row r="31" spans="2:24" x14ac:dyDescent="0.2">
      <c r="B31">
        <v>2001</v>
      </c>
      <c r="C31">
        <v>20026</v>
      </c>
      <c r="D31">
        <v>27</v>
      </c>
      <c r="E31">
        <v>0</v>
      </c>
      <c r="F31">
        <v>15</v>
      </c>
      <c r="G31">
        <v>35</v>
      </c>
      <c r="H31">
        <v>55</v>
      </c>
      <c r="I31">
        <v>1</v>
      </c>
      <c r="J31">
        <v>2</v>
      </c>
      <c r="L31">
        <v>5</v>
      </c>
      <c r="N31">
        <v>25101032</v>
      </c>
      <c r="O31">
        <v>25101601</v>
      </c>
      <c r="P31" t="s">
        <v>423</v>
      </c>
      <c r="S31">
        <f t="shared" ca="1" si="0"/>
        <v>40</v>
      </c>
      <c r="T31">
        <f t="shared" ca="1" si="1"/>
        <v>10</v>
      </c>
      <c r="U31">
        <f t="shared" ca="1" si="2"/>
        <v>55</v>
      </c>
      <c r="X31">
        <v>105</v>
      </c>
    </row>
    <row r="32" spans="2:24" x14ac:dyDescent="0.2">
      <c r="B32">
        <v>2001</v>
      </c>
      <c r="C32">
        <v>20027</v>
      </c>
      <c r="D32">
        <v>28</v>
      </c>
      <c r="E32">
        <v>0</v>
      </c>
      <c r="F32">
        <v>20</v>
      </c>
      <c r="G32">
        <v>60</v>
      </c>
      <c r="H32">
        <v>25</v>
      </c>
      <c r="I32">
        <v>1</v>
      </c>
      <c r="J32">
        <v>2</v>
      </c>
      <c r="L32">
        <v>2</v>
      </c>
      <c r="N32">
        <v>25101033</v>
      </c>
      <c r="O32">
        <v>25101605</v>
      </c>
      <c r="P32" t="s">
        <v>420</v>
      </c>
      <c r="S32">
        <f t="shared" ca="1" si="0"/>
        <v>15</v>
      </c>
      <c r="T32">
        <f t="shared" ca="1" si="1"/>
        <v>25</v>
      </c>
      <c r="U32">
        <f t="shared" ca="1" si="2"/>
        <v>65</v>
      </c>
      <c r="X32">
        <v>105</v>
      </c>
    </row>
    <row r="33" spans="2:24" x14ac:dyDescent="0.2">
      <c r="B33">
        <v>2001</v>
      </c>
      <c r="C33">
        <v>20028</v>
      </c>
      <c r="D33">
        <v>29</v>
      </c>
      <c r="E33">
        <v>0</v>
      </c>
      <c r="F33">
        <v>20</v>
      </c>
      <c r="G33">
        <v>20</v>
      </c>
      <c r="H33">
        <v>65</v>
      </c>
      <c r="I33">
        <v>1</v>
      </c>
      <c r="J33">
        <v>2</v>
      </c>
      <c r="L33">
        <v>4</v>
      </c>
      <c r="N33">
        <v>25101001</v>
      </c>
      <c r="O33">
        <v>25101502</v>
      </c>
      <c r="P33" t="s">
        <v>419</v>
      </c>
      <c r="S33">
        <f t="shared" ca="1" si="0"/>
        <v>20</v>
      </c>
      <c r="T33">
        <f t="shared" ca="1" si="1"/>
        <v>25</v>
      </c>
      <c r="U33">
        <f t="shared" ca="1" si="2"/>
        <v>60</v>
      </c>
      <c r="X33">
        <v>105</v>
      </c>
    </row>
    <row r="34" spans="2:24" x14ac:dyDescent="0.2">
      <c r="B34" s="17">
        <v>2001</v>
      </c>
      <c r="C34" s="17">
        <v>20202</v>
      </c>
      <c r="D34">
        <v>30</v>
      </c>
      <c r="E34" s="17">
        <v>1</v>
      </c>
      <c r="F34" s="17">
        <v>50</v>
      </c>
      <c r="G34" s="17">
        <v>50</v>
      </c>
      <c r="H34" s="17">
        <v>50</v>
      </c>
      <c r="I34" s="17">
        <v>2</v>
      </c>
      <c r="J34" s="17">
        <v>2</v>
      </c>
      <c r="K34">
        <v>10004</v>
      </c>
      <c r="L34" s="17">
        <v>0</v>
      </c>
      <c r="M34" s="17">
        <v>200001</v>
      </c>
      <c r="O34" s="49">
        <v>25101700</v>
      </c>
      <c r="P34" s="17"/>
    </row>
    <row r="35" spans="2:24" x14ac:dyDescent="0.2">
      <c r="B35">
        <v>2001</v>
      </c>
      <c r="C35">
        <v>20029</v>
      </c>
      <c r="D35">
        <v>31</v>
      </c>
      <c r="E35">
        <v>0</v>
      </c>
      <c r="F35">
        <v>30</v>
      </c>
      <c r="G35">
        <v>50</v>
      </c>
      <c r="H35">
        <v>25</v>
      </c>
      <c r="I35">
        <v>2</v>
      </c>
      <c r="J35">
        <v>2</v>
      </c>
      <c r="L35">
        <v>2</v>
      </c>
      <c r="N35">
        <v>25101002</v>
      </c>
      <c r="O35">
        <v>25101506</v>
      </c>
      <c r="P35" t="s">
        <v>420</v>
      </c>
      <c r="S35">
        <f t="shared" ca="1" si="0"/>
        <v>45</v>
      </c>
      <c r="T35">
        <f t="shared" ca="1" si="1"/>
        <v>10</v>
      </c>
      <c r="U35">
        <f t="shared" ca="1" si="2"/>
        <v>50</v>
      </c>
      <c r="X35">
        <v>105</v>
      </c>
    </row>
    <row r="36" spans="2:24" x14ac:dyDescent="0.2">
      <c r="B36">
        <v>2001</v>
      </c>
      <c r="C36">
        <v>20030</v>
      </c>
      <c r="D36">
        <v>32</v>
      </c>
      <c r="E36">
        <v>0</v>
      </c>
      <c r="F36">
        <v>50</v>
      </c>
      <c r="G36">
        <v>30</v>
      </c>
      <c r="H36">
        <v>25</v>
      </c>
      <c r="I36">
        <v>2</v>
      </c>
      <c r="J36">
        <v>2</v>
      </c>
      <c r="L36">
        <v>3</v>
      </c>
      <c r="N36">
        <v>25101003</v>
      </c>
      <c r="O36">
        <v>25101509</v>
      </c>
      <c r="P36" t="s">
        <v>421</v>
      </c>
      <c r="S36">
        <f t="shared" ca="1" si="0"/>
        <v>25</v>
      </c>
      <c r="T36">
        <f t="shared" ca="1" si="1"/>
        <v>45</v>
      </c>
      <c r="U36">
        <f t="shared" ca="1" si="2"/>
        <v>35</v>
      </c>
      <c r="X36">
        <v>105</v>
      </c>
    </row>
    <row r="37" spans="2:24" x14ac:dyDescent="0.2">
      <c r="B37">
        <v>2001</v>
      </c>
      <c r="C37">
        <v>20031</v>
      </c>
      <c r="D37">
        <v>33</v>
      </c>
      <c r="E37">
        <v>0</v>
      </c>
      <c r="F37">
        <v>15</v>
      </c>
      <c r="G37">
        <v>20</v>
      </c>
      <c r="H37">
        <v>75</v>
      </c>
      <c r="I37">
        <v>2</v>
      </c>
      <c r="J37">
        <v>2</v>
      </c>
      <c r="L37">
        <v>3</v>
      </c>
      <c r="N37">
        <v>25101004</v>
      </c>
      <c r="O37">
        <v>25101512</v>
      </c>
      <c r="P37" t="s">
        <v>421</v>
      </c>
      <c r="S37">
        <f t="shared" ca="1" si="0"/>
        <v>35</v>
      </c>
      <c r="T37">
        <f t="shared" ca="1" si="1"/>
        <v>10</v>
      </c>
      <c r="U37">
        <f t="shared" ca="1" si="2"/>
        <v>65</v>
      </c>
      <c r="X37">
        <v>110</v>
      </c>
    </row>
    <row r="38" spans="2:24" x14ac:dyDescent="0.2">
      <c r="B38">
        <v>2001</v>
      </c>
      <c r="C38">
        <v>20032</v>
      </c>
      <c r="D38">
        <v>34</v>
      </c>
      <c r="E38">
        <v>0</v>
      </c>
      <c r="F38">
        <v>15</v>
      </c>
      <c r="G38">
        <v>45</v>
      </c>
      <c r="H38">
        <v>50</v>
      </c>
      <c r="I38">
        <v>2</v>
      </c>
      <c r="J38">
        <v>2</v>
      </c>
      <c r="L38">
        <v>1</v>
      </c>
      <c r="N38">
        <v>25101005</v>
      </c>
      <c r="O38">
        <v>25101515</v>
      </c>
      <c r="P38" t="s">
        <v>422</v>
      </c>
      <c r="S38">
        <f t="shared" ca="1" si="0"/>
        <v>45</v>
      </c>
      <c r="T38">
        <f t="shared" ca="1" si="1"/>
        <v>50</v>
      </c>
      <c r="U38">
        <f t="shared" ca="1" si="2"/>
        <v>15</v>
      </c>
      <c r="X38">
        <v>110</v>
      </c>
    </row>
    <row r="39" spans="2:24" x14ac:dyDescent="0.2">
      <c r="B39">
        <v>2001</v>
      </c>
      <c r="C39">
        <v>20033</v>
      </c>
      <c r="D39">
        <v>35</v>
      </c>
      <c r="E39">
        <v>0</v>
      </c>
      <c r="F39">
        <v>5</v>
      </c>
      <c r="G39">
        <v>90</v>
      </c>
      <c r="H39">
        <v>15</v>
      </c>
      <c r="I39">
        <v>2</v>
      </c>
      <c r="J39">
        <v>2</v>
      </c>
      <c r="L39">
        <v>1</v>
      </c>
      <c r="N39">
        <v>25101006</v>
      </c>
      <c r="O39">
        <v>25101519</v>
      </c>
      <c r="P39" t="s">
        <v>422</v>
      </c>
      <c r="S39">
        <f t="shared" ca="1" si="0"/>
        <v>50</v>
      </c>
      <c r="T39">
        <f t="shared" ca="1" si="1"/>
        <v>50</v>
      </c>
      <c r="U39">
        <f t="shared" ca="1" si="2"/>
        <v>10</v>
      </c>
      <c r="X39">
        <v>110</v>
      </c>
    </row>
    <row r="40" spans="2:24" x14ac:dyDescent="0.2">
      <c r="B40">
        <v>2001</v>
      </c>
      <c r="C40">
        <v>20034</v>
      </c>
      <c r="D40">
        <v>36</v>
      </c>
      <c r="E40">
        <v>0</v>
      </c>
      <c r="F40">
        <v>25</v>
      </c>
      <c r="G40">
        <v>20</v>
      </c>
      <c r="H40">
        <v>65</v>
      </c>
      <c r="I40">
        <v>2</v>
      </c>
      <c r="J40">
        <v>2</v>
      </c>
      <c r="L40">
        <v>2</v>
      </c>
      <c r="N40">
        <v>25101007</v>
      </c>
      <c r="O40">
        <v>25101521</v>
      </c>
      <c r="P40" t="s">
        <v>420</v>
      </c>
      <c r="S40">
        <f t="shared" ca="1" si="0"/>
        <v>40</v>
      </c>
      <c r="T40">
        <f t="shared" ca="1" si="1"/>
        <v>50</v>
      </c>
      <c r="U40">
        <f t="shared" ca="1" si="2"/>
        <v>20</v>
      </c>
      <c r="X40">
        <v>110</v>
      </c>
    </row>
    <row r="41" spans="2:24" x14ac:dyDescent="0.2">
      <c r="B41">
        <v>2001</v>
      </c>
      <c r="C41">
        <v>20035</v>
      </c>
      <c r="D41">
        <v>37</v>
      </c>
      <c r="E41">
        <v>0</v>
      </c>
      <c r="F41">
        <v>45</v>
      </c>
      <c r="G41">
        <v>25</v>
      </c>
      <c r="H41">
        <v>40</v>
      </c>
      <c r="I41">
        <v>2</v>
      </c>
      <c r="J41">
        <v>2</v>
      </c>
      <c r="L41">
        <v>3</v>
      </c>
      <c r="N41">
        <v>25101008</v>
      </c>
      <c r="O41">
        <v>25101524</v>
      </c>
      <c r="P41" t="s">
        <v>421</v>
      </c>
      <c r="S41">
        <f t="shared" ca="1" si="0"/>
        <v>25</v>
      </c>
      <c r="T41">
        <f t="shared" ca="1" si="1"/>
        <v>35</v>
      </c>
      <c r="U41">
        <f t="shared" ca="1" si="2"/>
        <v>50</v>
      </c>
      <c r="X41">
        <v>110</v>
      </c>
    </row>
    <row r="42" spans="2:24" x14ac:dyDescent="0.2">
      <c r="B42">
        <v>2001</v>
      </c>
      <c r="C42">
        <v>20036</v>
      </c>
      <c r="D42">
        <v>38</v>
      </c>
      <c r="E42">
        <v>0</v>
      </c>
      <c r="F42">
        <v>30</v>
      </c>
      <c r="G42">
        <v>50</v>
      </c>
      <c r="H42">
        <v>35</v>
      </c>
      <c r="I42">
        <v>2</v>
      </c>
      <c r="J42">
        <v>2</v>
      </c>
      <c r="L42">
        <v>5</v>
      </c>
      <c r="N42">
        <v>25101009</v>
      </c>
      <c r="O42">
        <v>25101527</v>
      </c>
      <c r="P42" t="s">
        <v>423</v>
      </c>
      <c r="S42">
        <f t="shared" ref="S42:S106" ca="1" si="3">ROUND(RAND()*(X42/2-10)/5,0)*5+10</f>
        <v>15</v>
      </c>
      <c r="T42">
        <f t="shared" ref="T42:T106" ca="1" si="4">ROUND(RAND()*(X42/2-10)/5,0)*5+10</f>
        <v>25</v>
      </c>
      <c r="U42">
        <f t="shared" ca="1" si="2"/>
        <v>75</v>
      </c>
      <c r="X42">
        <v>115</v>
      </c>
    </row>
    <row r="43" spans="2:24" x14ac:dyDescent="0.2">
      <c r="B43">
        <v>2001</v>
      </c>
      <c r="C43">
        <v>20037</v>
      </c>
      <c r="D43">
        <v>39</v>
      </c>
      <c r="E43">
        <v>0</v>
      </c>
      <c r="F43">
        <v>35</v>
      </c>
      <c r="G43">
        <v>30</v>
      </c>
      <c r="H43">
        <v>50</v>
      </c>
      <c r="I43">
        <v>2</v>
      </c>
      <c r="J43">
        <v>2</v>
      </c>
      <c r="L43">
        <v>4</v>
      </c>
      <c r="N43">
        <v>25101010</v>
      </c>
      <c r="O43">
        <v>25101530</v>
      </c>
      <c r="P43" t="s">
        <v>419</v>
      </c>
      <c r="S43">
        <f t="shared" ca="1" si="3"/>
        <v>20</v>
      </c>
      <c r="T43">
        <f t="shared" ca="1" si="4"/>
        <v>35</v>
      </c>
      <c r="U43">
        <f t="shared" ca="1" si="2"/>
        <v>60</v>
      </c>
      <c r="X43">
        <v>115</v>
      </c>
    </row>
    <row r="44" spans="2:24" x14ac:dyDescent="0.2">
      <c r="B44" s="17">
        <v>2001</v>
      </c>
      <c r="C44" s="17">
        <v>20203</v>
      </c>
      <c r="D44">
        <v>40</v>
      </c>
      <c r="E44" s="17">
        <v>1</v>
      </c>
      <c r="F44" s="17">
        <v>60</v>
      </c>
      <c r="G44" s="17">
        <v>60</v>
      </c>
      <c r="H44" s="17">
        <v>60</v>
      </c>
      <c r="I44" s="17">
        <v>3</v>
      </c>
      <c r="J44" s="17">
        <v>2</v>
      </c>
      <c r="K44">
        <v>10005</v>
      </c>
      <c r="L44" s="17">
        <v>0</v>
      </c>
      <c r="M44" s="17">
        <v>200001</v>
      </c>
      <c r="O44" s="49">
        <v>25101700</v>
      </c>
      <c r="P44" s="17"/>
    </row>
    <row r="45" spans="2:24" x14ac:dyDescent="0.2">
      <c r="B45">
        <v>2001</v>
      </c>
      <c r="C45">
        <v>20038</v>
      </c>
      <c r="D45">
        <v>41</v>
      </c>
      <c r="E45">
        <v>0</v>
      </c>
      <c r="F45">
        <v>15</v>
      </c>
      <c r="G45">
        <v>20</v>
      </c>
      <c r="H45">
        <v>80</v>
      </c>
      <c r="I45">
        <v>3</v>
      </c>
      <c r="J45">
        <v>2</v>
      </c>
      <c r="L45">
        <v>4</v>
      </c>
      <c r="N45">
        <v>25101011</v>
      </c>
      <c r="O45">
        <v>25101535</v>
      </c>
      <c r="P45" t="s">
        <v>419</v>
      </c>
      <c r="S45">
        <f t="shared" ca="1" si="3"/>
        <v>25</v>
      </c>
      <c r="T45">
        <f t="shared" ca="1" si="4"/>
        <v>20</v>
      </c>
      <c r="U45">
        <f t="shared" ca="1" si="2"/>
        <v>70</v>
      </c>
      <c r="X45">
        <v>115</v>
      </c>
    </row>
    <row r="46" spans="2:24" x14ac:dyDescent="0.2">
      <c r="B46">
        <v>2001</v>
      </c>
      <c r="C46">
        <v>20039</v>
      </c>
      <c r="D46">
        <v>42</v>
      </c>
      <c r="E46">
        <v>0</v>
      </c>
      <c r="F46">
        <v>45</v>
      </c>
      <c r="G46">
        <v>35</v>
      </c>
      <c r="H46">
        <v>35</v>
      </c>
      <c r="I46">
        <v>3</v>
      </c>
      <c r="J46">
        <v>2</v>
      </c>
      <c r="L46">
        <v>3</v>
      </c>
      <c r="N46">
        <v>25101012</v>
      </c>
      <c r="O46">
        <v>25101539</v>
      </c>
      <c r="P46" t="s">
        <v>421</v>
      </c>
      <c r="S46">
        <f t="shared" ca="1" si="3"/>
        <v>15</v>
      </c>
      <c r="T46">
        <f t="shared" ca="1" si="4"/>
        <v>30</v>
      </c>
      <c r="U46">
        <f t="shared" ca="1" si="2"/>
        <v>70</v>
      </c>
      <c r="X46">
        <v>115</v>
      </c>
    </row>
    <row r="47" spans="2:24" x14ac:dyDescent="0.2">
      <c r="B47">
        <v>2001</v>
      </c>
      <c r="C47">
        <v>20040</v>
      </c>
      <c r="D47">
        <v>43</v>
      </c>
      <c r="E47">
        <v>0</v>
      </c>
      <c r="F47">
        <v>25</v>
      </c>
      <c r="G47">
        <v>50</v>
      </c>
      <c r="H47">
        <v>40</v>
      </c>
      <c r="I47">
        <v>3</v>
      </c>
      <c r="J47">
        <v>2</v>
      </c>
      <c r="L47">
        <v>4</v>
      </c>
      <c r="N47">
        <v>25101013</v>
      </c>
      <c r="O47">
        <v>25101544</v>
      </c>
      <c r="P47" t="s">
        <v>419</v>
      </c>
      <c r="S47">
        <f t="shared" ca="1" si="3"/>
        <v>45</v>
      </c>
      <c r="T47">
        <f t="shared" ca="1" si="4"/>
        <v>50</v>
      </c>
      <c r="U47">
        <f t="shared" ca="1" si="2"/>
        <v>20</v>
      </c>
      <c r="X47">
        <v>115</v>
      </c>
    </row>
    <row r="48" spans="2:24" x14ac:dyDescent="0.2">
      <c r="B48">
        <v>2001</v>
      </c>
      <c r="C48">
        <v>20041</v>
      </c>
      <c r="D48">
        <v>44</v>
      </c>
      <c r="E48">
        <v>0</v>
      </c>
      <c r="F48">
        <v>15</v>
      </c>
      <c r="G48">
        <v>35</v>
      </c>
      <c r="H48">
        <v>70</v>
      </c>
      <c r="I48">
        <v>3</v>
      </c>
      <c r="J48">
        <v>2</v>
      </c>
      <c r="L48">
        <v>4</v>
      </c>
      <c r="N48">
        <v>25101014</v>
      </c>
      <c r="O48">
        <v>25101547</v>
      </c>
      <c r="P48" t="s">
        <v>421</v>
      </c>
      <c r="S48">
        <f t="shared" ca="1" si="3"/>
        <v>55</v>
      </c>
      <c r="T48">
        <f t="shared" ca="1" si="4"/>
        <v>60</v>
      </c>
      <c r="U48">
        <f t="shared" ca="1" si="2"/>
        <v>5</v>
      </c>
      <c r="X48">
        <v>120</v>
      </c>
    </row>
    <row r="49" spans="2:24" x14ac:dyDescent="0.2">
      <c r="B49">
        <v>2001</v>
      </c>
      <c r="C49">
        <v>20042</v>
      </c>
      <c r="D49">
        <v>45</v>
      </c>
      <c r="E49">
        <v>0</v>
      </c>
      <c r="F49">
        <v>100</v>
      </c>
      <c r="G49">
        <v>10</v>
      </c>
      <c r="H49">
        <v>10</v>
      </c>
      <c r="I49">
        <v>3</v>
      </c>
      <c r="J49">
        <v>2</v>
      </c>
      <c r="L49">
        <v>5</v>
      </c>
      <c r="N49">
        <v>25101015</v>
      </c>
      <c r="O49">
        <v>25101550</v>
      </c>
      <c r="P49" t="s">
        <v>423</v>
      </c>
      <c r="S49">
        <f t="shared" ca="1" si="3"/>
        <v>10</v>
      </c>
      <c r="T49">
        <f t="shared" ca="1" si="4"/>
        <v>45</v>
      </c>
      <c r="U49">
        <f t="shared" ca="1" si="2"/>
        <v>65</v>
      </c>
      <c r="X49">
        <v>120</v>
      </c>
    </row>
    <row r="50" spans="2:24" x14ac:dyDescent="0.2">
      <c r="B50">
        <v>2001</v>
      </c>
      <c r="C50">
        <v>20043</v>
      </c>
      <c r="D50">
        <v>46</v>
      </c>
      <c r="E50">
        <v>0</v>
      </c>
      <c r="F50">
        <v>35</v>
      </c>
      <c r="G50">
        <v>50</v>
      </c>
      <c r="H50">
        <v>35</v>
      </c>
      <c r="I50">
        <v>3</v>
      </c>
      <c r="J50">
        <v>2</v>
      </c>
      <c r="L50">
        <v>3</v>
      </c>
      <c r="N50">
        <v>25101016</v>
      </c>
      <c r="O50">
        <v>25101553</v>
      </c>
      <c r="P50" t="s">
        <v>421</v>
      </c>
      <c r="S50">
        <f t="shared" ca="1" si="3"/>
        <v>15</v>
      </c>
      <c r="T50">
        <f t="shared" ca="1" si="4"/>
        <v>30</v>
      </c>
      <c r="U50">
        <f t="shared" ca="1" si="2"/>
        <v>75</v>
      </c>
      <c r="X50">
        <v>120</v>
      </c>
    </row>
    <row r="51" spans="2:24" x14ac:dyDescent="0.2">
      <c r="B51">
        <v>2001</v>
      </c>
      <c r="C51">
        <v>20044</v>
      </c>
      <c r="D51">
        <v>47</v>
      </c>
      <c r="E51">
        <v>0</v>
      </c>
      <c r="F51">
        <v>40</v>
      </c>
      <c r="G51">
        <v>50</v>
      </c>
      <c r="H51">
        <v>30</v>
      </c>
      <c r="I51">
        <v>3</v>
      </c>
      <c r="J51">
        <v>2</v>
      </c>
      <c r="L51">
        <v>5</v>
      </c>
      <c r="N51">
        <v>25101017</v>
      </c>
      <c r="O51">
        <v>25101556</v>
      </c>
      <c r="P51" t="s">
        <v>423</v>
      </c>
      <c r="S51">
        <f t="shared" ca="1" si="3"/>
        <v>55</v>
      </c>
      <c r="T51">
        <f t="shared" ca="1" si="4"/>
        <v>45</v>
      </c>
      <c r="U51">
        <f t="shared" ca="1" si="2"/>
        <v>20</v>
      </c>
      <c r="X51">
        <v>120</v>
      </c>
    </row>
    <row r="52" spans="2:24" x14ac:dyDescent="0.2">
      <c r="B52">
        <v>2001</v>
      </c>
      <c r="C52">
        <v>20045</v>
      </c>
      <c r="D52">
        <v>48</v>
      </c>
      <c r="E52">
        <v>0</v>
      </c>
      <c r="F52">
        <v>75</v>
      </c>
      <c r="G52">
        <v>40</v>
      </c>
      <c r="H52">
        <v>5</v>
      </c>
      <c r="I52">
        <v>3</v>
      </c>
      <c r="J52">
        <v>2</v>
      </c>
      <c r="L52">
        <v>3</v>
      </c>
      <c r="N52">
        <v>25101018</v>
      </c>
      <c r="O52">
        <v>25101561</v>
      </c>
      <c r="P52" t="s">
        <v>421</v>
      </c>
      <c r="S52">
        <f t="shared" ca="1" si="3"/>
        <v>15</v>
      </c>
      <c r="T52">
        <f t="shared" ca="1" si="4"/>
        <v>45</v>
      </c>
      <c r="U52">
        <f t="shared" ca="1" si="2"/>
        <v>60</v>
      </c>
      <c r="X52">
        <v>120</v>
      </c>
    </row>
    <row r="53" spans="2:24" x14ac:dyDescent="0.2">
      <c r="B53">
        <v>2001</v>
      </c>
      <c r="C53">
        <v>20046</v>
      </c>
      <c r="D53">
        <v>49</v>
      </c>
      <c r="E53">
        <v>0</v>
      </c>
      <c r="F53">
        <v>15</v>
      </c>
      <c r="G53">
        <v>15</v>
      </c>
      <c r="H53">
        <v>95</v>
      </c>
      <c r="I53">
        <v>4</v>
      </c>
      <c r="J53">
        <v>2</v>
      </c>
      <c r="L53">
        <v>4</v>
      </c>
      <c r="N53">
        <v>25101019</v>
      </c>
      <c r="O53">
        <v>25101565</v>
      </c>
      <c r="P53" t="s">
        <v>419</v>
      </c>
      <c r="S53">
        <f t="shared" ca="1" si="3"/>
        <v>60</v>
      </c>
      <c r="T53">
        <f t="shared" ca="1" si="4"/>
        <v>35</v>
      </c>
      <c r="U53">
        <f t="shared" ca="1" si="2"/>
        <v>30</v>
      </c>
      <c r="X53">
        <v>125</v>
      </c>
    </row>
    <row r="54" spans="2:24" x14ac:dyDescent="0.2">
      <c r="B54">
        <v>2001</v>
      </c>
      <c r="C54">
        <v>20047</v>
      </c>
      <c r="D54">
        <v>50</v>
      </c>
      <c r="E54">
        <v>0</v>
      </c>
      <c r="F54">
        <v>20</v>
      </c>
      <c r="G54">
        <v>75</v>
      </c>
      <c r="H54">
        <v>30</v>
      </c>
      <c r="I54">
        <v>4</v>
      </c>
      <c r="J54">
        <v>2</v>
      </c>
      <c r="L54">
        <v>3</v>
      </c>
      <c r="N54">
        <v>25101020</v>
      </c>
      <c r="O54">
        <v>25101569</v>
      </c>
      <c r="P54" t="s">
        <v>421</v>
      </c>
      <c r="S54">
        <f t="shared" ca="1" si="3"/>
        <v>20</v>
      </c>
      <c r="T54">
        <f t="shared" ca="1" si="4"/>
        <v>35</v>
      </c>
      <c r="U54">
        <f t="shared" ca="1" si="2"/>
        <v>70</v>
      </c>
      <c r="X54">
        <v>125</v>
      </c>
    </row>
    <row r="55" spans="2:24" x14ac:dyDescent="0.2">
      <c r="B55">
        <v>2001</v>
      </c>
      <c r="C55">
        <v>20048</v>
      </c>
      <c r="D55">
        <v>51</v>
      </c>
      <c r="E55">
        <v>0</v>
      </c>
      <c r="F55">
        <v>75</v>
      </c>
      <c r="G55">
        <v>40</v>
      </c>
      <c r="H55">
        <v>10</v>
      </c>
      <c r="I55">
        <v>4</v>
      </c>
      <c r="J55">
        <v>2</v>
      </c>
      <c r="L55">
        <v>4</v>
      </c>
      <c r="N55">
        <v>25101021</v>
      </c>
      <c r="O55">
        <v>25101574</v>
      </c>
      <c r="P55" t="s">
        <v>419</v>
      </c>
      <c r="S55">
        <f t="shared" ca="1" si="3"/>
        <v>55</v>
      </c>
      <c r="T55">
        <f t="shared" ca="1" si="4"/>
        <v>50</v>
      </c>
      <c r="U55">
        <f t="shared" ca="1" si="2"/>
        <v>20</v>
      </c>
      <c r="X55">
        <v>125</v>
      </c>
    </row>
    <row r="56" spans="2:24" x14ac:dyDescent="0.2">
      <c r="B56">
        <v>2001</v>
      </c>
      <c r="C56">
        <v>20049</v>
      </c>
      <c r="D56">
        <v>52</v>
      </c>
      <c r="E56">
        <v>0</v>
      </c>
      <c r="F56">
        <v>60</v>
      </c>
      <c r="G56">
        <v>45</v>
      </c>
      <c r="H56">
        <v>20</v>
      </c>
      <c r="I56">
        <v>4</v>
      </c>
      <c r="J56">
        <v>2</v>
      </c>
      <c r="L56">
        <v>6</v>
      </c>
      <c r="N56">
        <v>25101024</v>
      </c>
      <c r="O56">
        <v>25101579</v>
      </c>
      <c r="P56" t="s">
        <v>424</v>
      </c>
      <c r="S56">
        <f t="shared" ca="1" si="3"/>
        <v>40</v>
      </c>
      <c r="T56">
        <f t="shared" ca="1" si="4"/>
        <v>15</v>
      </c>
      <c r="U56">
        <f t="shared" ca="1" si="2"/>
        <v>70</v>
      </c>
      <c r="X56">
        <v>125</v>
      </c>
    </row>
    <row r="57" spans="2:24" x14ac:dyDescent="0.2">
      <c r="B57">
        <v>2001</v>
      </c>
      <c r="C57">
        <v>20050</v>
      </c>
      <c r="D57">
        <v>53</v>
      </c>
      <c r="E57">
        <v>0</v>
      </c>
      <c r="F57">
        <v>5</v>
      </c>
      <c r="G57">
        <v>25</v>
      </c>
      <c r="H57">
        <v>95</v>
      </c>
      <c r="I57">
        <v>4</v>
      </c>
      <c r="J57">
        <v>2</v>
      </c>
      <c r="L57">
        <v>2</v>
      </c>
      <c r="N57">
        <v>25101025</v>
      </c>
      <c r="O57">
        <v>25101584</v>
      </c>
      <c r="P57" t="s">
        <v>420</v>
      </c>
      <c r="S57">
        <f t="shared" ca="1" si="3"/>
        <v>50</v>
      </c>
      <c r="T57">
        <f t="shared" ca="1" si="4"/>
        <v>25</v>
      </c>
      <c r="U57">
        <f t="shared" ca="1" si="2"/>
        <v>50</v>
      </c>
      <c r="X57">
        <v>125</v>
      </c>
    </row>
    <row r="58" spans="2:24" x14ac:dyDescent="0.2">
      <c r="B58">
        <v>2001</v>
      </c>
      <c r="C58">
        <v>20051</v>
      </c>
      <c r="D58">
        <v>54</v>
      </c>
      <c r="E58">
        <v>0</v>
      </c>
      <c r="F58">
        <v>45</v>
      </c>
      <c r="G58">
        <v>30</v>
      </c>
      <c r="H58">
        <v>55</v>
      </c>
      <c r="I58">
        <v>4</v>
      </c>
      <c r="J58">
        <v>2</v>
      </c>
      <c r="L58">
        <v>4</v>
      </c>
      <c r="N58">
        <v>25101026</v>
      </c>
      <c r="O58">
        <v>25101586</v>
      </c>
      <c r="P58" t="s">
        <v>419</v>
      </c>
      <c r="S58">
        <f t="shared" ca="1" si="3"/>
        <v>40</v>
      </c>
      <c r="T58">
        <f t="shared" ca="1" si="4"/>
        <v>40</v>
      </c>
      <c r="U58">
        <f t="shared" ca="1" si="2"/>
        <v>50</v>
      </c>
      <c r="X58">
        <v>130</v>
      </c>
    </row>
    <row r="59" spans="2:24" x14ac:dyDescent="0.2">
      <c r="B59">
        <v>2001</v>
      </c>
      <c r="C59">
        <v>20052</v>
      </c>
      <c r="D59">
        <v>55</v>
      </c>
      <c r="E59">
        <v>0</v>
      </c>
      <c r="F59">
        <v>25</v>
      </c>
      <c r="G59">
        <v>30</v>
      </c>
      <c r="H59">
        <v>75</v>
      </c>
      <c r="I59">
        <v>4</v>
      </c>
      <c r="J59">
        <v>2</v>
      </c>
      <c r="L59">
        <v>4</v>
      </c>
      <c r="N59">
        <v>25101028</v>
      </c>
      <c r="O59">
        <v>25101590</v>
      </c>
      <c r="P59" t="s">
        <v>419</v>
      </c>
      <c r="S59">
        <f t="shared" ca="1" si="3"/>
        <v>60</v>
      </c>
      <c r="T59">
        <f t="shared" ca="1" si="4"/>
        <v>50</v>
      </c>
      <c r="U59">
        <f t="shared" ca="1" si="2"/>
        <v>20</v>
      </c>
      <c r="X59">
        <v>130</v>
      </c>
    </row>
    <row r="60" spans="2:24" x14ac:dyDescent="0.2">
      <c r="B60">
        <v>2001</v>
      </c>
      <c r="C60">
        <v>20053</v>
      </c>
      <c r="D60">
        <v>56</v>
      </c>
      <c r="E60">
        <v>0</v>
      </c>
      <c r="F60">
        <v>15</v>
      </c>
      <c r="G60">
        <v>55</v>
      </c>
      <c r="H60">
        <v>60</v>
      </c>
      <c r="I60">
        <v>5</v>
      </c>
      <c r="J60">
        <v>2</v>
      </c>
      <c r="L60">
        <v>3</v>
      </c>
      <c r="N60">
        <v>25101029</v>
      </c>
      <c r="O60">
        <v>25101593</v>
      </c>
      <c r="P60" t="s">
        <v>421</v>
      </c>
      <c r="S60">
        <f t="shared" ca="1" si="3"/>
        <v>25</v>
      </c>
      <c r="T60">
        <f t="shared" ca="1" si="4"/>
        <v>40</v>
      </c>
      <c r="U60">
        <f t="shared" ca="1" si="2"/>
        <v>65</v>
      </c>
      <c r="X60">
        <v>130</v>
      </c>
    </row>
    <row r="61" spans="2:24" x14ac:dyDescent="0.2">
      <c r="B61">
        <v>2001</v>
      </c>
      <c r="C61">
        <v>20054</v>
      </c>
      <c r="D61">
        <v>57</v>
      </c>
      <c r="E61">
        <v>0</v>
      </c>
      <c r="F61">
        <v>100</v>
      </c>
      <c r="G61">
        <v>25</v>
      </c>
      <c r="H61">
        <v>5</v>
      </c>
      <c r="I61">
        <v>5</v>
      </c>
      <c r="J61">
        <v>2</v>
      </c>
      <c r="L61">
        <v>1</v>
      </c>
      <c r="N61">
        <v>25101030</v>
      </c>
      <c r="O61">
        <v>25101596</v>
      </c>
      <c r="P61" t="s">
        <v>422</v>
      </c>
      <c r="S61">
        <f t="shared" ca="1" si="3"/>
        <v>20</v>
      </c>
      <c r="T61">
        <f t="shared" ca="1" si="4"/>
        <v>55</v>
      </c>
      <c r="U61">
        <f t="shared" ca="1" si="2"/>
        <v>55</v>
      </c>
      <c r="X61">
        <v>130</v>
      </c>
    </row>
    <row r="62" spans="2:24" x14ac:dyDescent="0.2">
      <c r="B62">
        <v>2001</v>
      </c>
      <c r="C62">
        <v>20055</v>
      </c>
      <c r="D62">
        <v>58</v>
      </c>
      <c r="E62">
        <v>0</v>
      </c>
      <c r="F62">
        <v>15</v>
      </c>
      <c r="G62">
        <v>35</v>
      </c>
      <c r="H62">
        <v>80</v>
      </c>
      <c r="I62">
        <v>5</v>
      </c>
      <c r="J62">
        <v>2</v>
      </c>
      <c r="L62">
        <v>3</v>
      </c>
      <c r="N62">
        <v>25101031</v>
      </c>
      <c r="O62">
        <v>25101599</v>
      </c>
      <c r="P62" t="s">
        <v>421</v>
      </c>
      <c r="S62">
        <f t="shared" ca="1" si="3"/>
        <v>45</v>
      </c>
      <c r="T62">
        <f t="shared" ca="1" si="4"/>
        <v>25</v>
      </c>
      <c r="U62">
        <f t="shared" ca="1" si="2"/>
        <v>60</v>
      </c>
      <c r="X62">
        <v>130</v>
      </c>
    </row>
    <row r="63" spans="2:24" x14ac:dyDescent="0.2">
      <c r="B63">
        <v>2001</v>
      </c>
      <c r="C63">
        <v>20056</v>
      </c>
      <c r="D63">
        <v>59</v>
      </c>
      <c r="E63">
        <v>0</v>
      </c>
      <c r="F63">
        <v>80</v>
      </c>
      <c r="G63">
        <v>25</v>
      </c>
      <c r="H63">
        <v>30</v>
      </c>
      <c r="I63">
        <v>5</v>
      </c>
      <c r="J63">
        <v>2</v>
      </c>
      <c r="L63">
        <v>5</v>
      </c>
      <c r="N63">
        <v>25101032</v>
      </c>
      <c r="O63">
        <v>25101602</v>
      </c>
      <c r="P63" t="s">
        <v>423</v>
      </c>
      <c r="S63">
        <f t="shared" ca="1" si="3"/>
        <v>60</v>
      </c>
      <c r="T63">
        <f t="shared" ca="1" si="4"/>
        <v>40</v>
      </c>
      <c r="U63">
        <f t="shared" ca="1" si="2"/>
        <v>35</v>
      </c>
      <c r="X63">
        <v>135</v>
      </c>
    </row>
    <row r="64" spans="2:24" x14ac:dyDescent="0.2">
      <c r="B64">
        <v>2001</v>
      </c>
      <c r="C64">
        <v>20057</v>
      </c>
      <c r="D64">
        <v>60</v>
      </c>
      <c r="E64">
        <v>0</v>
      </c>
      <c r="F64">
        <v>35</v>
      </c>
      <c r="G64">
        <v>75</v>
      </c>
      <c r="H64">
        <v>25</v>
      </c>
      <c r="I64">
        <v>5</v>
      </c>
      <c r="J64">
        <v>2</v>
      </c>
      <c r="L64">
        <v>2</v>
      </c>
      <c r="N64">
        <v>25101033</v>
      </c>
      <c r="O64">
        <v>25101606</v>
      </c>
      <c r="P64" t="s">
        <v>420</v>
      </c>
      <c r="S64">
        <f t="shared" ca="1" si="3"/>
        <v>60</v>
      </c>
      <c r="T64">
        <f t="shared" ca="1" si="4"/>
        <v>35</v>
      </c>
      <c r="U64">
        <f t="shared" ca="1" si="2"/>
        <v>40</v>
      </c>
      <c r="X64">
        <v>135</v>
      </c>
    </row>
    <row r="65" spans="2:24" x14ac:dyDescent="0.2">
      <c r="B65">
        <v>2001</v>
      </c>
      <c r="C65">
        <v>20058</v>
      </c>
      <c r="D65">
        <v>61</v>
      </c>
      <c r="E65">
        <v>0</v>
      </c>
      <c r="F65">
        <v>30</v>
      </c>
      <c r="G65">
        <v>50</v>
      </c>
      <c r="H65">
        <v>55</v>
      </c>
      <c r="I65">
        <v>5</v>
      </c>
      <c r="J65">
        <v>2</v>
      </c>
      <c r="L65">
        <v>4</v>
      </c>
      <c r="N65">
        <v>25101001</v>
      </c>
      <c r="O65">
        <v>25101503</v>
      </c>
      <c r="P65" t="s">
        <v>419</v>
      </c>
      <c r="S65">
        <f t="shared" ca="1" si="3"/>
        <v>25</v>
      </c>
      <c r="T65">
        <f t="shared" ca="1" si="4"/>
        <v>35</v>
      </c>
      <c r="U65">
        <f t="shared" ca="1" si="2"/>
        <v>75</v>
      </c>
      <c r="X65">
        <v>135</v>
      </c>
    </row>
    <row r="66" spans="2:24" x14ac:dyDescent="0.2">
      <c r="B66">
        <v>2001</v>
      </c>
      <c r="C66">
        <v>20059</v>
      </c>
      <c r="D66">
        <v>62</v>
      </c>
      <c r="E66">
        <v>0</v>
      </c>
      <c r="F66">
        <v>15</v>
      </c>
      <c r="G66">
        <v>55</v>
      </c>
      <c r="H66">
        <v>65</v>
      </c>
      <c r="I66">
        <v>5</v>
      </c>
      <c r="J66">
        <v>2</v>
      </c>
      <c r="L66">
        <v>2</v>
      </c>
      <c r="N66">
        <v>25101002</v>
      </c>
      <c r="O66">
        <v>25101507</v>
      </c>
      <c r="P66" t="s">
        <v>420</v>
      </c>
      <c r="S66">
        <f t="shared" ca="1" si="3"/>
        <v>20</v>
      </c>
      <c r="T66">
        <f t="shared" ca="1" si="4"/>
        <v>65</v>
      </c>
      <c r="U66">
        <f t="shared" ca="1" si="2"/>
        <v>50</v>
      </c>
      <c r="X66">
        <v>135</v>
      </c>
    </row>
    <row r="67" spans="2:24" x14ac:dyDescent="0.2">
      <c r="B67">
        <v>2001</v>
      </c>
      <c r="C67">
        <v>20060</v>
      </c>
      <c r="D67">
        <v>63</v>
      </c>
      <c r="E67">
        <v>0</v>
      </c>
      <c r="F67">
        <v>15</v>
      </c>
      <c r="G67">
        <v>100</v>
      </c>
      <c r="H67">
        <v>20</v>
      </c>
      <c r="I67">
        <v>6</v>
      </c>
      <c r="J67">
        <v>2</v>
      </c>
      <c r="L67">
        <v>3</v>
      </c>
      <c r="N67">
        <v>25101003</v>
      </c>
      <c r="O67">
        <v>25101510</v>
      </c>
      <c r="P67" t="s">
        <v>421</v>
      </c>
      <c r="S67">
        <f t="shared" ca="1" si="3"/>
        <v>25</v>
      </c>
      <c r="T67">
        <f t="shared" ca="1" si="4"/>
        <v>50</v>
      </c>
      <c r="U67">
        <f t="shared" ca="1" si="2"/>
        <v>60</v>
      </c>
      <c r="X67">
        <v>135</v>
      </c>
    </row>
    <row r="68" spans="2:24" x14ac:dyDescent="0.2">
      <c r="B68">
        <v>2001</v>
      </c>
      <c r="C68">
        <v>20061</v>
      </c>
      <c r="D68">
        <v>64</v>
      </c>
      <c r="E68">
        <v>0</v>
      </c>
      <c r="F68">
        <v>70</v>
      </c>
      <c r="G68">
        <v>10</v>
      </c>
      <c r="H68">
        <v>60</v>
      </c>
      <c r="I68">
        <v>6</v>
      </c>
      <c r="J68">
        <v>2</v>
      </c>
      <c r="L68">
        <v>3</v>
      </c>
      <c r="N68">
        <v>25101004</v>
      </c>
      <c r="O68">
        <v>25101513</v>
      </c>
      <c r="P68" t="s">
        <v>421</v>
      </c>
      <c r="S68">
        <f t="shared" ca="1" si="3"/>
        <v>20</v>
      </c>
      <c r="T68">
        <f t="shared" ca="1" si="4"/>
        <v>45</v>
      </c>
      <c r="U68">
        <f t="shared" ca="1" si="2"/>
        <v>75</v>
      </c>
      <c r="X68">
        <v>140</v>
      </c>
    </row>
    <row r="69" spans="2:24" x14ac:dyDescent="0.2">
      <c r="B69">
        <v>2001</v>
      </c>
      <c r="C69">
        <v>20062</v>
      </c>
      <c r="D69">
        <v>65</v>
      </c>
      <c r="E69">
        <v>0</v>
      </c>
      <c r="F69">
        <v>65</v>
      </c>
      <c r="G69">
        <v>35</v>
      </c>
      <c r="H69">
        <v>40</v>
      </c>
      <c r="I69">
        <v>6</v>
      </c>
      <c r="J69">
        <v>2</v>
      </c>
      <c r="L69">
        <v>1</v>
      </c>
      <c r="N69">
        <v>25101005</v>
      </c>
      <c r="O69">
        <v>25101516</v>
      </c>
      <c r="P69" t="s">
        <v>422</v>
      </c>
      <c r="S69">
        <f t="shared" ca="1" si="3"/>
        <v>30</v>
      </c>
      <c r="T69">
        <f t="shared" ca="1" si="4"/>
        <v>10</v>
      </c>
      <c r="U69">
        <f t="shared" ca="1" si="2"/>
        <v>100</v>
      </c>
      <c r="X69">
        <v>140</v>
      </c>
    </row>
    <row r="70" spans="2:24" x14ac:dyDescent="0.2">
      <c r="B70">
        <v>2001</v>
      </c>
      <c r="C70">
        <v>20063</v>
      </c>
      <c r="D70">
        <v>66</v>
      </c>
      <c r="E70">
        <v>0</v>
      </c>
      <c r="F70">
        <v>60</v>
      </c>
      <c r="G70">
        <v>40</v>
      </c>
      <c r="H70">
        <v>40</v>
      </c>
      <c r="I70">
        <v>6</v>
      </c>
      <c r="J70">
        <v>2</v>
      </c>
      <c r="L70">
        <v>1</v>
      </c>
      <c r="N70">
        <v>25101006</v>
      </c>
      <c r="O70">
        <v>25101520</v>
      </c>
      <c r="P70" t="s">
        <v>422</v>
      </c>
      <c r="S70">
        <f t="shared" ca="1" si="3"/>
        <v>25</v>
      </c>
      <c r="T70">
        <f t="shared" ca="1" si="4"/>
        <v>10</v>
      </c>
      <c r="U70">
        <f t="shared" ca="1" si="2"/>
        <v>105</v>
      </c>
      <c r="X70">
        <v>140</v>
      </c>
    </row>
    <row r="71" spans="2:24" x14ac:dyDescent="0.2">
      <c r="B71">
        <v>2001</v>
      </c>
      <c r="C71">
        <v>20064</v>
      </c>
      <c r="D71">
        <v>67</v>
      </c>
      <c r="E71">
        <v>0</v>
      </c>
      <c r="F71">
        <v>120</v>
      </c>
      <c r="G71">
        <v>10</v>
      </c>
      <c r="H71">
        <v>10</v>
      </c>
      <c r="I71">
        <v>6</v>
      </c>
      <c r="J71">
        <v>2</v>
      </c>
      <c r="L71">
        <v>2</v>
      </c>
      <c r="N71">
        <v>25101007</v>
      </c>
      <c r="O71">
        <v>25101522</v>
      </c>
      <c r="P71" t="s">
        <v>420</v>
      </c>
      <c r="S71">
        <f t="shared" ca="1" si="3"/>
        <v>45</v>
      </c>
      <c r="T71">
        <f t="shared" ca="1" si="4"/>
        <v>25</v>
      </c>
      <c r="U71">
        <f t="shared" ca="1" si="2"/>
        <v>70</v>
      </c>
      <c r="X71">
        <v>140</v>
      </c>
    </row>
    <row r="72" spans="2:24" x14ac:dyDescent="0.2">
      <c r="B72">
        <v>2001</v>
      </c>
      <c r="C72">
        <v>20065</v>
      </c>
      <c r="D72">
        <v>68</v>
      </c>
      <c r="E72">
        <v>0</v>
      </c>
      <c r="F72">
        <v>60</v>
      </c>
      <c r="G72">
        <v>50</v>
      </c>
      <c r="H72">
        <v>30</v>
      </c>
      <c r="I72">
        <v>6</v>
      </c>
      <c r="J72">
        <v>2</v>
      </c>
      <c r="L72">
        <v>3</v>
      </c>
      <c r="N72">
        <v>25101008</v>
      </c>
      <c r="O72">
        <v>25101525</v>
      </c>
      <c r="P72" t="s">
        <v>421</v>
      </c>
      <c r="S72">
        <f t="shared" ca="1" si="3"/>
        <v>35</v>
      </c>
      <c r="T72">
        <f t="shared" ca="1" si="4"/>
        <v>40</v>
      </c>
      <c r="U72">
        <f t="shared" ca="1" si="2"/>
        <v>65</v>
      </c>
      <c r="X72">
        <v>140</v>
      </c>
    </row>
    <row r="73" spans="2:24" x14ac:dyDescent="0.2">
      <c r="B73">
        <v>2001</v>
      </c>
      <c r="C73">
        <v>20066</v>
      </c>
      <c r="D73">
        <v>69</v>
      </c>
      <c r="E73">
        <v>0</v>
      </c>
      <c r="F73">
        <v>80</v>
      </c>
      <c r="G73">
        <v>35</v>
      </c>
      <c r="H73">
        <v>30</v>
      </c>
      <c r="I73">
        <v>6</v>
      </c>
      <c r="J73">
        <v>2</v>
      </c>
      <c r="L73">
        <v>5</v>
      </c>
      <c r="N73">
        <v>25101009</v>
      </c>
      <c r="O73">
        <v>25101528</v>
      </c>
      <c r="P73" t="s">
        <v>423</v>
      </c>
      <c r="S73">
        <f t="shared" ca="1" si="3"/>
        <v>45</v>
      </c>
      <c r="T73">
        <f t="shared" ca="1" si="4"/>
        <v>60</v>
      </c>
      <c r="U73">
        <f t="shared" ref="U73:U115" ca="1" si="5">X73-S73-T73</f>
        <v>40</v>
      </c>
      <c r="X73">
        <v>145</v>
      </c>
    </row>
    <row r="74" spans="2:24" x14ac:dyDescent="0.2">
      <c r="B74">
        <v>2001</v>
      </c>
      <c r="C74">
        <v>20067</v>
      </c>
      <c r="D74">
        <v>70</v>
      </c>
      <c r="E74">
        <v>0</v>
      </c>
      <c r="F74">
        <v>15</v>
      </c>
      <c r="G74">
        <v>120</v>
      </c>
      <c r="H74">
        <v>10</v>
      </c>
      <c r="I74">
        <v>7</v>
      </c>
      <c r="J74">
        <v>2</v>
      </c>
      <c r="L74">
        <v>4</v>
      </c>
      <c r="N74">
        <v>25101010</v>
      </c>
      <c r="O74">
        <v>25101531</v>
      </c>
      <c r="P74" t="s">
        <v>419</v>
      </c>
      <c r="S74">
        <f t="shared" ca="1" si="3"/>
        <v>45</v>
      </c>
      <c r="T74">
        <f t="shared" ca="1" si="4"/>
        <v>30</v>
      </c>
      <c r="U74">
        <f t="shared" ca="1" si="5"/>
        <v>70</v>
      </c>
      <c r="X74">
        <v>145</v>
      </c>
    </row>
    <row r="75" spans="2:24" x14ac:dyDescent="0.2">
      <c r="B75">
        <v>2001</v>
      </c>
      <c r="C75">
        <v>20068</v>
      </c>
      <c r="D75">
        <v>71</v>
      </c>
      <c r="E75">
        <v>0</v>
      </c>
      <c r="F75">
        <v>15</v>
      </c>
      <c r="G75">
        <v>20</v>
      </c>
      <c r="H75">
        <v>110</v>
      </c>
      <c r="I75">
        <v>7</v>
      </c>
      <c r="J75">
        <v>2</v>
      </c>
      <c r="L75">
        <v>4</v>
      </c>
      <c r="N75">
        <v>25101011</v>
      </c>
      <c r="O75">
        <v>25101536</v>
      </c>
      <c r="P75" t="s">
        <v>419</v>
      </c>
      <c r="S75">
        <f t="shared" ca="1" si="3"/>
        <v>20</v>
      </c>
      <c r="T75">
        <f t="shared" ca="1" si="4"/>
        <v>15</v>
      </c>
      <c r="U75">
        <f t="shared" ca="1" si="5"/>
        <v>110</v>
      </c>
      <c r="X75">
        <v>145</v>
      </c>
    </row>
    <row r="76" spans="2:24" x14ac:dyDescent="0.2">
      <c r="B76">
        <v>2001</v>
      </c>
      <c r="C76">
        <v>20069</v>
      </c>
      <c r="D76">
        <v>72</v>
      </c>
      <c r="E76">
        <v>0</v>
      </c>
      <c r="F76">
        <v>45</v>
      </c>
      <c r="G76">
        <v>60</v>
      </c>
      <c r="H76">
        <v>40</v>
      </c>
      <c r="I76">
        <v>7</v>
      </c>
      <c r="J76">
        <v>2</v>
      </c>
      <c r="L76">
        <v>3</v>
      </c>
      <c r="N76">
        <v>25101012</v>
      </c>
      <c r="O76">
        <v>25101540</v>
      </c>
      <c r="P76" t="s">
        <v>421</v>
      </c>
      <c r="S76">
        <f t="shared" ca="1" si="3"/>
        <v>20</v>
      </c>
      <c r="T76">
        <f t="shared" ca="1" si="4"/>
        <v>30</v>
      </c>
      <c r="U76">
        <f t="shared" ca="1" si="5"/>
        <v>95</v>
      </c>
      <c r="X76">
        <v>145</v>
      </c>
    </row>
    <row r="77" spans="2:24" x14ac:dyDescent="0.2">
      <c r="B77">
        <v>2001</v>
      </c>
      <c r="C77">
        <v>20070</v>
      </c>
      <c r="D77">
        <v>73</v>
      </c>
      <c r="E77">
        <v>0</v>
      </c>
      <c r="F77">
        <v>40</v>
      </c>
      <c r="G77">
        <v>55</v>
      </c>
      <c r="H77">
        <v>50</v>
      </c>
      <c r="I77">
        <v>7</v>
      </c>
      <c r="J77">
        <v>2</v>
      </c>
      <c r="L77">
        <v>4</v>
      </c>
      <c r="N77">
        <v>25101013</v>
      </c>
      <c r="O77">
        <v>25101545</v>
      </c>
      <c r="P77" t="s">
        <v>419</v>
      </c>
      <c r="S77">
        <f t="shared" ca="1" si="3"/>
        <v>15</v>
      </c>
      <c r="T77">
        <f t="shared" ca="1" si="4"/>
        <v>30</v>
      </c>
      <c r="U77">
        <f t="shared" ca="1" si="5"/>
        <v>100</v>
      </c>
      <c r="X77">
        <v>145</v>
      </c>
    </row>
    <row r="78" spans="2:24" x14ac:dyDescent="0.2">
      <c r="B78">
        <v>2001</v>
      </c>
      <c r="C78">
        <v>20071</v>
      </c>
      <c r="D78">
        <v>74</v>
      </c>
      <c r="E78">
        <v>0</v>
      </c>
      <c r="F78">
        <v>20</v>
      </c>
      <c r="G78">
        <v>50</v>
      </c>
      <c r="H78">
        <v>80</v>
      </c>
      <c r="I78">
        <v>7</v>
      </c>
      <c r="J78">
        <v>2</v>
      </c>
      <c r="L78">
        <v>4</v>
      </c>
      <c r="N78">
        <v>25101014</v>
      </c>
      <c r="O78">
        <v>25101548</v>
      </c>
      <c r="P78" t="s">
        <v>421</v>
      </c>
      <c r="S78">
        <f t="shared" ca="1" si="3"/>
        <v>20</v>
      </c>
      <c r="T78">
        <f t="shared" ca="1" si="4"/>
        <v>55</v>
      </c>
      <c r="U78">
        <f t="shared" ca="1" si="5"/>
        <v>75</v>
      </c>
      <c r="X78">
        <v>150</v>
      </c>
    </row>
    <row r="79" spans="2:24" x14ac:dyDescent="0.2">
      <c r="B79">
        <v>2001</v>
      </c>
      <c r="C79">
        <v>20072</v>
      </c>
      <c r="D79">
        <v>75</v>
      </c>
      <c r="E79">
        <v>0</v>
      </c>
      <c r="F79">
        <v>115</v>
      </c>
      <c r="G79">
        <v>20</v>
      </c>
      <c r="H79">
        <v>15</v>
      </c>
      <c r="I79">
        <v>7</v>
      </c>
      <c r="J79">
        <v>2</v>
      </c>
      <c r="L79">
        <v>5</v>
      </c>
      <c r="N79">
        <v>25101015</v>
      </c>
      <c r="O79">
        <v>25101551</v>
      </c>
      <c r="P79" t="s">
        <v>423</v>
      </c>
      <c r="S79">
        <f t="shared" ca="1" si="3"/>
        <v>40</v>
      </c>
      <c r="T79">
        <f t="shared" ca="1" si="4"/>
        <v>70</v>
      </c>
      <c r="U79">
        <f t="shared" ca="1" si="5"/>
        <v>40</v>
      </c>
      <c r="X79">
        <v>150</v>
      </c>
    </row>
    <row r="80" spans="2:24" x14ac:dyDescent="0.2">
      <c r="B80">
        <v>2001</v>
      </c>
      <c r="C80">
        <v>20073</v>
      </c>
      <c r="D80">
        <v>76</v>
      </c>
      <c r="E80">
        <v>0</v>
      </c>
      <c r="F80">
        <v>65</v>
      </c>
      <c r="G80">
        <v>60</v>
      </c>
      <c r="H80">
        <v>25</v>
      </c>
      <c r="I80">
        <v>8</v>
      </c>
      <c r="J80">
        <v>2</v>
      </c>
      <c r="L80">
        <v>3</v>
      </c>
      <c r="N80">
        <v>25101016</v>
      </c>
      <c r="O80">
        <v>25101554</v>
      </c>
      <c r="P80" t="s">
        <v>421</v>
      </c>
      <c r="S80">
        <f t="shared" ca="1" si="3"/>
        <v>20</v>
      </c>
      <c r="T80">
        <f t="shared" ca="1" si="4"/>
        <v>55</v>
      </c>
      <c r="U80">
        <f t="shared" ca="1" si="5"/>
        <v>75</v>
      </c>
      <c r="X80">
        <v>150</v>
      </c>
    </row>
    <row r="81" spans="2:24" x14ac:dyDescent="0.2">
      <c r="B81">
        <v>2001</v>
      </c>
      <c r="C81">
        <v>20074</v>
      </c>
      <c r="D81">
        <v>77</v>
      </c>
      <c r="E81">
        <v>0</v>
      </c>
      <c r="F81">
        <v>20</v>
      </c>
      <c r="G81">
        <v>55</v>
      </c>
      <c r="H81">
        <v>75</v>
      </c>
      <c r="I81">
        <v>8</v>
      </c>
      <c r="J81">
        <v>2</v>
      </c>
      <c r="L81">
        <v>5</v>
      </c>
      <c r="N81">
        <v>25101017</v>
      </c>
      <c r="O81">
        <v>25101557</v>
      </c>
      <c r="P81" t="s">
        <v>423</v>
      </c>
      <c r="S81">
        <f t="shared" ca="1" si="3"/>
        <v>65</v>
      </c>
      <c r="T81">
        <f t="shared" ca="1" si="4"/>
        <v>50</v>
      </c>
      <c r="U81">
        <f t="shared" ca="1" si="5"/>
        <v>35</v>
      </c>
      <c r="X81">
        <v>150</v>
      </c>
    </row>
    <row r="82" spans="2:24" x14ac:dyDescent="0.2">
      <c r="B82">
        <v>2001</v>
      </c>
      <c r="C82">
        <v>20075</v>
      </c>
      <c r="D82">
        <v>78</v>
      </c>
      <c r="E82">
        <v>0</v>
      </c>
      <c r="F82">
        <v>15</v>
      </c>
      <c r="G82">
        <v>85</v>
      </c>
      <c r="H82">
        <v>60</v>
      </c>
      <c r="I82">
        <v>8</v>
      </c>
      <c r="J82">
        <v>2</v>
      </c>
      <c r="L82">
        <v>3</v>
      </c>
      <c r="N82">
        <v>25101018</v>
      </c>
      <c r="O82">
        <v>25101562</v>
      </c>
      <c r="P82" t="s">
        <v>421</v>
      </c>
      <c r="S82">
        <f t="shared" ca="1" si="3"/>
        <v>15</v>
      </c>
      <c r="T82">
        <f t="shared" ca="1" si="4"/>
        <v>60</v>
      </c>
      <c r="U82">
        <f t="shared" ca="1" si="5"/>
        <v>85</v>
      </c>
      <c r="X82">
        <v>160</v>
      </c>
    </row>
    <row r="83" spans="2:24" x14ac:dyDescent="0.2">
      <c r="B83">
        <v>2001</v>
      </c>
      <c r="C83">
        <v>20076</v>
      </c>
      <c r="D83">
        <v>79</v>
      </c>
      <c r="E83">
        <v>0</v>
      </c>
      <c r="F83">
        <v>15</v>
      </c>
      <c r="G83">
        <v>30</v>
      </c>
      <c r="H83">
        <v>115</v>
      </c>
      <c r="I83">
        <v>8</v>
      </c>
      <c r="J83">
        <v>2</v>
      </c>
      <c r="L83">
        <v>4</v>
      </c>
      <c r="N83">
        <v>25101019</v>
      </c>
      <c r="O83">
        <v>25101566</v>
      </c>
      <c r="P83" t="s">
        <v>419</v>
      </c>
      <c r="S83">
        <f t="shared" ca="1" si="3"/>
        <v>45</v>
      </c>
      <c r="T83">
        <f t="shared" ca="1" si="4"/>
        <v>60</v>
      </c>
      <c r="U83">
        <f t="shared" ca="1" si="5"/>
        <v>55</v>
      </c>
      <c r="X83">
        <v>160</v>
      </c>
    </row>
    <row r="84" spans="2:24" x14ac:dyDescent="0.2">
      <c r="B84">
        <v>2001</v>
      </c>
      <c r="C84">
        <v>20077</v>
      </c>
      <c r="D84">
        <v>80</v>
      </c>
      <c r="E84">
        <v>0</v>
      </c>
      <c r="F84">
        <v>40</v>
      </c>
      <c r="G84">
        <v>65</v>
      </c>
      <c r="H84">
        <v>55</v>
      </c>
      <c r="I84">
        <v>8</v>
      </c>
      <c r="J84">
        <v>2</v>
      </c>
      <c r="L84">
        <v>3</v>
      </c>
      <c r="N84">
        <v>25101020</v>
      </c>
      <c r="O84">
        <v>25101570</v>
      </c>
      <c r="P84" t="s">
        <v>421</v>
      </c>
      <c r="S84">
        <f t="shared" ca="1" si="3"/>
        <v>35</v>
      </c>
      <c r="T84">
        <f t="shared" ca="1" si="4"/>
        <v>20</v>
      </c>
      <c r="U84">
        <f t="shared" ca="1" si="5"/>
        <v>105</v>
      </c>
      <c r="X84">
        <v>160</v>
      </c>
    </row>
    <row r="85" spans="2:24" x14ac:dyDescent="0.2">
      <c r="B85">
        <v>2001</v>
      </c>
      <c r="C85">
        <v>20078</v>
      </c>
      <c r="D85">
        <v>81</v>
      </c>
      <c r="E85">
        <v>0</v>
      </c>
      <c r="F85">
        <v>100</v>
      </c>
      <c r="G85">
        <v>35</v>
      </c>
      <c r="H85">
        <v>25</v>
      </c>
      <c r="I85">
        <v>8</v>
      </c>
      <c r="J85">
        <v>2</v>
      </c>
      <c r="L85">
        <v>4</v>
      </c>
      <c r="N85">
        <v>25101021</v>
      </c>
      <c r="O85">
        <v>25101575</v>
      </c>
      <c r="P85" t="s">
        <v>419</v>
      </c>
      <c r="S85">
        <f t="shared" ca="1" si="3"/>
        <v>60</v>
      </c>
      <c r="T85">
        <f t="shared" ca="1" si="4"/>
        <v>20</v>
      </c>
      <c r="U85">
        <f t="shared" ca="1" si="5"/>
        <v>80</v>
      </c>
      <c r="X85">
        <v>160</v>
      </c>
    </row>
    <row r="86" spans="2:24" x14ac:dyDescent="0.2">
      <c r="B86">
        <v>2001</v>
      </c>
      <c r="C86">
        <v>20079</v>
      </c>
      <c r="D86">
        <v>82</v>
      </c>
      <c r="E86">
        <v>0</v>
      </c>
      <c r="F86">
        <v>30</v>
      </c>
      <c r="G86">
        <v>75</v>
      </c>
      <c r="H86">
        <v>65</v>
      </c>
      <c r="I86">
        <v>9</v>
      </c>
      <c r="J86">
        <v>2</v>
      </c>
      <c r="L86">
        <v>3</v>
      </c>
      <c r="N86">
        <v>25101022</v>
      </c>
      <c r="O86">
        <v>25101576</v>
      </c>
      <c r="P86" t="s">
        <v>421</v>
      </c>
      <c r="S86">
        <f t="shared" ca="1" si="3"/>
        <v>35</v>
      </c>
      <c r="T86">
        <f t="shared" ca="1" si="4"/>
        <v>70</v>
      </c>
      <c r="U86">
        <f t="shared" ca="1" si="5"/>
        <v>65</v>
      </c>
      <c r="X86">
        <v>170</v>
      </c>
    </row>
    <row r="87" spans="2:24" x14ac:dyDescent="0.2">
      <c r="B87">
        <v>2001</v>
      </c>
      <c r="C87">
        <v>20080</v>
      </c>
      <c r="D87">
        <v>83</v>
      </c>
      <c r="E87">
        <v>0</v>
      </c>
      <c r="F87">
        <v>75</v>
      </c>
      <c r="G87">
        <v>60</v>
      </c>
      <c r="H87">
        <v>35</v>
      </c>
      <c r="I87">
        <v>9</v>
      </c>
      <c r="J87">
        <v>2</v>
      </c>
      <c r="L87">
        <v>3</v>
      </c>
      <c r="N87">
        <v>25101023</v>
      </c>
      <c r="O87">
        <v>25101577</v>
      </c>
      <c r="P87" t="s">
        <v>421</v>
      </c>
      <c r="S87">
        <f t="shared" ca="1" si="3"/>
        <v>65</v>
      </c>
      <c r="T87">
        <f t="shared" ca="1" si="4"/>
        <v>45</v>
      </c>
      <c r="U87">
        <f t="shared" ca="1" si="5"/>
        <v>60</v>
      </c>
      <c r="X87">
        <v>170</v>
      </c>
    </row>
    <row r="88" spans="2:24" x14ac:dyDescent="0.2">
      <c r="B88">
        <v>2001</v>
      </c>
      <c r="C88">
        <v>20081</v>
      </c>
      <c r="D88">
        <v>84</v>
      </c>
      <c r="E88">
        <v>0</v>
      </c>
      <c r="F88">
        <v>80</v>
      </c>
      <c r="G88">
        <v>80</v>
      </c>
      <c r="H88">
        <v>10</v>
      </c>
      <c r="I88">
        <v>9</v>
      </c>
      <c r="J88">
        <v>2</v>
      </c>
      <c r="L88">
        <v>6</v>
      </c>
      <c r="N88">
        <v>25101024</v>
      </c>
      <c r="O88">
        <v>25101580</v>
      </c>
      <c r="P88" t="s">
        <v>424</v>
      </c>
      <c r="S88">
        <f t="shared" ca="1" si="3"/>
        <v>35</v>
      </c>
      <c r="T88">
        <f t="shared" ca="1" si="4"/>
        <v>10</v>
      </c>
      <c r="U88">
        <f t="shared" ca="1" si="5"/>
        <v>125</v>
      </c>
      <c r="X88">
        <v>170</v>
      </c>
    </row>
    <row r="89" spans="2:24" x14ac:dyDescent="0.2">
      <c r="B89">
        <v>2001</v>
      </c>
      <c r="C89">
        <v>20082</v>
      </c>
      <c r="D89">
        <v>85</v>
      </c>
      <c r="E89">
        <v>0</v>
      </c>
      <c r="F89">
        <v>10</v>
      </c>
      <c r="G89">
        <v>80</v>
      </c>
      <c r="H89">
        <v>80</v>
      </c>
      <c r="I89">
        <v>9</v>
      </c>
      <c r="J89">
        <v>2</v>
      </c>
      <c r="L89">
        <v>2</v>
      </c>
      <c r="N89">
        <v>25101025</v>
      </c>
      <c r="O89">
        <v>25101585</v>
      </c>
      <c r="P89" t="s">
        <v>420</v>
      </c>
      <c r="S89">
        <f t="shared" ca="1" si="3"/>
        <v>30</v>
      </c>
      <c r="T89">
        <f t="shared" ca="1" si="4"/>
        <v>80</v>
      </c>
      <c r="U89">
        <f t="shared" ca="1" si="5"/>
        <v>60</v>
      </c>
      <c r="X89">
        <v>170</v>
      </c>
    </row>
    <row r="90" spans="2:24" x14ac:dyDescent="0.2">
      <c r="B90">
        <v>2001</v>
      </c>
      <c r="C90">
        <v>20083</v>
      </c>
      <c r="D90">
        <v>86</v>
      </c>
      <c r="E90">
        <v>0</v>
      </c>
      <c r="F90">
        <v>90</v>
      </c>
      <c r="G90">
        <v>10</v>
      </c>
      <c r="H90">
        <v>80</v>
      </c>
      <c r="I90">
        <v>9</v>
      </c>
      <c r="J90">
        <v>2</v>
      </c>
      <c r="L90">
        <v>4</v>
      </c>
      <c r="N90">
        <v>25101026</v>
      </c>
      <c r="O90">
        <v>25101587</v>
      </c>
      <c r="P90" t="s">
        <v>419</v>
      </c>
      <c r="S90">
        <f t="shared" ca="1" si="3"/>
        <v>70</v>
      </c>
      <c r="T90">
        <f t="shared" ca="1" si="4"/>
        <v>45</v>
      </c>
      <c r="U90">
        <f t="shared" ca="1" si="5"/>
        <v>65</v>
      </c>
      <c r="X90">
        <v>180</v>
      </c>
    </row>
    <row r="91" spans="2:24" x14ac:dyDescent="0.2">
      <c r="B91">
        <v>2001</v>
      </c>
      <c r="C91">
        <v>20084</v>
      </c>
      <c r="D91">
        <v>87</v>
      </c>
      <c r="E91">
        <v>0</v>
      </c>
      <c r="F91">
        <v>105</v>
      </c>
      <c r="G91">
        <v>45</v>
      </c>
      <c r="H91">
        <v>30</v>
      </c>
      <c r="I91">
        <v>9</v>
      </c>
      <c r="J91">
        <v>2</v>
      </c>
      <c r="L91">
        <v>3</v>
      </c>
      <c r="N91">
        <v>25101027</v>
      </c>
      <c r="O91">
        <v>25101588</v>
      </c>
      <c r="P91" t="s">
        <v>421</v>
      </c>
      <c r="S91">
        <f t="shared" ca="1" si="3"/>
        <v>60</v>
      </c>
      <c r="T91">
        <f t="shared" ca="1" si="4"/>
        <v>60</v>
      </c>
      <c r="U91">
        <f t="shared" ca="1" si="5"/>
        <v>60</v>
      </c>
      <c r="X91">
        <v>180</v>
      </c>
    </row>
    <row r="92" spans="2:24" x14ac:dyDescent="0.2">
      <c r="B92">
        <v>2001</v>
      </c>
      <c r="C92">
        <v>20085</v>
      </c>
      <c r="D92">
        <v>88</v>
      </c>
      <c r="E92">
        <v>0</v>
      </c>
      <c r="F92">
        <v>55</v>
      </c>
      <c r="G92">
        <v>20</v>
      </c>
      <c r="H92">
        <v>105</v>
      </c>
      <c r="I92">
        <v>10</v>
      </c>
      <c r="J92">
        <v>2</v>
      </c>
      <c r="L92">
        <v>4</v>
      </c>
      <c r="N92">
        <v>25101028</v>
      </c>
      <c r="O92">
        <v>25101591</v>
      </c>
      <c r="P92" t="s">
        <v>419</v>
      </c>
      <c r="S92">
        <f t="shared" ca="1" si="3"/>
        <v>25</v>
      </c>
      <c r="T92">
        <f t="shared" ca="1" si="4"/>
        <v>60</v>
      </c>
      <c r="U92">
        <f t="shared" ca="1" si="5"/>
        <v>95</v>
      </c>
      <c r="X92">
        <v>180</v>
      </c>
    </row>
    <row r="93" spans="2:24" x14ac:dyDescent="0.2">
      <c r="B93">
        <v>2001</v>
      </c>
      <c r="C93">
        <v>20086</v>
      </c>
      <c r="D93">
        <v>89</v>
      </c>
      <c r="E93">
        <v>0</v>
      </c>
      <c r="F93">
        <v>35</v>
      </c>
      <c r="G93">
        <v>95</v>
      </c>
      <c r="H93">
        <v>50</v>
      </c>
      <c r="I93">
        <v>10</v>
      </c>
      <c r="J93">
        <v>2</v>
      </c>
      <c r="L93">
        <v>3</v>
      </c>
      <c r="N93">
        <v>25101029</v>
      </c>
      <c r="O93">
        <v>25101594</v>
      </c>
      <c r="P93" t="s">
        <v>421</v>
      </c>
      <c r="S93">
        <f t="shared" ca="1" si="3"/>
        <v>50</v>
      </c>
      <c r="T93">
        <f t="shared" ca="1" si="4"/>
        <v>70</v>
      </c>
      <c r="U93">
        <f t="shared" ca="1" si="5"/>
        <v>60</v>
      </c>
      <c r="X93">
        <v>180</v>
      </c>
    </row>
    <row r="94" spans="2:24" x14ac:dyDescent="0.2">
      <c r="B94">
        <v>2001</v>
      </c>
      <c r="C94">
        <v>20087</v>
      </c>
      <c r="D94">
        <v>90</v>
      </c>
      <c r="E94">
        <v>0</v>
      </c>
      <c r="F94">
        <v>80</v>
      </c>
      <c r="G94">
        <v>80</v>
      </c>
      <c r="H94">
        <v>30</v>
      </c>
      <c r="I94">
        <v>10</v>
      </c>
      <c r="J94">
        <v>2</v>
      </c>
      <c r="L94">
        <v>1</v>
      </c>
      <c r="N94">
        <v>25101030</v>
      </c>
      <c r="O94">
        <v>25101597</v>
      </c>
      <c r="P94" t="s">
        <v>422</v>
      </c>
      <c r="S94">
        <f t="shared" ca="1" si="3"/>
        <v>20</v>
      </c>
      <c r="T94">
        <f t="shared" ca="1" si="4"/>
        <v>25</v>
      </c>
      <c r="U94">
        <f t="shared" ca="1" si="5"/>
        <v>145</v>
      </c>
      <c r="X94">
        <v>190</v>
      </c>
    </row>
    <row r="95" spans="2:24" x14ac:dyDescent="0.2">
      <c r="B95">
        <v>2001</v>
      </c>
      <c r="C95">
        <v>20088</v>
      </c>
      <c r="D95">
        <v>91</v>
      </c>
      <c r="E95">
        <v>0</v>
      </c>
      <c r="F95">
        <v>35</v>
      </c>
      <c r="G95">
        <v>25</v>
      </c>
      <c r="H95">
        <v>130</v>
      </c>
      <c r="I95">
        <v>10</v>
      </c>
      <c r="J95">
        <v>2</v>
      </c>
      <c r="L95">
        <v>3</v>
      </c>
      <c r="N95">
        <v>25101031</v>
      </c>
      <c r="O95">
        <v>25101600</v>
      </c>
      <c r="P95" t="s">
        <v>421</v>
      </c>
      <c r="S95">
        <f t="shared" ca="1" si="3"/>
        <v>50</v>
      </c>
      <c r="T95">
        <f t="shared" ca="1" si="4"/>
        <v>40</v>
      </c>
      <c r="U95">
        <f t="shared" ca="1" si="5"/>
        <v>100</v>
      </c>
      <c r="X95">
        <v>190</v>
      </c>
    </row>
    <row r="96" spans="2:24" x14ac:dyDescent="0.2">
      <c r="B96">
        <v>2001</v>
      </c>
      <c r="C96">
        <v>20089</v>
      </c>
      <c r="D96">
        <v>92</v>
      </c>
      <c r="E96">
        <v>0</v>
      </c>
      <c r="F96">
        <v>90</v>
      </c>
      <c r="G96">
        <v>20</v>
      </c>
      <c r="H96">
        <v>80</v>
      </c>
      <c r="I96">
        <v>10</v>
      </c>
      <c r="J96">
        <v>2</v>
      </c>
      <c r="L96">
        <v>5</v>
      </c>
      <c r="N96">
        <v>25101032</v>
      </c>
      <c r="O96">
        <v>25101603</v>
      </c>
      <c r="P96" t="s">
        <v>423</v>
      </c>
      <c r="S96">
        <f t="shared" ca="1" si="3"/>
        <v>40</v>
      </c>
      <c r="T96">
        <f t="shared" ca="1" si="4"/>
        <v>70</v>
      </c>
      <c r="U96">
        <f t="shared" ca="1" si="5"/>
        <v>80</v>
      </c>
      <c r="X96">
        <v>190</v>
      </c>
    </row>
    <row r="97" spans="2:25" x14ac:dyDescent="0.2">
      <c r="B97">
        <v>2001</v>
      </c>
      <c r="C97">
        <v>20090</v>
      </c>
      <c r="D97">
        <v>93</v>
      </c>
      <c r="E97">
        <v>0</v>
      </c>
      <c r="F97">
        <v>80</v>
      </c>
      <c r="G97">
        <v>95</v>
      </c>
      <c r="H97">
        <v>15</v>
      </c>
      <c r="I97">
        <v>10</v>
      </c>
      <c r="J97">
        <v>2</v>
      </c>
      <c r="L97">
        <v>2</v>
      </c>
      <c r="N97">
        <v>25101033</v>
      </c>
      <c r="O97">
        <v>25101607</v>
      </c>
      <c r="P97" t="s">
        <v>420</v>
      </c>
      <c r="S97">
        <f t="shared" ca="1" si="3"/>
        <v>35</v>
      </c>
      <c r="T97">
        <f t="shared" ca="1" si="4"/>
        <v>65</v>
      </c>
      <c r="U97">
        <f t="shared" ca="1" si="5"/>
        <v>90</v>
      </c>
      <c r="X97">
        <v>190</v>
      </c>
    </row>
    <row r="98" spans="2:25" x14ac:dyDescent="0.2">
      <c r="B98">
        <v>2001</v>
      </c>
      <c r="C98">
        <v>20091</v>
      </c>
      <c r="D98">
        <v>94</v>
      </c>
      <c r="E98">
        <v>0</v>
      </c>
      <c r="F98">
        <v>100</v>
      </c>
      <c r="G98">
        <v>70</v>
      </c>
      <c r="H98">
        <v>30</v>
      </c>
      <c r="I98">
        <v>11</v>
      </c>
      <c r="J98">
        <v>2</v>
      </c>
      <c r="L98">
        <v>4</v>
      </c>
      <c r="N98">
        <v>25101001</v>
      </c>
      <c r="O98">
        <v>25101504</v>
      </c>
      <c r="P98" t="s">
        <v>419</v>
      </c>
      <c r="S98">
        <f t="shared" ca="1" si="3"/>
        <v>55</v>
      </c>
      <c r="T98">
        <f t="shared" ca="1" si="4"/>
        <v>25</v>
      </c>
      <c r="U98">
        <f t="shared" ca="1" si="5"/>
        <v>120</v>
      </c>
      <c r="X98" s="39">
        <v>200</v>
      </c>
      <c r="Y98" s="39"/>
    </row>
    <row r="99" spans="2:25" x14ac:dyDescent="0.2">
      <c r="B99">
        <v>2001</v>
      </c>
      <c r="C99">
        <v>20092</v>
      </c>
      <c r="D99">
        <v>95</v>
      </c>
      <c r="E99">
        <v>0</v>
      </c>
      <c r="F99">
        <v>65</v>
      </c>
      <c r="G99">
        <v>120</v>
      </c>
      <c r="H99">
        <v>15</v>
      </c>
      <c r="I99">
        <v>11</v>
      </c>
      <c r="J99">
        <v>2</v>
      </c>
      <c r="L99">
        <v>1</v>
      </c>
      <c r="N99">
        <v>25101005</v>
      </c>
      <c r="O99">
        <v>25101517</v>
      </c>
      <c r="P99" t="s">
        <v>422</v>
      </c>
      <c r="S99">
        <f t="shared" ca="1" si="3"/>
        <v>90</v>
      </c>
      <c r="T99">
        <f t="shared" ca="1" si="4"/>
        <v>55</v>
      </c>
      <c r="U99">
        <f t="shared" ca="1" si="5"/>
        <v>55</v>
      </c>
      <c r="X99">
        <v>200</v>
      </c>
    </row>
    <row r="100" spans="2:25" x14ac:dyDescent="0.2">
      <c r="B100">
        <v>2001</v>
      </c>
      <c r="C100">
        <v>20093</v>
      </c>
      <c r="D100">
        <v>96</v>
      </c>
      <c r="E100">
        <v>0</v>
      </c>
      <c r="F100">
        <v>90</v>
      </c>
      <c r="G100">
        <v>25</v>
      </c>
      <c r="H100">
        <v>85</v>
      </c>
      <c r="I100">
        <v>11</v>
      </c>
      <c r="J100">
        <v>2</v>
      </c>
      <c r="L100">
        <v>4</v>
      </c>
      <c r="N100">
        <v>25101010</v>
      </c>
      <c r="O100">
        <v>25101532</v>
      </c>
      <c r="P100" t="s">
        <v>419</v>
      </c>
      <c r="S100">
        <f t="shared" ca="1" si="3"/>
        <v>95</v>
      </c>
      <c r="T100">
        <f t="shared" ca="1" si="4"/>
        <v>10</v>
      </c>
      <c r="U100">
        <f t="shared" ca="1" si="5"/>
        <v>95</v>
      </c>
      <c r="X100">
        <v>200</v>
      </c>
    </row>
    <row r="101" spans="2:25" x14ac:dyDescent="0.2">
      <c r="B101">
        <v>2001</v>
      </c>
      <c r="C101">
        <v>20094</v>
      </c>
      <c r="D101">
        <v>97</v>
      </c>
      <c r="E101">
        <v>0</v>
      </c>
      <c r="F101">
        <v>45</v>
      </c>
      <c r="G101">
        <v>100</v>
      </c>
      <c r="H101">
        <v>55</v>
      </c>
      <c r="I101">
        <v>11</v>
      </c>
      <c r="J101">
        <v>2</v>
      </c>
      <c r="L101">
        <v>4</v>
      </c>
      <c r="N101">
        <v>25101011</v>
      </c>
      <c r="O101">
        <v>25101537</v>
      </c>
      <c r="P101" t="s">
        <v>419</v>
      </c>
      <c r="S101">
        <f t="shared" ca="1" si="3"/>
        <v>55</v>
      </c>
      <c r="T101">
        <f t="shared" ca="1" si="4"/>
        <v>40</v>
      </c>
      <c r="U101">
        <f t="shared" ca="1" si="5"/>
        <v>105</v>
      </c>
      <c r="X101">
        <v>200</v>
      </c>
    </row>
    <row r="102" spans="2:25" x14ac:dyDescent="0.2">
      <c r="B102">
        <v>2001</v>
      </c>
      <c r="C102">
        <v>20095</v>
      </c>
      <c r="D102">
        <v>98</v>
      </c>
      <c r="E102">
        <v>0</v>
      </c>
      <c r="F102">
        <v>30</v>
      </c>
      <c r="G102">
        <v>45</v>
      </c>
      <c r="H102">
        <v>135</v>
      </c>
      <c r="I102">
        <v>11</v>
      </c>
      <c r="J102">
        <v>2</v>
      </c>
      <c r="L102">
        <v>3</v>
      </c>
      <c r="N102">
        <v>25101012</v>
      </c>
      <c r="O102">
        <v>25101541</v>
      </c>
      <c r="P102" t="s">
        <v>421</v>
      </c>
      <c r="S102">
        <f t="shared" ca="1" si="3"/>
        <v>40</v>
      </c>
      <c r="T102">
        <f t="shared" ca="1" si="4"/>
        <v>80</v>
      </c>
      <c r="U102">
        <f t="shared" ca="1" si="5"/>
        <v>90</v>
      </c>
      <c r="X102">
        <v>210</v>
      </c>
    </row>
    <row r="103" spans="2:25" x14ac:dyDescent="0.2">
      <c r="B103">
        <v>2001</v>
      </c>
      <c r="C103">
        <v>20096</v>
      </c>
      <c r="D103">
        <v>99</v>
      </c>
      <c r="E103">
        <v>0</v>
      </c>
      <c r="F103">
        <v>50</v>
      </c>
      <c r="G103">
        <v>35</v>
      </c>
      <c r="H103">
        <v>125</v>
      </c>
      <c r="I103">
        <v>11</v>
      </c>
      <c r="J103">
        <v>2</v>
      </c>
      <c r="L103">
        <v>5</v>
      </c>
      <c r="N103">
        <v>25101017</v>
      </c>
      <c r="O103">
        <v>25101558</v>
      </c>
      <c r="P103" t="s">
        <v>423</v>
      </c>
      <c r="S103">
        <f t="shared" ca="1" si="3"/>
        <v>90</v>
      </c>
      <c r="T103">
        <f t="shared" ca="1" si="4"/>
        <v>65</v>
      </c>
      <c r="U103">
        <f t="shared" ca="1" si="5"/>
        <v>55</v>
      </c>
      <c r="X103">
        <v>210</v>
      </c>
    </row>
    <row r="104" spans="2:25" x14ac:dyDescent="0.2">
      <c r="B104">
        <v>2001</v>
      </c>
      <c r="C104">
        <v>20097</v>
      </c>
      <c r="D104">
        <v>100</v>
      </c>
      <c r="E104">
        <v>0</v>
      </c>
      <c r="F104">
        <v>80</v>
      </c>
      <c r="G104">
        <v>85</v>
      </c>
      <c r="H104">
        <v>45</v>
      </c>
      <c r="I104">
        <v>12</v>
      </c>
      <c r="J104">
        <v>2</v>
      </c>
      <c r="L104">
        <v>3</v>
      </c>
      <c r="N104">
        <v>25101018</v>
      </c>
      <c r="O104">
        <v>25101563</v>
      </c>
      <c r="P104" t="s">
        <v>421</v>
      </c>
      <c r="S104">
        <f t="shared" ca="1" si="3"/>
        <v>40</v>
      </c>
      <c r="T104">
        <f t="shared" ca="1" si="4"/>
        <v>70</v>
      </c>
      <c r="U104">
        <f t="shared" ca="1" si="5"/>
        <v>100</v>
      </c>
      <c r="X104">
        <v>210</v>
      </c>
    </row>
    <row r="105" spans="2:25" x14ac:dyDescent="0.2">
      <c r="B105">
        <v>2001</v>
      </c>
      <c r="C105">
        <v>20098</v>
      </c>
      <c r="D105">
        <v>101</v>
      </c>
      <c r="E105">
        <v>0</v>
      </c>
      <c r="F105">
        <v>45</v>
      </c>
      <c r="G105">
        <v>50</v>
      </c>
      <c r="H105">
        <v>125</v>
      </c>
      <c r="I105">
        <v>12</v>
      </c>
      <c r="J105">
        <v>2</v>
      </c>
      <c r="L105">
        <v>4</v>
      </c>
      <c r="N105">
        <v>25101019</v>
      </c>
      <c r="O105">
        <v>25101567</v>
      </c>
      <c r="P105" t="s">
        <v>419</v>
      </c>
      <c r="S105">
        <f t="shared" ca="1" si="3"/>
        <v>80</v>
      </c>
      <c r="T105">
        <f t="shared" ca="1" si="4"/>
        <v>65</v>
      </c>
      <c r="U105">
        <f t="shared" ca="1" si="5"/>
        <v>75</v>
      </c>
      <c r="X105">
        <v>220</v>
      </c>
    </row>
    <row r="106" spans="2:25" x14ac:dyDescent="0.2">
      <c r="B106">
        <v>2001</v>
      </c>
      <c r="C106">
        <v>20099</v>
      </c>
      <c r="D106">
        <v>102</v>
      </c>
      <c r="E106">
        <v>0</v>
      </c>
      <c r="F106">
        <v>105</v>
      </c>
      <c r="G106">
        <v>65</v>
      </c>
      <c r="H106">
        <v>50</v>
      </c>
      <c r="I106">
        <v>12</v>
      </c>
      <c r="J106">
        <v>2</v>
      </c>
      <c r="L106">
        <v>3</v>
      </c>
      <c r="N106">
        <v>25101020</v>
      </c>
      <c r="O106">
        <v>25101571</v>
      </c>
      <c r="P106" t="s">
        <v>421</v>
      </c>
      <c r="S106">
        <f t="shared" ca="1" si="3"/>
        <v>20</v>
      </c>
      <c r="T106">
        <f t="shared" ca="1" si="4"/>
        <v>35</v>
      </c>
      <c r="U106">
        <f t="shared" ca="1" si="5"/>
        <v>165</v>
      </c>
      <c r="X106">
        <v>220</v>
      </c>
    </row>
    <row r="107" spans="2:25" x14ac:dyDescent="0.2">
      <c r="B107">
        <v>2001</v>
      </c>
      <c r="C107">
        <v>20100</v>
      </c>
      <c r="D107">
        <v>103</v>
      </c>
      <c r="E107">
        <v>0</v>
      </c>
      <c r="F107">
        <v>110</v>
      </c>
      <c r="G107">
        <v>45</v>
      </c>
      <c r="H107">
        <v>65</v>
      </c>
      <c r="I107">
        <v>12</v>
      </c>
      <c r="J107">
        <v>2</v>
      </c>
      <c r="L107">
        <v>6</v>
      </c>
      <c r="N107">
        <v>25101024</v>
      </c>
      <c r="O107">
        <v>25101581</v>
      </c>
      <c r="P107" t="s">
        <v>424</v>
      </c>
      <c r="S107">
        <f t="shared" ref="S107:S115" ca="1" si="6">ROUND(RAND()*(X107/2-10)/5,0)*5+10</f>
        <v>80</v>
      </c>
      <c r="T107">
        <f t="shared" ref="T107:T115" ca="1" si="7">ROUND(RAND()*(X107/2-10)/5,0)*5+10</f>
        <v>35</v>
      </c>
      <c r="U107">
        <f t="shared" ca="1" si="5"/>
        <v>105</v>
      </c>
      <c r="X107">
        <v>220</v>
      </c>
    </row>
    <row r="108" spans="2:25" x14ac:dyDescent="0.2">
      <c r="B108">
        <v>2001</v>
      </c>
      <c r="C108">
        <v>20101</v>
      </c>
      <c r="D108">
        <v>104</v>
      </c>
      <c r="E108">
        <v>0</v>
      </c>
      <c r="F108">
        <v>100</v>
      </c>
      <c r="G108">
        <v>40</v>
      </c>
      <c r="H108">
        <v>90</v>
      </c>
      <c r="I108">
        <v>12</v>
      </c>
      <c r="J108">
        <v>2</v>
      </c>
      <c r="L108">
        <v>3</v>
      </c>
      <c r="N108">
        <v>25101029</v>
      </c>
      <c r="O108">
        <v>25101595</v>
      </c>
      <c r="P108" t="s">
        <v>421</v>
      </c>
      <c r="S108">
        <f t="shared" ca="1" si="6"/>
        <v>85</v>
      </c>
      <c r="T108">
        <f t="shared" ca="1" si="7"/>
        <v>85</v>
      </c>
      <c r="U108">
        <f t="shared" ca="1" si="5"/>
        <v>60</v>
      </c>
      <c r="X108">
        <v>230</v>
      </c>
    </row>
    <row r="109" spans="2:25" x14ac:dyDescent="0.2">
      <c r="B109">
        <v>2001</v>
      </c>
      <c r="C109">
        <v>20102</v>
      </c>
      <c r="D109">
        <v>105</v>
      </c>
      <c r="E109">
        <v>0</v>
      </c>
      <c r="F109">
        <v>15</v>
      </c>
      <c r="G109">
        <v>105</v>
      </c>
      <c r="H109">
        <v>110</v>
      </c>
      <c r="I109">
        <v>12</v>
      </c>
      <c r="J109">
        <v>2</v>
      </c>
      <c r="L109">
        <v>5</v>
      </c>
      <c r="N109">
        <v>25101032</v>
      </c>
      <c r="O109">
        <v>25101604</v>
      </c>
      <c r="P109" t="s">
        <v>423</v>
      </c>
      <c r="S109">
        <f t="shared" ca="1" si="6"/>
        <v>70</v>
      </c>
      <c r="T109">
        <f t="shared" ca="1" si="7"/>
        <v>35</v>
      </c>
      <c r="U109">
        <f t="shared" ca="1" si="5"/>
        <v>125</v>
      </c>
      <c r="X109">
        <v>230</v>
      </c>
    </row>
    <row r="110" spans="2:25" x14ac:dyDescent="0.2">
      <c r="B110">
        <v>2001</v>
      </c>
      <c r="C110">
        <v>20103</v>
      </c>
      <c r="D110">
        <v>106</v>
      </c>
      <c r="E110">
        <v>0</v>
      </c>
      <c r="F110">
        <v>25</v>
      </c>
      <c r="G110">
        <v>45</v>
      </c>
      <c r="H110">
        <v>160</v>
      </c>
      <c r="I110">
        <v>13</v>
      </c>
      <c r="J110">
        <v>2</v>
      </c>
      <c r="L110">
        <v>2</v>
      </c>
      <c r="N110">
        <v>25101033</v>
      </c>
      <c r="O110">
        <v>25101608</v>
      </c>
      <c r="P110" t="s">
        <v>420</v>
      </c>
      <c r="S110">
        <f t="shared" ca="1" si="6"/>
        <v>60</v>
      </c>
      <c r="T110">
        <f t="shared" ca="1" si="7"/>
        <v>70</v>
      </c>
      <c r="U110">
        <f t="shared" ca="1" si="5"/>
        <v>100</v>
      </c>
      <c r="X110">
        <v>230</v>
      </c>
    </row>
    <row r="111" spans="2:25" x14ac:dyDescent="0.2">
      <c r="B111">
        <v>2001</v>
      </c>
      <c r="C111">
        <v>20104</v>
      </c>
      <c r="D111">
        <v>107</v>
      </c>
      <c r="E111">
        <v>0</v>
      </c>
      <c r="F111">
        <v>160</v>
      </c>
      <c r="G111">
        <v>30</v>
      </c>
      <c r="H111">
        <v>50</v>
      </c>
      <c r="I111">
        <v>13</v>
      </c>
      <c r="J111">
        <v>2</v>
      </c>
      <c r="L111">
        <v>4</v>
      </c>
      <c r="N111">
        <v>25101010</v>
      </c>
      <c r="O111">
        <v>25101533</v>
      </c>
      <c r="P111" t="s">
        <v>419</v>
      </c>
      <c r="S111">
        <f t="shared" ca="1" si="6"/>
        <v>40</v>
      </c>
      <c r="T111">
        <f t="shared" ca="1" si="7"/>
        <v>110</v>
      </c>
      <c r="U111">
        <f t="shared" ca="1" si="5"/>
        <v>90</v>
      </c>
      <c r="X111">
        <v>240</v>
      </c>
    </row>
    <row r="112" spans="2:25" x14ac:dyDescent="0.2">
      <c r="B112">
        <v>2001</v>
      </c>
      <c r="C112">
        <v>20105</v>
      </c>
      <c r="D112">
        <v>108</v>
      </c>
      <c r="E112">
        <v>0</v>
      </c>
      <c r="F112">
        <v>35</v>
      </c>
      <c r="G112">
        <v>155</v>
      </c>
      <c r="H112">
        <v>50</v>
      </c>
      <c r="I112">
        <v>13</v>
      </c>
      <c r="J112">
        <v>2</v>
      </c>
      <c r="L112">
        <v>3</v>
      </c>
      <c r="N112">
        <v>25101012</v>
      </c>
      <c r="O112">
        <v>25101542</v>
      </c>
      <c r="P112" t="s">
        <v>421</v>
      </c>
      <c r="S112">
        <f t="shared" ca="1" si="6"/>
        <v>75</v>
      </c>
      <c r="T112">
        <f t="shared" ca="1" si="7"/>
        <v>115</v>
      </c>
      <c r="U112">
        <f t="shared" ca="1" si="5"/>
        <v>50</v>
      </c>
      <c r="X112">
        <v>240</v>
      </c>
    </row>
    <row r="113" spans="2:24" x14ac:dyDescent="0.2">
      <c r="B113">
        <v>2001</v>
      </c>
      <c r="C113">
        <v>20106</v>
      </c>
      <c r="D113">
        <v>109</v>
      </c>
      <c r="E113">
        <v>0</v>
      </c>
      <c r="F113">
        <v>45</v>
      </c>
      <c r="G113">
        <v>35</v>
      </c>
      <c r="H113">
        <v>160</v>
      </c>
      <c r="I113">
        <v>13</v>
      </c>
      <c r="J113">
        <v>2</v>
      </c>
      <c r="L113">
        <v>5</v>
      </c>
      <c r="N113">
        <v>25101017</v>
      </c>
      <c r="O113">
        <v>25101559</v>
      </c>
      <c r="P113" t="s">
        <v>423</v>
      </c>
      <c r="S113">
        <f t="shared" ca="1" si="6"/>
        <v>10</v>
      </c>
      <c r="T113">
        <f t="shared" ca="1" si="7"/>
        <v>110</v>
      </c>
      <c r="U113">
        <f t="shared" ca="1" si="5"/>
        <v>120</v>
      </c>
      <c r="X113">
        <v>240</v>
      </c>
    </row>
    <row r="114" spans="2:24" x14ac:dyDescent="0.2">
      <c r="B114">
        <v>2001</v>
      </c>
      <c r="C114">
        <v>20107</v>
      </c>
      <c r="D114">
        <v>110</v>
      </c>
      <c r="E114">
        <v>0</v>
      </c>
      <c r="F114">
        <v>80</v>
      </c>
      <c r="G114">
        <v>80</v>
      </c>
      <c r="H114">
        <v>80</v>
      </c>
      <c r="I114">
        <v>13</v>
      </c>
      <c r="J114">
        <v>2</v>
      </c>
      <c r="L114">
        <v>3</v>
      </c>
      <c r="N114">
        <v>25101020</v>
      </c>
      <c r="O114">
        <v>25101572</v>
      </c>
      <c r="P114" t="s">
        <v>421</v>
      </c>
      <c r="S114">
        <f t="shared" ca="1" si="6"/>
        <v>80</v>
      </c>
      <c r="T114">
        <f t="shared" ca="1" si="7"/>
        <v>90</v>
      </c>
      <c r="U114">
        <f t="shared" ca="1" si="5"/>
        <v>70</v>
      </c>
      <c r="X114">
        <v>240</v>
      </c>
    </row>
    <row r="115" spans="2:24" x14ac:dyDescent="0.2">
      <c r="B115">
        <v>2001</v>
      </c>
      <c r="C115">
        <v>20108</v>
      </c>
      <c r="D115">
        <v>111</v>
      </c>
      <c r="E115">
        <v>0</v>
      </c>
      <c r="F115">
        <v>85</v>
      </c>
      <c r="G115">
        <v>125</v>
      </c>
      <c r="H115">
        <v>30</v>
      </c>
      <c r="I115">
        <v>13</v>
      </c>
      <c r="J115">
        <v>2</v>
      </c>
      <c r="L115">
        <v>6</v>
      </c>
      <c r="N115">
        <v>25101024</v>
      </c>
      <c r="O115">
        <v>25101582</v>
      </c>
      <c r="P115" t="s">
        <v>424</v>
      </c>
      <c r="S115">
        <f t="shared" ca="1" si="6"/>
        <v>30</v>
      </c>
      <c r="T115">
        <f t="shared" ca="1" si="7"/>
        <v>55</v>
      </c>
      <c r="U115">
        <f t="shared" ca="1" si="5"/>
        <v>155</v>
      </c>
      <c r="X115">
        <v>240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3F59B-4E7A-4708-812F-22D889D03273}">
  <dimension ref="A1:T112"/>
  <sheetViews>
    <sheetView topLeftCell="A10" workbookViewId="0">
      <selection activeCell="L31" sqref="L31"/>
    </sheetView>
  </sheetViews>
  <sheetFormatPr defaultRowHeight="14.25" x14ac:dyDescent="0.2"/>
  <cols>
    <col min="4" max="4" width="10.75" bestFit="1" customWidth="1"/>
    <col min="5" max="5" width="11" bestFit="1" customWidth="1"/>
    <col min="6" max="6" width="65.75" bestFit="1" customWidth="1"/>
    <col min="12" max="12" width="9.5" bestFit="1" customWidth="1"/>
  </cols>
  <sheetData>
    <row r="1" spans="2:20" x14ac:dyDescent="0.2">
      <c r="B1" s="40" t="s">
        <v>411</v>
      </c>
      <c r="C1" s="40" t="s">
        <v>412</v>
      </c>
      <c r="D1" s="40" t="s">
        <v>417</v>
      </c>
      <c r="E1" s="40" t="s">
        <v>418</v>
      </c>
      <c r="F1" s="40" t="s">
        <v>413</v>
      </c>
      <c r="G1" s="40" t="s">
        <v>429</v>
      </c>
      <c r="H1" s="40" t="s">
        <v>426</v>
      </c>
      <c r="I1" s="40" t="s">
        <v>427</v>
      </c>
      <c r="J1" s="40" t="s">
        <v>167</v>
      </c>
      <c r="K1" s="40" t="s">
        <v>428</v>
      </c>
      <c r="L1" s="40" t="s">
        <v>425</v>
      </c>
      <c r="M1" s="40" t="s">
        <v>414</v>
      </c>
      <c r="N1" s="40" t="s">
        <v>430</v>
      </c>
      <c r="P1" t="s">
        <v>410</v>
      </c>
      <c r="Q1" t="s">
        <v>416</v>
      </c>
      <c r="R1" t="s">
        <v>415</v>
      </c>
    </row>
    <row r="2" spans="2:20" ht="15" x14ac:dyDescent="0.2">
      <c r="B2" s="28">
        <v>1</v>
      </c>
      <c r="C2" s="38" t="s">
        <v>377</v>
      </c>
      <c r="D2" s="38">
        <f t="shared" ref="D2:D33" si="0">VLOOKUP(C2,P:R,3,0)</f>
        <v>25101001</v>
      </c>
      <c r="E2" s="38">
        <f t="shared" ref="E2:E33" si="1">VLOOKUP(C2,P:R,2,0)</f>
        <v>4</v>
      </c>
      <c r="F2" s="30" t="s">
        <v>269</v>
      </c>
      <c r="G2">
        <v>10</v>
      </c>
      <c r="H2">
        <v>30</v>
      </c>
      <c r="I2">
        <f>J2-G2-H2</f>
        <v>40</v>
      </c>
      <c r="J2">
        <v>80</v>
      </c>
      <c r="K2">
        <v>0</v>
      </c>
      <c r="L2" s="44">
        <v>25101501</v>
      </c>
      <c r="M2">
        <v>1</v>
      </c>
      <c r="P2" s="38" t="s">
        <v>377</v>
      </c>
      <c r="Q2">
        <v>4</v>
      </c>
      <c r="R2">
        <v>25101001</v>
      </c>
      <c r="S2" s="17" t="s">
        <v>196</v>
      </c>
      <c r="T2" s="18"/>
    </row>
    <row r="3" spans="2:20" ht="15" x14ac:dyDescent="0.2">
      <c r="B3" s="28">
        <v>5</v>
      </c>
      <c r="C3" t="s">
        <v>378</v>
      </c>
      <c r="D3" s="38">
        <f t="shared" si="0"/>
        <v>25101002</v>
      </c>
      <c r="E3" s="38">
        <f t="shared" si="1"/>
        <v>2</v>
      </c>
      <c r="F3" s="35" t="s">
        <v>273</v>
      </c>
      <c r="G3">
        <v>50</v>
      </c>
      <c r="H3">
        <v>20</v>
      </c>
      <c r="I3">
        <f t="shared" ref="I3:I69" si="2">J3-G3-H3</f>
        <v>10</v>
      </c>
      <c r="J3">
        <v>80</v>
      </c>
      <c r="K3">
        <v>0</v>
      </c>
      <c r="L3" s="45">
        <v>25101505</v>
      </c>
      <c r="M3">
        <v>1</v>
      </c>
      <c r="P3" t="s">
        <v>378</v>
      </c>
      <c r="Q3">
        <v>2</v>
      </c>
      <c r="R3">
        <v>25101002</v>
      </c>
      <c r="S3" s="17">
        <v>0</v>
      </c>
      <c r="T3" s="17" t="s">
        <v>199</v>
      </c>
    </row>
    <row r="4" spans="2:20" ht="15" x14ac:dyDescent="0.2">
      <c r="B4" s="28">
        <v>8</v>
      </c>
      <c r="C4" t="s">
        <v>379</v>
      </c>
      <c r="D4" s="38">
        <f t="shared" si="0"/>
        <v>25101003</v>
      </c>
      <c r="E4" s="38">
        <f t="shared" si="1"/>
        <v>3</v>
      </c>
      <c r="F4" s="35" t="s">
        <v>276</v>
      </c>
      <c r="G4">
        <v>15</v>
      </c>
      <c r="H4">
        <v>40</v>
      </c>
      <c r="I4">
        <f t="shared" si="2"/>
        <v>25</v>
      </c>
      <c r="J4">
        <v>80</v>
      </c>
      <c r="K4">
        <v>0</v>
      </c>
      <c r="L4" s="45">
        <v>25101508</v>
      </c>
      <c r="M4">
        <v>1</v>
      </c>
      <c r="P4" t="s">
        <v>379</v>
      </c>
      <c r="Q4">
        <v>3</v>
      </c>
      <c r="R4">
        <v>25101003</v>
      </c>
      <c r="S4" s="17">
        <v>1</v>
      </c>
      <c r="T4" s="17" t="s">
        <v>200</v>
      </c>
    </row>
    <row r="5" spans="2:20" ht="15" x14ac:dyDescent="0.2">
      <c r="B5" s="28">
        <v>11</v>
      </c>
      <c r="C5" t="s">
        <v>380</v>
      </c>
      <c r="D5" s="38">
        <f t="shared" si="0"/>
        <v>25101004</v>
      </c>
      <c r="E5" s="38">
        <f t="shared" si="1"/>
        <v>3</v>
      </c>
      <c r="F5" s="35" t="s">
        <v>279</v>
      </c>
      <c r="G5">
        <v>50</v>
      </c>
      <c r="H5">
        <v>15</v>
      </c>
      <c r="I5">
        <f t="shared" si="2"/>
        <v>15</v>
      </c>
      <c r="J5">
        <v>80</v>
      </c>
      <c r="K5">
        <v>0</v>
      </c>
      <c r="L5" s="45">
        <v>25101511</v>
      </c>
      <c r="M5">
        <v>1</v>
      </c>
      <c r="P5" t="s">
        <v>380</v>
      </c>
      <c r="Q5">
        <v>3</v>
      </c>
      <c r="R5">
        <v>25101004</v>
      </c>
      <c r="S5" s="17">
        <v>2</v>
      </c>
      <c r="T5" s="17" t="s">
        <v>201</v>
      </c>
    </row>
    <row r="6" spans="2:20" ht="15" x14ac:dyDescent="0.2">
      <c r="B6" s="28">
        <v>14</v>
      </c>
      <c r="C6" t="s">
        <v>381</v>
      </c>
      <c r="D6" s="38">
        <f t="shared" si="0"/>
        <v>25101005</v>
      </c>
      <c r="E6" s="38">
        <f t="shared" si="1"/>
        <v>1</v>
      </c>
      <c r="F6" s="31" t="s">
        <v>282</v>
      </c>
      <c r="G6">
        <v>10</v>
      </c>
      <c r="H6">
        <v>20</v>
      </c>
      <c r="I6">
        <f t="shared" si="2"/>
        <v>50</v>
      </c>
      <c r="J6">
        <v>80</v>
      </c>
      <c r="K6">
        <v>0</v>
      </c>
      <c r="L6" s="45">
        <v>25101514</v>
      </c>
      <c r="M6">
        <v>1</v>
      </c>
      <c r="P6" t="s">
        <v>381</v>
      </c>
      <c r="Q6">
        <v>1</v>
      </c>
      <c r="R6">
        <v>25101005</v>
      </c>
      <c r="S6" s="17">
        <v>3</v>
      </c>
      <c r="T6" s="17" t="s">
        <v>202</v>
      </c>
    </row>
    <row r="7" spans="2:20" ht="15" x14ac:dyDescent="0.2">
      <c r="B7" s="28">
        <v>18</v>
      </c>
      <c r="C7" t="s">
        <v>382</v>
      </c>
      <c r="D7" s="38">
        <f t="shared" si="0"/>
        <v>25101006</v>
      </c>
      <c r="E7" s="38">
        <f t="shared" si="1"/>
        <v>1</v>
      </c>
      <c r="F7" s="32" t="s">
        <v>286</v>
      </c>
      <c r="G7">
        <v>15</v>
      </c>
      <c r="H7">
        <v>50</v>
      </c>
      <c r="I7">
        <f t="shared" si="2"/>
        <v>20</v>
      </c>
      <c r="J7">
        <v>85</v>
      </c>
      <c r="K7">
        <v>0</v>
      </c>
      <c r="L7" s="45">
        <v>25101518</v>
      </c>
      <c r="M7">
        <v>1</v>
      </c>
      <c r="P7" t="s">
        <v>382</v>
      </c>
      <c r="Q7">
        <v>1</v>
      </c>
      <c r="R7">
        <v>25101006</v>
      </c>
      <c r="S7" s="17">
        <v>4</v>
      </c>
      <c r="T7" s="17" t="s">
        <v>203</v>
      </c>
    </row>
    <row r="8" spans="2:20" ht="15" x14ac:dyDescent="0.2">
      <c r="B8" s="28">
        <v>23</v>
      </c>
      <c r="C8" t="s">
        <v>384</v>
      </c>
      <c r="D8" s="38">
        <f t="shared" si="0"/>
        <v>25101008</v>
      </c>
      <c r="E8" s="38">
        <f t="shared" si="1"/>
        <v>3</v>
      </c>
      <c r="F8" s="32" t="s">
        <v>291</v>
      </c>
      <c r="G8">
        <v>40</v>
      </c>
      <c r="H8">
        <v>40</v>
      </c>
      <c r="I8">
        <f t="shared" si="2"/>
        <v>5</v>
      </c>
      <c r="J8">
        <v>85</v>
      </c>
      <c r="K8">
        <v>0</v>
      </c>
      <c r="L8" s="45">
        <v>25101523</v>
      </c>
      <c r="M8">
        <v>1</v>
      </c>
      <c r="P8" t="s">
        <v>383</v>
      </c>
      <c r="Q8">
        <v>2</v>
      </c>
      <c r="R8">
        <v>25101007</v>
      </c>
      <c r="S8" s="17">
        <v>5</v>
      </c>
      <c r="T8" s="17" t="s">
        <v>204</v>
      </c>
    </row>
    <row r="9" spans="2:20" ht="15" x14ac:dyDescent="0.2">
      <c r="B9" s="28">
        <v>26</v>
      </c>
      <c r="C9" t="s">
        <v>385</v>
      </c>
      <c r="D9" s="38">
        <f t="shared" si="0"/>
        <v>25101009</v>
      </c>
      <c r="E9" s="38">
        <f t="shared" si="1"/>
        <v>5</v>
      </c>
      <c r="F9" s="32" t="s">
        <v>294</v>
      </c>
      <c r="G9">
        <v>15</v>
      </c>
      <c r="H9">
        <v>10</v>
      </c>
      <c r="I9">
        <f t="shared" si="2"/>
        <v>60</v>
      </c>
      <c r="J9">
        <v>85</v>
      </c>
      <c r="K9">
        <v>0</v>
      </c>
      <c r="L9" s="45">
        <v>25101526</v>
      </c>
      <c r="M9">
        <v>1</v>
      </c>
      <c r="P9" t="s">
        <v>384</v>
      </c>
      <c r="Q9">
        <v>3</v>
      </c>
      <c r="R9">
        <v>25101008</v>
      </c>
      <c r="S9" s="17">
        <v>6</v>
      </c>
      <c r="T9" s="17" t="s">
        <v>205</v>
      </c>
    </row>
    <row r="10" spans="2:20" ht="15" x14ac:dyDescent="0.2">
      <c r="B10" s="28">
        <v>29</v>
      </c>
      <c r="C10" t="s">
        <v>386</v>
      </c>
      <c r="D10" s="38">
        <f t="shared" si="0"/>
        <v>25101010</v>
      </c>
      <c r="E10" s="38">
        <f t="shared" si="1"/>
        <v>4</v>
      </c>
      <c r="F10" s="33" t="s">
        <v>297</v>
      </c>
      <c r="G10">
        <v>10</v>
      </c>
      <c r="H10">
        <v>70</v>
      </c>
      <c r="I10">
        <f t="shared" si="2"/>
        <v>5</v>
      </c>
      <c r="J10">
        <v>85</v>
      </c>
      <c r="K10">
        <v>0</v>
      </c>
      <c r="L10" s="45">
        <v>25101529</v>
      </c>
      <c r="M10">
        <v>1</v>
      </c>
      <c r="P10" t="s">
        <v>385</v>
      </c>
      <c r="Q10">
        <v>5</v>
      </c>
      <c r="R10">
        <v>25101009</v>
      </c>
    </row>
    <row r="11" spans="2:20" ht="15" x14ac:dyDescent="0.2">
      <c r="B11" s="28">
        <v>34</v>
      </c>
      <c r="C11" t="s">
        <v>387</v>
      </c>
      <c r="D11" s="38">
        <f t="shared" si="0"/>
        <v>25101011</v>
      </c>
      <c r="E11" s="38">
        <f t="shared" si="1"/>
        <v>4</v>
      </c>
      <c r="F11" s="33" t="s">
        <v>302</v>
      </c>
      <c r="G11">
        <v>30</v>
      </c>
      <c r="H11">
        <v>10</v>
      </c>
      <c r="I11">
        <f t="shared" si="2"/>
        <v>45</v>
      </c>
      <c r="J11">
        <v>85</v>
      </c>
      <c r="K11">
        <v>0</v>
      </c>
      <c r="L11" s="45">
        <v>25101534</v>
      </c>
      <c r="M11">
        <v>1</v>
      </c>
      <c r="P11" t="s">
        <v>386</v>
      </c>
      <c r="Q11">
        <v>4</v>
      </c>
      <c r="R11">
        <v>25101010</v>
      </c>
    </row>
    <row r="12" spans="2:20" ht="15" x14ac:dyDescent="0.2">
      <c r="B12" s="28">
        <v>38</v>
      </c>
      <c r="C12" t="s">
        <v>388</v>
      </c>
      <c r="D12" s="38">
        <f t="shared" si="0"/>
        <v>25101012</v>
      </c>
      <c r="E12" s="38">
        <f t="shared" si="1"/>
        <v>3</v>
      </c>
      <c r="F12" s="33" t="s">
        <v>306</v>
      </c>
      <c r="G12">
        <v>30</v>
      </c>
      <c r="H12">
        <v>35</v>
      </c>
      <c r="I12">
        <f t="shared" si="2"/>
        <v>25</v>
      </c>
      <c r="J12">
        <v>90</v>
      </c>
      <c r="K12">
        <v>0</v>
      </c>
      <c r="L12" s="45">
        <v>25101538</v>
      </c>
      <c r="M12">
        <v>1</v>
      </c>
      <c r="P12" t="s">
        <v>387</v>
      </c>
      <c r="Q12">
        <v>4</v>
      </c>
      <c r="R12">
        <v>25101011</v>
      </c>
    </row>
    <row r="13" spans="2:20" ht="15" x14ac:dyDescent="0.2">
      <c r="B13" s="28">
        <v>43</v>
      </c>
      <c r="C13" t="s">
        <v>389</v>
      </c>
      <c r="D13" s="38">
        <f t="shared" si="0"/>
        <v>25101013</v>
      </c>
      <c r="E13" s="38">
        <f t="shared" si="1"/>
        <v>4</v>
      </c>
      <c r="F13" s="33" t="s">
        <v>311</v>
      </c>
      <c r="G13">
        <v>25</v>
      </c>
      <c r="H13">
        <v>20</v>
      </c>
      <c r="I13">
        <f t="shared" si="2"/>
        <v>45</v>
      </c>
      <c r="J13">
        <v>90</v>
      </c>
      <c r="K13">
        <v>0</v>
      </c>
      <c r="L13" s="45">
        <v>25101543</v>
      </c>
      <c r="M13">
        <v>1</v>
      </c>
      <c r="P13" t="s">
        <v>388</v>
      </c>
      <c r="Q13">
        <v>3</v>
      </c>
      <c r="R13">
        <v>25101012</v>
      </c>
    </row>
    <row r="14" spans="2:20" ht="15" x14ac:dyDescent="0.2">
      <c r="B14" s="28">
        <v>46</v>
      </c>
      <c r="C14" t="s">
        <v>390</v>
      </c>
      <c r="D14" s="38">
        <f t="shared" si="0"/>
        <v>25101014</v>
      </c>
      <c r="E14" s="38">
        <f t="shared" si="1"/>
        <v>4</v>
      </c>
      <c r="F14" s="33" t="s">
        <v>314</v>
      </c>
      <c r="G14">
        <v>20</v>
      </c>
      <c r="H14">
        <v>20</v>
      </c>
      <c r="I14">
        <f t="shared" si="2"/>
        <v>50</v>
      </c>
      <c r="J14">
        <v>90</v>
      </c>
      <c r="K14">
        <v>0</v>
      </c>
      <c r="L14" s="45">
        <v>25101546</v>
      </c>
      <c r="M14">
        <v>1</v>
      </c>
      <c r="P14" t="s">
        <v>389</v>
      </c>
      <c r="Q14">
        <v>4</v>
      </c>
      <c r="R14">
        <v>25101013</v>
      </c>
    </row>
    <row r="15" spans="2:20" ht="15" x14ac:dyDescent="0.2">
      <c r="B15" s="28">
        <v>49</v>
      </c>
      <c r="C15" t="s">
        <v>391</v>
      </c>
      <c r="D15" s="38">
        <f t="shared" si="0"/>
        <v>25101015</v>
      </c>
      <c r="E15" s="38">
        <f t="shared" si="1"/>
        <v>5</v>
      </c>
      <c r="F15" s="33" t="s">
        <v>317</v>
      </c>
      <c r="G15">
        <v>55</v>
      </c>
      <c r="H15">
        <v>10</v>
      </c>
      <c r="I15">
        <f t="shared" si="2"/>
        <v>25</v>
      </c>
      <c r="J15">
        <v>90</v>
      </c>
      <c r="K15">
        <v>0</v>
      </c>
      <c r="L15" s="45">
        <v>25101549</v>
      </c>
      <c r="M15">
        <v>1</v>
      </c>
      <c r="P15" t="s">
        <v>390</v>
      </c>
      <c r="Q15">
        <v>4</v>
      </c>
      <c r="R15">
        <v>25101014</v>
      </c>
    </row>
    <row r="16" spans="2:20" ht="15" x14ac:dyDescent="0.2">
      <c r="B16" s="28">
        <v>52</v>
      </c>
      <c r="C16" t="s">
        <v>392</v>
      </c>
      <c r="D16" s="38">
        <f t="shared" si="0"/>
        <v>25101016</v>
      </c>
      <c r="E16" s="38">
        <f t="shared" si="1"/>
        <v>3</v>
      </c>
      <c r="F16" s="33" t="s">
        <v>320</v>
      </c>
      <c r="G16">
        <v>20</v>
      </c>
      <c r="H16">
        <v>20</v>
      </c>
      <c r="I16">
        <f t="shared" si="2"/>
        <v>50</v>
      </c>
      <c r="J16">
        <v>90</v>
      </c>
      <c r="K16">
        <v>0</v>
      </c>
      <c r="L16" s="45">
        <v>25101552</v>
      </c>
      <c r="M16">
        <v>1</v>
      </c>
      <c r="P16" t="s">
        <v>391</v>
      </c>
      <c r="Q16">
        <v>5</v>
      </c>
      <c r="R16">
        <v>25101015</v>
      </c>
    </row>
    <row r="17" spans="1:18" ht="15" x14ac:dyDescent="0.2">
      <c r="B17" s="28">
        <v>55</v>
      </c>
      <c r="C17" t="s">
        <v>393</v>
      </c>
      <c r="D17" s="38">
        <f t="shared" si="0"/>
        <v>25101017</v>
      </c>
      <c r="E17" s="38">
        <f t="shared" si="1"/>
        <v>5</v>
      </c>
      <c r="F17" s="33" t="s">
        <v>323</v>
      </c>
      <c r="G17">
        <v>30</v>
      </c>
      <c r="H17">
        <v>30</v>
      </c>
      <c r="I17">
        <f t="shared" si="2"/>
        <v>35</v>
      </c>
      <c r="J17">
        <v>95</v>
      </c>
      <c r="K17">
        <v>0</v>
      </c>
      <c r="L17" s="45">
        <v>25101555</v>
      </c>
      <c r="M17">
        <v>1</v>
      </c>
      <c r="P17" t="s">
        <v>392</v>
      </c>
      <c r="Q17">
        <v>3</v>
      </c>
      <c r="R17">
        <v>25101016</v>
      </c>
    </row>
    <row r="18" spans="1:18" ht="15" x14ac:dyDescent="0.2">
      <c r="B18" s="28">
        <v>60</v>
      </c>
      <c r="C18" t="s">
        <v>394</v>
      </c>
      <c r="D18" s="38">
        <f t="shared" si="0"/>
        <v>25101018</v>
      </c>
      <c r="E18" s="38">
        <f t="shared" si="1"/>
        <v>3</v>
      </c>
      <c r="F18" s="33" t="s">
        <v>328</v>
      </c>
      <c r="G18">
        <v>45</v>
      </c>
      <c r="H18">
        <v>35</v>
      </c>
      <c r="I18">
        <f t="shared" si="2"/>
        <v>15</v>
      </c>
      <c r="J18">
        <v>95</v>
      </c>
      <c r="K18">
        <v>0</v>
      </c>
      <c r="L18" s="45">
        <v>25101560</v>
      </c>
      <c r="M18">
        <v>1</v>
      </c>
      <c r="P18" t="s">
        <v>393</v>
      </c>
      <c r="Q18">
        <v>5</v>
      </c>
      <c r="R18">
        <v>25101017</v>
      </c>
    </row>
    <row r="19" spans="1:18" ht="15" x14ac:dyDescent="0.2">
      <c r="B19" s="28">
        <v>64</v>
      </c>
      <c r="C19" t="s">
        <v>395</v>
      </c>
      <c r="D19" s="38">
        <f t="shared" si="0"/>
        <v>25101019</v>
      </c>
      <c r="E19" s="38">
        <f t="shared" si="1"/>
        <v>4</v>
      </c>
      <c r="F19" s="34" t="s">
        <v>332</v>
      </c>
      <c r="G19">
        <v>15</v>
      </c>
      <c r="H19">
        <v>55</v>
      </c>
      <c r="I19">
        <f t="shared" si="2"/>
        <v>25</v>
      </c>
      <c r="J19">
        <v>95</v>
      </c>
      <c r="K19">
        <v>0</v>
      </c>
      <c r="L19" s="45">
        <v>25101564</v>
      </c>
      <c r="M19">
        <v>1</v>
      </c>
      <c r="P19" t="s">
        <v>394</v>
      </c>
      <c r="Q19">
        <v>3</v>
      </c>
      <c r="R19">
        <v>25101018</v>
      </c>
    </row>
    <row r="20" spans="1:18" ht="15" x14ac:dyDescent="0.2">
      <c r="B20" s="28">
        <v>68</v>
      </c>
      <c r="C20" t="s">
        <v>396</v>
      </c>
      <c r="D20" s="38">
        <f t="shared" si="0"/>
        <v>25101020</v>
      </c>
      <c r="E20" s="38">
        <f t="shared" si="1"/>
        <v>3</v>
      </c>
      <c r="F20" s="35" t="s">
        <v>336</v>
      </c>
      <c r="G20">
        <v>25</v>
      </c>
      <c r="H20">
        <v>45</v>
      </c>
      <c r="I20">
        <f t="shared" si="2"/>
        <v>25</v>
      </c>
      <c r="J20">
        <v>95</v>
      </c>
      <c r="K20">
        <v>0</v>
      </c>
      <c r="L20" s="45">
        <v>25101568</v>
      </c>
      <c r="M20">
        <v>1</v>
      </c>
      <c r="P20" t="s">
        <v>395</v>
      </c>
      <c r="Q20">
        <v>4</v>
      </c>
      <c r="R20">
        <v>25101019</v>
      </c>
    </row>
    <row r="21" spans="1:18" ht="15" x14ac:dyDescent="0.2">
      <c r="B21" s="28">
        <v>73</v>
      </c>
      <c r="C21" t="s">
        <v>397</v>
      </c>
      <c r="D21" s="38">
        <f t="shared" si="0"/>
        <v>25101021</v>
      </c>
      <c r="E21" s="38">
        <f t="shared" si="1"/>
        <v>4</v>
      </c>
      <c r="F21" s="35" t="s">
        <v>341</v>
      </c>
      <c r="G21">
        <v>30</v>
      </c>
      <c r="H21">
        <v>30</v>
      </c>
      <c r="I21">
        <f t="shared" si="2"/>
        <v>35</v>
      </c>
      <c r="J21">
        <v>95</v>
      </c>
      <c r="K21">
        <v>0</v>
      </c>
      <c r="L21" s="45">
        <v>25101573</v>
      </c>
      <c r="M21">
        <v>1</v>
      </c>
      <c r="P21" t="s">
        <v>396</v>
      </c>
      <c r="Q21">
        <v>3</v>
      </c>
      <c r="R21">
        <v>25101020</v>
      </c>
    </row>
    <row r="22" spans="1:18" ht="15" x14ac:dyDescent="0.2">
      <c r="A22" s="17"/>
      <c r="B22" s="47">
        <v>201</v>
      </c>
      <c r="C22" s="17" t="s">
        <v>431</v>
      </c>
      <c r="D22" s="48" t="e">
        <f t="shared" si="0"/>
        <v>#N/A</v>
      </c>
      <c r="E22" s="48" t="e">
        <f t="shared" si="1"/>
        <v>#N/A</v>
      </c>
      <c r="F22" s="49" t="s">
        <v>432</v>
      </c>
      <c r="G22" s="17">
        <v>40</v>
      </c>
      <c r="H22" s="17">
        <v>40</v>
      </c>
      <c r="I22" s="17">
        <v>40</v>
      </c>
      <c r="J22" s="17">
        <v>120</v>
      </c>
      <c r="K22" s="17">
        <v>1</v>
      </c>
      <c r="L22" s="49">
        <v>25101700</v>
      </c>
      <c r="M22" s="17"/>
      <c r="N22">
        <v>10003</v>
      </c>
    </row>
    <row r="23" spans="1:18" ht="15" x14ac:dyDescent="0.2">
      <c r="B23" s="28">
        <v>78</v>
      </c>
      <c r="C23" t="s">
        <v>400</v>
      </c>
      <c r="D23" s="38">
        <f t="shared" si="0"/>
        <v>25101024</v>
      </c>
      <c r="E23" s="38">
        <f t="shared" si="1"/>
        <v>6</v>
      </c>
      <c r="F23" s="33" t="s">
        <v>346</v>
      </c>
      <c r="G23">
        <v>60</v>
      </c>
      <c r="H23">
        <v>20</v>
      </c>
      <c r="I23">
        <f t="shared" si="2"/>
        <v>20</v>
      </c>
      <c r="J23">
        <v>100</v>
      </c>
      <c r="K23">
        <v>1</v>
      </c>
      <c r="L23" s="45">
        <v>25101578</v>
      </c>
      <c r="M23">
        <v>1</v>
      </c>
      <c r="P23" t="s">
        <v>397</v>
      </c>
      <c r="Q23">
        <v>4</v>
      </c>
      <c r="R23">
        <v>25101021</v>
      </c>
    </row>
    <row r="24" spans="1:18" ht="15" x14ac:dyDescent="0.2">
      <c r="B24" s="28">
        <v>83</v>
      </c>
      <c r="C24" t="s">
        <v>401</v>
      </c>
      <c r="D24" s="38">
        <f t="shared" si="0"/>
        <v>25101025</v>
      </c>
      <c r="E24" s="38">
        <f t="shared" si="1"/>
        <v>2</v>
      </c>
      <c r="F24" s="33" t="s">
        <v>351</v>
      </c>
      <c r="G24">
        <v>35</v>
      </c>
      <c r="H24">
        <v>50</v>
      </c>
      <c r="I24">
        <f t="shared" si="2"/>
        <v>15</v>
      </c>
      <c r="J24">
        <v>100</v>
      </c>
      <c r="K24">
        <v>1</v>
      </c>
      <c r="L24" s="45">
        <v>25101583</v>
      </c>
      <c r="M24">
        <v>1</v>
      </c>
      <c r="P24" t="s">
        <v>398</v>
      </c>
      <c r="Q24">
        <v>3</v>
      </c>
      <c r="R24">
        <v>25101022</v>
      </c>
    </row>
    <row r="25" spans="1:18" ht="15" x14ac:dyDescent="0.2">
      <c r="B25" s="28">
        <v>89</v>
      </c>
      <c r="C25" t="s">
        <v>404</v>
      </c>
      <c r="D25" s="38">
        <f t="shared" si="0"/>
        <v>25101028</v>
      </c>
      <c r="E25" s="38">
        <f t="shared" si="1"/>
        <v>4</v>
      </c>
      <c r="F25" s="33" t="s">
        <v>357</v>
      </c>
      <c r="G25">
        <v>30</v>
      </c>
      <c r="H25">
        <v>15</v>
      </c>
      <c r="I25">
        <f t="shared" si="2"/>
        <v>55</v>
      </c>
      <c r="J25">
        <v>100</v>
      </c>
      <c r="K25">
        <v>1</v>
      </c>
      <c r="L25" s="45">
        <v>25101589</v>
      </c>
      <c r="M25">
        <v>1</v>
      </c>
      <c r="P25" t="s">
        <v>399</v>
      </c>
      <c r="Q25">
        <v>3</v>
      </c>
      <c r="R25">
        <v>25101023</v>
      </c>
    </row>
    <row r="26" spans="1:18" ht="15" x14ac:dyDescent="0.2">
      <c r="B26" s="28">
        <v>92</v>
      </c>
      <c r="C26" t="s">
        <v>405</v>
      </c>
      <c r="D26" s="38">
        <f t="shared" si="0"/>
        <v>25101029</v>
      </c>
      <c r="E26" s="38">
        <f t="shared" si="1"/>
        <v>3</v>
      </c>
      <c r="F26" s="33" t="s">
        <v>360</v>
      </c>
      <c r="G26">
        <v>5</v>
      </c>
      <c r="H26">
        <v>80</v>
      </c>
      <c r="I26">
        <f t="shared" si="2"/>
        <v>15</v>
      </c>
      <c r="J26">
        <v>100</v>
      </c>
      <c r="K26">
        <v>1</v>
      </c>
      <c r="L26" s="45">
        <v>25101592</v>
      </c>
      <c r="M26">
        <v>1</v>
      </c>
      <c r="P26" t="s">
        <v>400</v>
      </c>
      <c r="Q26">
        <v>6</v>
      </c>
      <c r="R26">
        <v>25101024</v>
      </c>
    </row>
    <row r="27" spans="1:18" ht="15" x14ac:dyDescent="0.2">
      <c r="B27" s="28">
        <v>98</v>
      </c>
      <c r="C27" t="s">
        <v>407</v>
      </c>
      <c r="D27" s="38">
        <f t="shared" si="0"/>
        <v>25101031</v>
      </c>
      <c r="E27" s="38">
        <f t="shared" si="1"/>
        <v>3</v>
      </c>
      <c r="F27" s="33" t="s">
        <v>366</v>
      </c>
      <c r="G27">
        <v>60</v>
      </c>
      <c r="H27">
        <v>25</v>
      </c>
      <c r="I27">
        <f t="shared" si="2"/>
        <v>15</v>
      </c>
      <c r="J27">
        <v>100</v>
      </c>
      <c r="K27">
        <v>1</v>
      </c>
      <c r="L27" s="45">
        <v>25101598</v>
      </c>
      <c r="M27">
        <v>1</v>
      </c>
      <c r="P27" t="s">
        <v>401</v>
      </c>
      <c r="Q27">
        <v>2</v>
      </c>
      <c r="R27">
        <v>25101025</v>
      </c>
    </row>
    <row r="28" spans="1:18" ht="15" x14ac:dyDescent="0.2">
      <c r="B28" s="28">
        <v>101</v>
      </c>
      <c r="C28" t="s">
        <v>408</v>
      </c>
      <c r="D28" s="38">
        <f t="shared" si="0"/>
        <v>25101032</v>
      </c>
      <c r="E28" s="38">
        <f t="shared" si="1"/>
        <v>5</v>
      </c>
      <c r="F28" s="41" t="s">
        <v>369</v>
      </c>
      <c r="G28">
        <v>15</v>
      </c>
      <c r="H28">
        <v>35</v>
      </c>
      <c r="I28">
        <f t="shared" si="2"/>
        <v>55</v>
      </c>
      <c r="J28">
        <v>105</v>
      </c>
      <c r="K28">
        <v>1</v>
      </c>
      <c r="L28" s="44">
        <v>25101601</v>
      </c>
      <c r="M28">
        <v>1</v>
      </c>
      <c r="P28" t="s">
        <v>402</v>
      </c>
      <c r="Q28">
        <v>4</v>
      </c>
      <c r="R28">
        <v>25101026</v>
      </c>
    </row>
    <row r="29" spans="1:18" ht="15" x14ac:dyDescent="0.2">
      <c r="B29" s="28">
        <v>105</v>
      </c>
      <c r="C29" t="s">
        <v>409</v>
      </c>
      <c r="D29" s="38">
        <f t="shared" si="0"/>
        <v>25101033</v>
      </c>
      <c r="E29" s="38">
        <f t="shared" si="1"/>
        <v>2</v>
      </c>
      <c r="F29" s="41" t="s">
        <v>373</v>
      </c>
      <c r="G29">
        <v>20</v>
      </c>
      <c r="H29">
        <v>60</v>
      </c>
      <c r="I29">
        <f t="shared" si="2"/>
        <v>25</v>
      </c>
      <c r="J29">
        <v>105</v>
      </c>
      <c r="K29">
        <v>1</v>
      </c>
      <c r="L29" s="44">
        <v>25101605</v>
      </c>
      <c r="M29">
        <v>1</v>
      </c>
      <c r="P29" t="s">
        <v>403</v>
      </c>
      <c r="Q29">
        <v>3</v>
      </c>
      <c r="R29">
        <v>25101027</v>
      </c>
    </row>
    <row r="30" spans="1:18" ht="15" x14ac:dyDescent="0.2">
      <c r="B30" s="28">
        <v>2</v>
      </c>
      <c r="C30" s="38" t="s">
        <v>377</v>
      </c>
      <c r="D30" s="38">
        <f t="shared" si="0"/>
        <v>25101001</v>
      </c>
      <c r="E30" s="38">
        <f t="shared" si="1"/>
        <v>4</v>
      </c>
      <c r="F30" s="41" t="s">
        <v>270</v>
      </c>
      <c r="G30">
        <v>20</v>
      </c>
      <c r="H30">
        <v>20</v>
      </c>
      <c r="I30">
        <f t="shared" si="2"/>
        <v>65</v>
      </c>
      <c r="J30">
        <v>105</v>
      </c>
      <c r="K30">
        <v>1</v>
      </c>
      <c r="L30" s="44">
        <v>25101502</v>
      </c>
      <c r="M30">
        <v>2</v>
      </c>
      <c r="P30" t="s">
        <v>404</v>
      </c>
      <c r="Q30">
        <v>4</v>
      </c>
      <c r="R30">
        <v>25101028</v>
      </c>
    </row>
    <row r="31" spans="1:18" ht="15" x14ac:dyDescent="0.2">
      <c r="A31" s="17"/>
      <c r="B31" s="47">
        <v>202</v>
      </c>
      <c r="C31" s="17" t="s">
        <v>431</v>
      </c>
      <c r="D31" s="48" t="e">
        <f t="shared" si="0"/>
        <v>#N/A</v>
      </c>
      <c r="E31" s="48" t="e">
        <f t="shared" si="1"/>
        <v>#N/A</v>
      </c>
      <c r="F31" s="49" t="s">
        <v>432</v>
      </c>
      <c r="G31" s="17">
        <v>50</v>
      </c>
      <c r="H31" s="17">
        <v>50</v>
      </c>
      <c r="I31" s="17">
        <v>50</v>
      </c>
      <c r="J31" s="17">
        <v>150</v>
      </c>
      <c r="K31" s="17">
        <v>2</v>
      </c>
      <c r="L31" s="49">
        <v>25101700</v>
      </c>
      <c r="M31" s="17"/>
      <c r="N31">
        <v>10004</v>
      </c>
    </row>
    <row r="32" spans="1:18" ht="15" x14ac:dyDescent="0.2">
      <c r="B32" s="28">
        <v>6</v>
      </c>
      <c r="C32" t="s">
        <v>378</v>
      </c>
      <c r="D32" s="38">
        <f t="shared" si="0"/>
        <v>25101002</v>
      </c>
      <c r="E32" s="38">
        <f t="shared" si="1"/>
        <v>2</v>
      </c>
      <c r="F32" s="33" t="s">
        <v>274</v>
      </c>
      <c r="G32">
        <v>30</v>
      </c>
      <c r="H32">
        <v>50</v>
      </c>
      <c r="I32">
        <f t="shared" si="2"/>
        <v>25</v>
      </c>
      <c r="J32">
        <v>105</v>
      </c>
      <c r="K32">
        <v>2</v>
      </c>
      <c r="L32" s="45">
        <v>25101506</v>
      </c>
      <c r="M32">
        <v>2</v>
      </c>
      <c r="P32" t="s">
        <v>405</v>
      </c>
      <c r="Q32">
        <v>3</v>
      </c>
      <c r="R32">
        <v>25101029</v>
      </c>
    </row>
    <row r="33" spans="1:18" ht="15" x14ac:dyDescent="0.2">
      <c r="B33" s="28">
        <v>9</v>
      </c>
      <c r="C33" t="s">
        <v>379</v>
      </c>
      <c r="D33" s="38">
        <f t="shared" si="0"/>
        <v>25101003</v>
      </c>
      <c r="E33" s="38">
        <f t="shared" si="1"/>
        <v>3</v>
      </c>
      <c r="F33" s="33" t="s">
        <v>277</v>
      </c>
      <c r="G33">
        <v>50</v>
      </c>
      <c r="H33">
        <v>30</v>
      </c>
      <c r="I33">
        <f t="shared" si="2"/>
        <v>25</v>
      </c>
      <c r="J33">
        <v>105</v>
      </c>
      <c r="K33">
        <v>2</v>
      </c>
      <c r="L33" s="45">
        <v>25101509</v>
      </c>
      <c r="M33">
        <v>2</v>
      </c>
      <c r="P33" t="s">
        <v>406</v>
      </c>
      <c r="Q33">
        <v>1</v>
      </c>
      <c r="R33">
        <v>25101030</v>
      </c>
    </row>
    <row r="34" spans="1:18" ht="15" x14ac:dyDescent="0.2">
      <c r="B34" s="28">
        <v>12</v>
      </c>
      <c r="C34" t="s">
        <v>380</v>
      </c>
      <c r="D34" s="38">
        <f t="shared" ref="D34:D65" si="3">VLOOKUP(C34,P:R,3,0)</f>
        <v>25101004</v>
      </c>
      <c r="E34" s="38">
        <f t="shared" ref="E34:E65" si="4">VLOOKUP(C34,P:R,2,0)</f>
        <v>3</v>
      </c>
      <c r="F34" s="33" t="s">
        <v>280</v>
      </c>
      <c r="G34">
        <v>15</v>
      </c>
      <c r="H34">
        <v>20</v>
      </c>
      <c r="I34">
        <f t="shared" si="2"/>
        <v>75</v>
      </c>
      <c r="J34">
        <v>110</v>
      </c>
      <c r="K34">
        <v>2</v>
      </c>
      <c r="L34" s="45">
        <v>25101512</v>
      </c>
      <c r="M34">
        <v>2</v>
      </c>
      <c r="P34" t="s">
        <v>407</v>
      </c>
      <c r="Q34">
        <v>3</v>
      </c>
      <c r="R34">
        <v>25101031</v>
      </c>
    </row>
    <row r="35" spans="1:18" ht="15" x14ac:dyDescent="0.2">
      <c r="B35" s="28">
        <v>15</v>
      </c>
      <c r="C35" t="s">
        <v>381</v>
      </c>
      <c r="D35" s="38">
        <f t="shared" si="3"/>
        <v>25101005</v>
      </c>
      <c r="E35" s="38">
        <f t="shared" si="4"/>
        <v>1</v>
      </c>
      <c r="F35" s="33" t="s">
        <v>283</v>
      </c>
      <c r="G35">
        <v>15</v>
      </c>
      <c r="H35">
        <v>45</v>
      </c>
      <c r="I35">
        <f t="shared" si="2"/>
        <v>50</v>
      </c>
      <c r="J35">
        <v>110</v>
      </c>
      <c r="K35">
        <v>2</v>
      </c>
      <c r="L35" s="45">
        <v>25101515</v>
      </c>
      <c r="M35">
        <v>2</v>
      </c>
      <c r="P35" t="s">
        <v>408</v>
      </c>
      <c r="Q35">
        <v>5</v>
      </c>
      <c r="R35">
        <v>25101032</v>
      </c>
    </row>
    <row r="36" spans="1:18" ht="15" x14ac:dyDescent="0.2">
      <c r="B36" s="28">
        <v>19</v>
      </c>
      <c r="C36" t="s">
        <v>382</v>
      </c>
      <c r="D36" s="38">
        <f t="shared" si="3"/>
        <v>25101006</v>
      </c>
      <c r="E36" s="38">
        <f t="shared" si="4"/>
        <v>1</v>
      </c>
      <c r="F36" s="33" t="s">
        <v>287</v>
      </c>
      <c r="G36">
        <v>5</v>
      </c>
      <c r="H36">
        <v>90</v>
      </c>
      <c r="I36">
        <f t="shared" si="2"/>
        <v>15</v>
      </c>
      <c r="J36">
        <v>110</v>
      </c>
      <c r="K36">
        <v>2</v>
      </c>
      <c r="L36" s="45">
        <v>25101519</v>
      </c>
      <c r="M36">
        <v>2</v>
      </c>
      <c r="P36" t="s">
        <v>409</v>
      </c>
      <c r="Q36">
        <v>2</v>
      </c>
      <c r="R36">
        <v>25101033</v>
      </c>
    </row>
    <row r="37" spans="1:18" ht="15" x14ac:dyDescent="0.2">
      <c r="B37" s="28">
        <v>21</v>
      </c>
      <c r="C37" t="s">
        <v>383</v>
      </c>
      <c r="D37" s="38">
        <f t="shared" si="3"/>
        <v>25101007</v>
      </c>
      <c r="E37" s="38">
        <f t="shared" si="4"/>
        <v>2</v>
      </c>
      <c r="F37" s="33" t="s">
        <v>289</v>
      </c>
      <c r="G37">
        <v>25</v>
      </c>
      <c r="H37">
        <v>20</v>
      </c>
      <c r="I37">
        <f t="shared" si="2"/>
        <v>65</v>
      </c>
      <c r="J37">
        <v>110</v>
      </c>
      <c r="K37">
        <v>2</v>
      </c>
      <c r="L37" s="45">
        <v>25101521</v>
      </c>
      <c r="M37">
        <v>2</v>
      </c>
    </row>
    <row r="38" spans="1:18" ht="15" x14ac:dyDescent="0.2">
      <c r="B38" s="28">
        <v>24</v>
      </c>
      <c r="C38" t="s">
        <v>384</v>
      </c>
      <c r="D38" s="38">
        <f t="shared" si="3"/>
        <v>25101008</v>
      </c>
      <c r="E38" s="38">
        <f t="shared" si="4"/>
        <v>3</v>
      </c>
      <c r="F38" s="33" t="s">
        <v>292</v>
      </c>
      <c r="G38">
        <v>45</v>
      </c>
      <c r="H38">
        <v>25</v>
      </c>
      <c r="I38">
        <f t="shared" si="2"/>
        <v>40</v>
      </c>
      <c r="J38">
        <v>110</v>
      </c>
      <c r="K38">
        <v>2</v>
      </c>
      <c r="L38" s="45">
        <v>25101524</v>
      </c>
      <c r="M38">
        <v>2</v>
      </c>
    </row>
    <row r="39" spans="1:18" ht="15" x14ac:dyDescent="0.2">
      <c r="B39" s="28">
        <v>27</v>
      </c>
      <c r="C39" t="s">
        <v>385</v>
      </c>
      <c r="D39" s="38">
        <f t="shared" si="3"/>
        <v>25101009</v>
      </c>
      <c r="E39" s="38">
        <f t="shared" si="4"/>
        <v>5</v>
      </c>
      <c r="F39" s="36" t="s">
        <v>295</v>
      </c>
      <c r="G39">
        <v>30</v>
      </c>
      <c r="H39">
        <v>50</v>
      </c>
      <c r="I39">
        <f t="shared" si="2"/>
        <v>35</v>
      </c>
      <c r="J39">
        <v>115</v>
      </c>
      <c r="K39">
        <v>2</v>
      </c>
      <c r="L39" s="45">
        <v>25101527</v>
      </c>
      <c r="M39">
        <v>2</v>
      </c>
    </row>
    <row r="40" spans="1:18" ht="15" x14ac:dyDescent="0.2">
      <c r="B40" s="28">
        <v>30</v>
      </c>
      <c r="C40" t="s">
        <v>386</v>
      </c>
      <c r="D40" s="38">
        <f t="shared" si="3"/>
        <v>25101010</v>
      </c>
      <c r="E40" s="38">
        <f t="shared" si="4"/>
        <v>4</v>
      </c>
      <c r="F40" s="35" t="s">
        <v>298</v>
      </c>
      <c r="G40">
        <v>35</v>
      </c>
      <c r="H40">
        <v>30</v>
      </c>
      <c r="I40">
        <f t="shared" si="2"/>
        <v>50</v>
      </c>
      <c r="J40">
        <v>115</v>
      </c>
      <c r="K40">
        <v>2</v>
      </c>
      <c r="L40" s="45">
        <v>25101530</v>
      </c>
      <c r="M40">
        <v>2</v>
      </c>
    </row>
    <row r="41" spans="1:18" ht="15" x14ac:dyDescent="0.2">
      <c r="A41" s="17"/>
      <c r="B41" s="47">
        <v>203</v>
      </c>
      <c r="C41" s="17" t="s">
        <v>431</v>
      </c>
      <c r="D41" s="48" t="e">
        <f t="shared" si="3"/>
        <v>#N/A</v>
      </c>
      <c r="E41" s="48" t="e">
        <f t="shared" si="4"/>
        <v>#N/A</v>
      </c>
      <c r="F41" s="49" t="s">
        <v>432</v>
      </c>
      <c r="G41" s="17">
        <v>60</v>
      </c>
      <c r="H41" s="17">
        <v>60</v>
      </c>
      <c r="I41" s="17">
        <v>60</v>
      </c>
      <c r="J41" s="17">
        <v>180</v>
      </c>
      <c r="K41" s="17">
        <v>3</v>
      </c>
      <c r="L41" s="49">
        <v>25101700</v>
      </c>
      <c r="M41" s="17"/>
      <c r="N41">
        <v>10005</v>
      </c>
    </row>
    <row r="42" spans="1:18" ht="15" x14ac:dyDescent="0.2">
      <c r="B42" s="28">
        <v>35</v>
      </c>
      <c r="C42" t="s">
        <v>387</v>
      </c>
      <c r="D42" s="38">
        <f t="shared" si="3"/>
        <v>25101011</v>
      </c>
      <c r="E42" s="38">
        <f t="shared" si="4"/>
        <v>4</v>
      </c>
      <c r="F42" s="33" t="s">
        <v>303</v>
      </c>
      <c r="G42">
        <v>15</v>
      </c>
      <c r="H42">
        <v>20</v>
      </c>
      <c r="I42">
        <f t="shared" si="2"/>
        <v>80</v>
      </c>
      <c r="J42">
        <v>115</v>
      </c>
      <c r="K42">
        <v>3</v>
      </c>
      <c r="L42" s="45">
        <v>25101535</v>
      </c>
      <c r="M42">
        <v>2</v>
      </c>
    </row>
    <row r="43" spans="1:18" ht="15" x14ac:dyDescent="0.2">
      <c r="B43" s="28">
        <v>39</v>
      </c>
      <c r="C43" t="s">
        <v>388</v>
      </c>
      <c r="D43" s="38">
        <f t="shared" si="3"/>
        <v>25101012</v>
      </c>
      <c r="E43" s="38">
        <f t="shared" si="4"/>
        <v>3</v>
      </c>
      <c r="F43" s="33" t="s">
        <v>307</v>
      </c>
      <c r="G43">
        <v>45</v>
      </c>
      <c r="H43">
        <v>35</v>
      </c>
      <c r="I43">
        <f t="shared" si="2"/>
        <v>35</v>
      </c>
      <c r="J43">
        <v>115</v>
      </c>
      <c r="K43">
        <v>3</v>
      </c>
      <c r="L43" s="45">
        <v>25101539</v>
      </c>
      <c r="M43">
        <v>2</v>
      </c>
    </row>
    <row r="44" spans="1:18" ht="15" x14ac:dyDescent="0.2">
      <c r="B44" s="28">
        <v>44</v>
      </c>
      <c r="C44" t="s">
        <v>389</v>
      </c>
      <c r="D44" s="38">
        <f t="shared" si="3"/>
        <v>25101013</v>
      </c>
      <c r="E44" s="38">
        <f t="shared" si="4"/>
        <v>4</v>
      </c>
      <c r="F44" s="33" t="s">
        <v>312</v>
      </c>
      <c r="G44">
        <v>25</v>
      </c>
      <c r="H44">
        <v>50</v>
      </c>
      <c r="I44">
        <f t="shared" si="2"/>
        <v>40</v>
      </c>
      <c r="J44">
        <v>115</v>
      </c>
      <c r="K44">
        <v>3</v>
      </c>
      <c r="L44" s="45">
        <v>25101544</v>
      </c>
      <c r="M44">
        <v>2</v>
      </c>
    </row>
    <row r="45" spans="1:18" ht="15" x14ac:dyDescent="0.2">
      <c r="B45" s="28">
        <v>47</v>
      </c>
      <c r="C45" t="s">
        <v>390</v>
      </c>
      <c r="D45" s="38">
        <f t="shared" si="3"/>
        <v>25101014</v>
      </c>
      <c r="E45" s="38">
        <f t="shared" si="4"/>
        <v>4</v>
      </c>
      <c r="F45" s="33" t="s">
        <v>315</v>
      </c>
      <c r="G45">
        <v>15</v>
      </c>
      <c r="H45">
        <v>35</v>
      </c>
      <c r="I45">
        <f t="shared" si="2"/>
        <v>70</v>
      </c>
      <c r="J45">
        <v>120</v>
      </c>
      <c r="K45">
        <v>3</v>
      </c>
      <c r="L45" s="45">
        <v>25101547</v>
      </c>
      <c r="M45">
        <v>2</v>
      </c>
    </row>
    <row r="46" spans="1:18" ht="15" x14ac:dyDescent="0.2">
      <c r="B46" s="28">
        <v>50</v>
      </c>
      <c r="C46" t="s">
        <v>391</v>
      </c>
      <c r="D46" s="38">
        <f t="shared" si="3"/>
        <v>25101015</v>
      </c>
      <c r="E46" s="38">
        <f t="shared" si="4"/>
        <v>5</v>
      </c>
      <c r="F46" s="33" t="s">
        <v>318</v>
      </c>
      <c r="G46">
        <v>100</v>
      </c>
      <c r="H46">
        <v>10</v>
      </c>
      <c r="I46">
        <f t="shared" si="2"/>
        <v>10</v>
      </c>
      <c r="J46">
        <v>120</v>
      </c>
      <c r="K46">
        <v>3</v>
      </c>
      <c r="L46" s="45">
        <v>25101550</v>
      </c>
      <c r="M46">
        <v>2</v>
      </c>
    </row>
    <row r="47" spans="1:18" ht="15" x14ac:dyDescent="0.2">
      <c r="B47" s="28">
        <v>53</v>
      </c>
      <c r="C47" t="s">
        <v>392</v>
      </c>
      <c r="D47" s="38">
        <f t="shared" si="3"/>
        <v>25101016</v>
      </c>
      <c r="E47" s="38">
        <f t="shared" si="4"/>
        <v>3</v>
      </c>
      <c r="F47" s="33" t="s">
        <v>321</v>
      </c>
      <c r="G47">
        <v>35</v>
      </c>
      <c r="H47">
        <v>50</v>
      </c>
      <c r="I47">
        <f t="shared" si="2"/>
        <v>35</v>
      </c>
      <c r="J47">
        <v>120</v>
      </c>
      <c r="K47">
        <v>3</v>
      </c>
      <c r="L47" s="45">
        <v>25101553</v>
      </c>
      <c r="M47">
        <v>2</v>
      </c>
    </row>
    <row r="48" spans="1:18" ht="15" x14ac:dyDescent="0.2">
      <c r="B48" s="28">
        <v>56</v>
      </c>
      <c r="C48" t="s">
        <v>393</v>
      </c>
      <c r="D48" s="38">
        <f t="shared" si="3"/>
        <v>25101017</v>
      </c>
      <c r="E48" s="38">
        <f t="shared" si="4"/>
        <v>5</v>
      </c>
      <c r="F48" s="33" t="s">
        <v>324</v>
      </c>
      <c r="G48">
        <v>40</v>
      </c>
      <c r="H48">
        <v>50</v>
      </c>
      <c r="I48">
        <f t="shared" si="2"/>
        <v>30</v>
      </c>
      <c r="J48">
        <v>120</v>
      </c>
      <c r="K48">
        <v>3</v>
      </c>
      <c r="L48" s="45">
        <v>25101556</v>
      </c>
      <c r="M48">
        <v>2</v>
      </c>
    </row>
    <row r="49" spans="2:13" ht="15" x14ac:dyDescent="0.2">
      <c r="B49" s="28">
        <v>61</v>
      </c>
      <c r="C49" t="s">
        <v>394</v>
      </c>
      <c r="D49" s="38">
        <f t="shared" si="3"/>
        <v>25101018</v>
      </c>
      <c r="E49" s="38">
        <f t="shared" si="4"/>
        <v>3</v>
      </c>
      <c r="F49" s="33" t="s">
        <v>329</v>
      </c>
      <c r="G49">
        <v>75</v>
      </c>
      <c r="H49">
        <v>40</v>
      </c>
      <c r="I49">
        <f t="shared" si="2"/>
        <v>5</v>
      </c>
      <c r="J49">
        <v>120</v>
      </c>
      <c r="K49">
        <v>3</v>
      </c>
      <c r="L49" s="45">
        <v>25101561</v>
      </c>
      <c r="M49">
        <v>2</v>
      </c>
    </row>
    <row r="50" spans="2:13" ht="15" x14ac:dyDescent="0.2">
      <c r="B50" s="28">
        <v>65</v>
      </c>
      <c r="C50" t="s">
        <v>395</v>
      </c>
      <c r="D50" s="38">
        <f t="shared" si="3"/>
        <v>25101019</v>
      </c>
      <c r="E50" s="38">
        <f t="shared" si="4"/>
        <v>4</v>
      </c>
      <c r="F50" s="33" t="s">
        <v>333</v>
      </c>
      <c r="G50">
        <v>15</v>
      </c>
      <c r="H50">
        <v>15</v>
      </c>
      <c r="I50">
        <f t="shared" si="2"/>
        <v>95</v>
      </c>
      <c r="J50">
        <v>125</v>
      </c>
      <c r="K50">
        <v>4</v>
      </c>
      <c r="L50" s="45">
        <v>25101565</v>
      </c>
      <c r="M50">
        <v>2</v>
      </c>
    </row>
    <row r="51" spans="2:13" ht="15" x14ac:dyDescent="0.2">
      <c r="B51" s="28">
        <v>69</v>
      </c>
      <c r="C51" t="s">
        <v>396</v>
      </c>
      <c r="D51" s="38">
        <f t="shared" si="3"/>
        <v>25101020</v>
      </c>
      <c r="E51" s="38">
        <f t="shared" si="4"/>
        <v>3</v>
      </c>
      <c r="F51" s="33" t="s">
        <v>337</v>
      </c>
      <c r="G51">
        <v>20</v>
      </c>
      <c r="H51">
        <v>75</v>
      </c>
      <c r="I51">
        <f t="shared" si="2"/>
        <v>30</v>
      </c>
      <c r="J51">
        <v>125</v>
      </c>
      <c r="K51">
        <v>4</v>
      </c>
      <c r="L51" s="45">
        <v>25101569</v>
      </c>
      <c r="M51">
        <v>2</v>
      </c>
    </row>
    <row r="52" spans="2:13" ht="15" x14ac:dyDescent="0.2">
      <c r="B52" s="28">
        <v>74</v>
      </c>
      <c r="C52" t="s">
        <v>397</v>
      </c>
      <c r="D52" s="38">
        <f t="shared" si="3"/>
        <v>25101021</v>
      </c>
      <c r="E52" s="38">
        <f t="shared" si="4"/>
        <v>4</v>
      </c>
      <c r="F52" s="33" t="s">
        <v>342</v>
      </c>
      <c r="G52">
        <v>75</v>
      </c>
      <c r="H52">
        <v>40</v>
      </c>
      <c r="I52">
        <f t="shared" si="2"/>
        <v>10</v>
      </c>
      <c r="J52">
        <v>125</v>
      </c>
      <c r="K52">
        <v>4</v>
      </c>
      <c r="L52" s="45">
        <v>25101574</v>
      </c>
      <c r="M52">
        <v>2</v>
      </c>
    </row>
    <row r="53" spans="2:13" ht="15" x14ac:dyDescent="0.2">
      <c r="B53" s="28">
        <v>79</v>
      </c>
      <c r="C53" t="s">
        <v>400</v>
      </c>
      <c r="D53" s="38">
        <f t="shared" si="3"/>
        <v>25101024</v>
      </c>
      <c r="E53" s="38">
        <f t="shared" si="4"/>
        <v>6</v>
      </c>
      <c r="F53" s="33" t="s">
        <v>347</v>
      </c>
      <c r="G53">
        <v>60</v>
      </c>
      <c r="H53">
        <v>45</v>
      </c>
      <c r="I53">
        <f t="shared" si="2"/>
        <v>20</v>
      </c>
      <c r="J53">
        <v>125</v>
      </c>
      <c r="K53">
        <v>4</v>
      </c>
      <c r="L53" s="45">
        <v>25101579</v>
      </c>
      <c r="M53">
        <v>2</v>
      </c>
    </row>
    <row r="54" spans="2:13" ht="15" x14ac:dyDescent="0.2">
      <c r="B54" s="28">
        <v>84</v>
      </c>
      <c r="C54" t="s">
        <v>401</v>
      </c>
      <c r="D54" s="38">
        <f t="shared" si="3"/>
        <v>25101025</v>
      </c>
      <c r="E54" s="38">
        <f t="shared" si="4"/>
        <v>2</v>
      </c>
      <c r="F54" s="33" t="s">
        <v>352</v>
      </c>
      <c r="G54">
        <v>5</v>
      </c>
      <c r="H54">
        <v>25</v>
      </c>
      <c r="I54">
        <f t="shared" si="2"/>
        <v>95</v>
      </c>
      <c r="J54">
        <v>125</v>
      </c>
      <c r="K54">
        <v>4</v>
      </c>
      <c r="L54" s="45">
        <v>25101584</v>
      </c>
      <c r="M54">
        <v>2</v>
      </c>
    </row>
    <row r="55" spans="2:13" ht="15" x14ac:dyDescent="0.2">
      <c r="B55" s="28">
        <v>86</v>
      </c>
      <c r="C55" t="s">
        <v>402</v>
      </c>
      <c r="D55" s="38">
        <f t="shared" si="3"/>
        <v>25101026</v>
      </c>
      <c r="E55" s="38">
        <f t="shared" si="4"/>
        <v>4</v>
      </c>
      <c r="F55" s="33" t="s">
        <v>354</v>
      </c>
      <c r="G55">
        <v>45</v>
      </c>
      <c r="H55">
        <v>30</v>
      </c>
      <c r="I55">
        <f t="shared" si="2"/>
        <v>55</v>
      </c>
      <c r="J55">
        <v>130</v>
      </c>
      <c r="K55">
        <v>4</v>
      </c>
      <c r="L55" s="45">
        <v>25101586</v>
      </c>
      <c r="M55">
        <v>2</v>
      </c>
    </row>
    <row r="56" spans="2:13" ht="15" x14ac:dyDescent="0.2">
      <c r="B56" s="28">
        <v>90</v>
      </c>
      <c r="C56" t="s">
        <v>404</v>
      </c>
      <c r="D56" s="38">
        <f t="shared" si="3"/>
        <v>25101028</v>
      </c>
      <c r="E56" s="38">
        <f t="shared" si="4"/>
        <v>4</v>
      </c>
      <c r="F56" s="33" t="s">
        <v>358</v>
      </c>
      <c r="G56">
        <v>25</v>
      </c>
      <c r="H56">
        <v>30</v>
      </c>
      <c r="I56">
        <f t="shared" si="2"/>
        <v>75</v>
      </c>
      <c r="J56">
        <v>130</v>
      </c>
      <c r="K56">
        <v>4</v>
      </c>
      <c r="L56" s="45">
        <v>25101590</v>
      </c>
      <c r="M56">
        <v>2</v>
      </c>
    </row>
    <row r="57" spans="2:13" ht="15" x14ac:dyDescent="0.2">
      <c r="B57" s="28">
        <v>93</v>
      </c>
      <c r="C57" t="s">
        <v>405</v>
      </c>
      <c r="D57" s="38">
        <f t="shared" si="3"/>
        <v>25101029</v>
      </c>
      <c r="E57" s="38">
        <f t="shared" si="4"/>
        <v>3</v>
      </c>
      <c r="F57" s="33" t="s">
        <v>361</v>
      </c>
      <c r="G57">
        <v>15</v>
      </c>
      <c r="H57">
        <v>55</v>
      </c>
      <c r="I57">
        <f t="shared" si="2"/>
        <v>60</v>
      </c>
      <c r="J57">
        <v>130</v>
      </c>
      <c r="K57">
        <v>5</v>
      </c>
      <c r="L57" s="45">
        <v>25101593</v>
      </c>
      <c r="M57">
        <v>2</v>
      </c>
    </row>
    <row r="58" spans="2:13" ht="15" x14ac:dyDescent="0.2">
      <c r="B58" s="28">
        <v>96</v>
      </c>
      <c r="C58" t="s">
        <v>406</v>
      </c>
      <c r="D58" s="38">
        <f t="shared" si="3"/>
        <v>25101030</v>
      </c>
      <c r="E58" s="38">
        <f t="shared" si="4"/>
        <v>1</v>
      </c>
      <c r="F58" s="33" t="s">
        <v>364</v>
      </c>
      <c r="G58">
        <v>100</v>
      </c>
      <c r="H58">
        <v>25</v>
      </c>
      <c r="I58">
        <f t="shared" si="2"/>
        <v>5</v>
      </c>
      <c r="J58">
        <v>130</v>
      </c>
      <c r="K58">
        <v>5</v>
      </c>
      <c r="L58" s="45">
        <v>25101596</v>
      </c>
      <c r="M58">
        <v>2</v>
      </c>
    </row>
    <row r="59" spans="2:13" ht="15" x14ac:dyDescent="0.2">
      <c r="B59" s="28">
        <v>99</v>
      </c>
      <c r="C59" t="s">
        <v>407</v>
      </c>
      <c r="D59" s="38">
        <f t="shared" si="3"/>
        <v>25101031</v>
      </c>
      <c r="E59" s="38">
        <f t="shared" si="4"/>
        <v>3</v>
      </c>
      <c r="F59" s="33" t="s">
        <v>367</v>
      </c>
      <c r="G59">
        <v>15</v>
      </c>
      <c r="H59">
        <v>35</v>
      </c>
      <c r="I59">
        <f t="shared" si="2"/>
        <v>80</v>
      </c>
      <c r="J59">
        <v>130</v>
      </c>
      <c r="K59">
        <v>5</v>
      </c>
      <c r="L59" s="45">
        <v>25101599</v>
      </c>
      <c r="M59">
        <v>2</v>
      </c>
    </row>
    <row r="60" spans="2:13" ht="15" x14ac:dyDescent="0.2">
      <c r="B60" s="28">
        <v>102</v>
      </c>
      <c r="C60" t="s">
        <v>408</v>
      </c>
      <c r="D60" s="38">
        <f t="shared" si="3"/>
        <v>25101032</v>
      </c>
      <c r="E60" s="38">
        <f t="shared" si="4"/>
        <v>5</v>
      </c>
      <c r="F60" s="41" t="s">
        <v>370</v>
      </c>
      <c r="G60">
        <v>80</v>
      </c>
      <c r="H60">
        <v>25</v>
      </c>
      <c r="I60">
        <f t="shared" si="2"/>
        <v>30</v>
      </c>
      <c r="J60">
        <v>135</v>
      </c>
      <c r="K60">
        <v>5</v>
      </c>
      <c r="L60" s="44">
        <v>25101602</v>
      </c>
      <c r="M60">
        <v>2</v>
      </c>
    </row>
    <row r="61" spans="2:13" ht="15" x14ac:dyDescent="0.2">
      <c r="B61" s="28">
        <v>106</v>
      </c>
      <c r="C61" t="s">
        <v>409</v>
      </c>
      <c r="D61" s="38">
        <f t="shared" si="3"/>
        <v>25101033</v>
      </c>
      <c r="E61" s="38">
        <f t="shared" si="4"/>
        <v>2</v>
      </c>
      <c r="F61" s="41" t="s">
        <v>374</v>
      </c>
      <c r="G61">
        <v>35</v>
      </c>
      <c r="H61">
        <v>75</v>
      </c>
      <c r="I61">
        <f t="shared" si="2"/>
        <v>25</v>
      </c>
      <c r="J61">
        <v>135</v>
      </c>
      <c r="K61">
        <v>5</v>
      </c>
      <c r="L61" s="44">
        <v>25101606</v>
      </c>
      <c r="M61">
        <v>2</v>
      </c>
    </row>
    <row r="62" spans="2:13" ht="15" x14ac:dyDescent="0.2">
      <c r="B62" s="28">
        <v>3</v>
      </c>
      <c r="C62" s="38" t="s">
        <v>377</v>
      </c>
      <c r="D62" s="38">
        <f t="shared" si="3"/>
        <v>25101001</v>
      </c>
      <c r="E62" s="38">
        <f t="shared" si="4"/>
        <v>4</v>
      </c>
      <c r="F62" s="41" t="s">
        <v>271</v>
      </c>
      <c r="G62">
        <v>30</v>
      </c>
      <c r="H62">
        <v>50</v>
      </c>
      <c r="I62">
        <f t="shared" si="2"/>
        <v>55</v>
      </c>
      <c r="J62">
        <v>135</v>
      </c>
      <c r="K62">
        <v>5</v>
      </c>
      <c r="L62" s="44">
        <v>25101503</v>
      </c>
      <c r="M62">
        <v>3</v>
      </c>
    </row>
    <row r="63" spans="2:13" ht="15" x14ac:dyDescent="0.2">
      <c r="B63" s="28">
        <v>7</v>
      </c>
      <c r="C63" t="s">
        <v>378</v>
      </c>
      <c r="D63" s="38">
        <f t="shared" si="3"/>
        <v>25101002</v>
      </c>
      <c r="E63" s="38">
        <f t="shared" si="4"/>
        <v>2</v>
      </c>
      <c r="F63" s="33" t="s">
        <v>275</v>
      </c>
      <c r="G63">
        <v>15</v>
      </c>
      <c r="H63">
        <v>55</v>
      </c>
      <c r="I63">
        <f t="shared" si="2"/>
        <v>65</v>
      </c>
      <c r="J63">
        <v>135</v>
      </c>
      <c r="K63">
        <v>5</v>
      </c>
      <c r="L63" s="45">
        <v>25101507</v>
      </c>
      <c r="M63">
        <v>3</v>
      </c>
    </row>
    <row r="64" spans="2:13" ht="15" x14ac:dyDescent="0.2">
      <c r="B64" s="28">
        <v>10</v>
      </c>
      <c r="C64" t="s">
        <v>379</v>
      </c>
      <c r="D64" s="38">
        <f t="shared" si="3"/>
        <v>25101003</v>
      </c>
      <c r="E64" s="38">
        <f t="shared" si="4"/>
        <v>3</v>
      </c>
      <c r="F64" s="33" t="s">
        <v>278</v>
      </c>
      <c r="G64">
        <v>15</v>
      </c>
      <c r="H64">
        <v>100</v>
      </c>
      <c r="I64">
        <f t="shared" si="2"/>
        <v>20</v>
      </c>
      <c r="J64">
        <v>135</v>
      </c>
      <c r="K64">
        <v>6</v>
      </c>
      <c r="L64" s="45">
        <v>25101510</v>
      </c>
      <c r="M64">
        <v>3</v>
      </c>
    </row>
    <row r="65" spans="2:13" ht="15" x14ac:dyDescent="0.2">
      <c r="B65" s="28">
        <v>13</v>
      </c>
      <c r="C65" t="s">
        <v>380</v>
      </c>
      <c r="D65" s="38">
        <f t="shared" si="3"/>
        <v>25101004</v>
      </c>
      <c r="E65" s="38">
        <f t="shared" si="4"/>
        <v>3</v>
      </c>
      <c r="F65" s="33" t="s">
        <v>281</v>
      </c>
      <c r="G65">
        <v>70</v>
      </c>
      <c r="H65">
        <v>10</v>
      </c>
      <c r="I65">
        <f t="shared" si="2"/>
        <v>60</v>
      </c>
      <c r="J65">
        <v>140</v>
      </c>
      <c r="K65">
        <v>6</v>
      </c>
      <c r="L65" s="45">
        <v>25101513</v>
      </c>
      <c r="M65">
        <v>3</v>
      </c>
    </row>
    <row r="66" spans="2:13" ht="15" x14ac:dyDescent="0.2">
      <c r="B66" s="28">
        <v>16</v>
      </c>
      <c r="C66" t="s">
        <v>381</v>
      </c>
      <c r="D66" s="38">
        <f t="shared" ref="D66:D97" si="5">VLOOKUP(C66,P:R,3,0)</f>
        <v>25101005</v>
      </c>
      <c r="E66" s="38">
        <f t="shared" ref="E66:E97" si="6">VLOOKUP(C66,P:R,2,0)</f>
        <v>1</v>
      </c>
      <c r="F66" s="33" t="s">
        <v>284</v>
      </c>
      <c r="G66">
        <v>65</v>
      </c>
      <c r="H66">
        <v>35</v>
      </c>
      <c r="I66">
        <f t="shared" si="2"/>
        <v>40</v>
      </c>
      <c r="J66">
        <v>140</v>
      </c>
      <c r="K66">
        <v>6</v>
      </c>
      <c r="L66" s="45">
        <v>25101516</v>
      </c>
      <c r="M66">
        <v>3</v>
      </c>
    </row>
    <row r="67" spans="2:13" ht="15" x14ac:dyDescent="0.2">
      <c r="B67" s="28">
        <v>20</v>
      </c>
      <c r="C67" t="s">
        <v>382</v>
      </c>
      <c r="D67" s="38">
        <f t="shared" si="5"/>
        <v>25101006</v>
      </c>
      <c r="E67" s="38">
        <f t="shared" si="6"/>
        <v>1</v>
      </c>
      <c r="F67" s="33" t="s">
        <v>288</v>
      </c>
      <c r="G67">
        <v>60</v>
      </c>
      <c r="H67">
        <v>40</v>
      </c>
      <c r="I67">
        <f t="shared" si="2"/>
        <v>40</v>
      </c>
      <c r="J67">
        <v>140</v>
      </c>
      <c r="K67">
        <v>6</v>
      </c>
      <c r="L67" s="45">
        <v>25101520</v>
      </c>
      <c r="M67">
        <v>3</v>
      </c>
    </row>
    <row r="68" spans="2:13" ht="15" x14ac:dyDescent="0.2">
      <c r="B68" s="28">
        <v>22</v>
      </c>
      <c r="C68" t="s">
        <v>383</v>
      </c>
      <c r="D68" s="38">
        <f t="shared" si="5"/>
        <v>25101007</v>
      </c>
      <c r="E68" s="38">
        <f t="shared" si="6"/>
        <v>2</v>
      </c>
      <c r="F68" s="33" t="s">
        <v>290</v>
      </c>
      <c r="G68">
        <v>120</v>
      </c>
      <c r="H68">
        <v>10</v>
      </c>
      <c r="I68">
        <f t="shared" si="2"/>
        <v>10</v>
      </c>
      <c r="J68">
        <v>140</v>
      </c>
      <c r="K68">
        <v>6</v>
      </c>
      <c r="L68" s="45">
        <v>25101522</v>
      </c>
      <c r="M68">
        <v>3</v>
      </c>
    </row>
    <row r="69" spans="2:13" ht="15" x14ac:dyDescent="0.2">
      <c r="B69" s="28">
        <v>25</v>
      </c>
      <c r="C69" t="s">
        <v>384</v>
      </c>
      <c r="D69" s="38">
        <f t="shared" si="5"/>
        <v>25101008</v>
      </c>
      <c r="E69" s="38">
        <f t="shared" si="6"/>
        <v>3</v>
      </c>
      <c r="F69" s="33" t="s">
        <v>293</v>
      </c>
      <c r="G69">
        <v>60</v>
      </c>
      <c r="H69">
        <v>50</v>
      </c>
      <c r="I69">
        <f t="shared" si="2"/>
        <v>30</v>
      </c>
      <c r="J69">
        <v>140</v>
      </c>
      <c r="K69">
        <v>6</v>
      </c>
      <c r="L69" s="45">
        <v>25101525</v>
      </c>
      <c r="M69">
        <v>3</v>
      </c>
    </row>
    <row r="70" spans="2:13" ht="15" x14ac:dyDescent="0.2">
      <c r="B70" s="28">
        <v>28</v>
      </c>
      <c r="C70" t="s">
        <v>385</v>
      </c>
      <c r="D70" s="38">
        <f t="shared" si="5"/>
        <v>25101009</v>
      </c>
      <c r="E70" s="38">
        <f t="shared" si="6"/>
        <v>5</v>
      </c>
      <c r="F70" s="33" t="s">
        <v>296</v>
      </c>
      <c r="G70">
        <v>80</v>
      </c>
      <c r="H70">
        <v>35</v>
      </c>
      <c r="I70">
        <f t="shared" ref="I70:I112" si="7">J70-G70-H70</f>
        <v>30</v>
      </c>
      <c r="J70">
        <v>145</v>
      </c>
      <c r="K70">
        <v>6</v>
      </c>
      <c r="L70" s="45">
        <v>25101528</v>
      </c>
      <c r="M70">
        <v>3</v>
      </c>
    </row>
    <row r="71" spans="2:13" ht="15" x14ac:dyDescent="0.2">
      <c r="B71" s="28">
        <v>31</v>
      </c>
      <c r="C71" t="s">
        <v>386</v>
      </c>
      <c r="D71" s="38">
        <f t="shared" si="5"/>
        <v>25101010</v>
      </c>
      <c r="E71" s="38">
        <f t="shared" si="6"/>
        <v>4</v>
      </c>
      <c r="F71" s="33" t="s">
        <v>299</v>
      </c>
      <c r="G71">
        <v>15</v>
      </c>
      <c r="H71">
        <v>120</v>
      </c>
      <c r="I71">
        <f t="shared" si="7"/>
        <v>10</v>
      </c>
      <c r="J71">
        <v>145</v>
      </c>
      <c r="K71">
        <v>7</v>
      </c>
      <c r="L71" s="45">
        <v>25101531</v>
      </c>
      <c r="M71">
        <v>3</v>
      </c>
    </row>
    <row r="72" spans="2:13" ht="15" x14ac:dyDescent="0.2">
      <c r="B72" s="28">
        <v>36</v>
      </c>
      <c r="C72" t="s">
        <v>387</v>
      </c>
      <c r="D72" s="38">
        <f t="shared" si="5"/>
        <v>25101011</v>
      </c>
      <c r="E72" s="38">
        <f t="shared" si="6"/>
        <v>4</v>
      </c>
      <c r="F72" s="33" t="s">
        <v>304</v>
      </c>
      <c r="G72">
        <v>15</v>
      </c>
      <c r="H72">
        <v>20</v>
      </c>
      <c r="I72">
        <f t="shared" si="7"/>
        <v>110</v>
      </c>
      <c r="J72">
        <v>145</v>
      </c>
      <c r="K72">
        <v>7</v>
      </c>
      <c r="L72" s="45">
        <v>25101536</v>
      </c>
      <c r="M72">
        <v>3</v>
      </c>
    </row>
    <row r="73" spans="2:13" ht="15" x14ac:dyDescent="0.2">
      <c r="B73" s="28">
        <v>40</v>
      </c>
      <c r="C73" t="s">
        <v>388</v>
      </c>
      <c r="D73" s="38">
        <f t="shared" si="5"/>
        <v>25101012</v>
      </c>
      <c r="E73" s="38">
        <f t="shared" si="6"/>
        <v>3</v>
      </c>
      <c r="F73" s="33" t="s">
        <v>308</v>
      </c>
      <c r="G73">
        <v>45</v>
      </c>
      <c r="H73">
        <v>60</v>
      </c>
      <c r="I73">
        <f t="shared" si="7"/>
        <v>40</v>
      </c>
      <c r="J73">
        <v>145</v>
      </c>
      <c r="K73">
        <v>7</v>
      </c>
      <c r="L73" s="45">
        <v>25101540</v>
      </c>
      <c r="M73">
        <v>3</v>
      </c>
    </row>
    <row r="74" spans="2:13" ht="15" x14ac:dyDescent="0.2">
      <c r="B74" s="28">
        <v>45</v>
      </c>
      <c r="C74" t="s">
        <v>389</v>
      </c>
      <c r="D74" s="38">
        <f t="shared" si="5"/>
        <v>25101013</v>
      </c>
      <c r="E74" s="38">
        <f t="shared" si="6"/>
        <v>4</v>
      </c>
      <c r="F74" s="33" t="s">
        <v>313</v>
      </c>
      <c r="G74">
        <v>40</v>
      </c>
      <c r="H74">
        <v>55</v>
      </c>
      <c r="I74">
        <f t="shared" si="7"/>
        <v>50</v>
      </c>
      <c r="J74">
        <v>145</v>
      </c>
      <c r="K74">
        <v>7</v>
      </c>
      <c r="L74" s="45">
        <v>25101545</v>
      </c>
      <c r="M74">
        <v>3</v>
      </c>
    </row>
    <row r="75" spans="2:13" ht="15" x14ac:dyDescent="0.2">
      <c r="B75" s="28">
        <v>48</v>
      </c>
      <c r="C75" t="s">
        <v>390</v>
      </c>
      <c r="D75" s="38">
        <f t="shared" si="5"/>
        <v>25101014</v>
      </c>
      <c r="E75" s="38">
        <f t="shared" si="6"/>
        <v>4</v>
      </c>
      <c r="F75" s="33" t="s">
        <v>316</v>
      </c>
      <c r="G75">
        <v>20</v>
      </c>
      <c r="H75">
        <v>50</v>
      </c>
      <c r="I75">
        <f t="shared" si="7"/>
        <v>80</v>
      </c>
      <c r="J75">
        <v>150</v>
      </c>
      <c r="K75">
        <v>7</v>
      </c>
      <c r="L75" s="45">
        <v>25101548</v>
      </c>
      <c r="M75">
        <v>3</v>
      </c>
    </row>
    <row r="76" spans="2:13" ht="15" x14ac:dyDescent="0.2">
      <c r="B76" s="28">
        <v>51</v>
      </c>
      <c r="C76" t="s">
        <v>391</v>
      </c>
      <c r="D76" s="38">
        <f t="shared" si="5"/>
        <v>25101015</v>
      </c>
      <c r="E76" s="38">
        <f t="shared" si="6"/>
        <v>5</v>
      </c>
      <c r="F76" s="33" t="s">
        <v>319</v>
      </c>
      <c r="G76">
        <v>115</v>
      </c>
      <c r="H76">
        <v>20</v>
      </c>
      <c r="I76">
        <f t="shared" si="7"/>
        <v>15</v>
      </c>
      <c r="J76">
        <v>150</v>
      </c>
      <c r="K76">
        <v>7</v>
      </c>
      <c r="L76" s="45">
        <v>25101551</v>
      </c>
      <c r="M76">
        <v>3</v>
      </c>
    </row>
    <row r="77" spans="2:13" ht="15" x14ac:dyDescent="0.2">
      <c r="B77" s="28">
        <v>54</v>
      </c>
      <c r="C77" t="s">
        <v>392</v>
      </c>
      <c r="D77" s="38">
        <f t="shared" si="5"/>
        <v>25101016</v>
      </c>
      <c r="E77" s="38">
        <f t="shared" si="6"/>
        <v>3</v>
      </c>
      <c r="F77" s="33" t="s">
        <v>322</v>
      </c>
      <c r="G77">
        <v>65</v>
      </c>
      <c r="H77">
        <v>60</v>
      </c>
      <c r="I77">
        <f t="shared" si="7"/>
        <v>25</v>
      </c>
      <c r="J77">
        <v>150</v>
      </c>
      <c r="K77">
        <v>8</v>
      </c>
      <c r="L77" s="45">
        <v>25101554</v>
      </c>
      <c r="M77">
        <v>3</v>
      </c>
    </row>
    <row r="78" spans="2:13" ht="15" x14ac:dyDescent="0.2">
      <c r="B78" s="28">
        <v>57</v>
      </c>
      <c r="C78" t="s">
        <v>393</v>
      </c>
      <c r="D78" s="38">
        <f t="shared" si="5"/>
        <v>25101017</v>
      </c>
      <c r="E78" s="38">
        <f t="shared" si="6"/>
        <v>5</v>
      </c>
      <c r="F78" s="33" t="s">
        <v>325</v>
      </c>
      <c r="G78">
        <v>20</v>
      </c>
      <c r="H78">
        <v>55</v>
      </c>
      <c r="I78">
        <f t="shared" si="7"/>
        <v>75</v>
      </c>
      <c r="J78">
        <v>150</v>
      </c>
      <c r="K78">
        <v>8</v>
      </c>
      <c r="L78" s="45">
        <v>25101557</v>
      </c>
      <c r="M78">
        <v>3</v>
      </c>
    </row>
    <row r="79" spans="2:13" ht="15" x14ac:dyDescent="0.2">
      <c r="B79" s="28">
        <v>62</v>
      </c>
      <c r="C79" t="s">
        <v>394</v>
      </c>
      <c r="D79" s="38">
        <f t="shared" si="5"/>
        <v>25101018</v>
      </c>
      <c r="E79" s="38">
        <f t="shared" si="6"/>
        <v>3</v>
      </c>
      <c r="F79" s="33" t="s">
        <v>330</v>
      </c>
      <c r="G79">
        <v>15</v>
      </c>
      <c r="H79">
        <v>85</v>
      </c>
      <c r="I79">
        <f t="shared" si="7"/>
        <v>60</v>
      </c>
      <c r="J79">
        <v>160</v>
      </c>
      <c r="K79">
        <v>8</v>
      </c>
      <c r="L79" s="45">
        <v>25101562</v>
      </c>
      <c r="M79">
        <v>3</v>
      </c>
    </row>
    <row r="80" spans="2:13" ht="15" x14ac:dyDescent="0.2">
      <c r="B80" s="28">
        <v>66</v>
      </c>
      <c r="C80" t="s">
        <v>395</v>
      </c>
      <c r="D80" s="38">
        <f t="shared" si="5"/>
        <v>25101019</v>
      </c>
      <c r="E80" s="38">
        <f t="shared" si="6"/>
        <v>4</v>
      </c>
      <c r="F80" s="33" t="s">
        <v>334</v>
      </c>
      <c r="G80">
        <v>15</v>
      </c>
      <c r="H80">
        <v>30</v>
      </c>
      <c r="I80">
        <f t="shared" si="7"/>
        <v>115</v>
      </c>
      <c r="J80">
        <v>160</v>
      </c>
      <c r="K80">
        <v>8</v>
      </c>
      <c r="L80" s="45">
        <v>25101566</v>
      </c>
      <c r="M80">
        <v>3</v>
      </c>
    </row>
    <row r="81" spans="2:13" ht="15" x14ac:dyDescent="0.2">
      <c r="B81" s="28">
        <v>70</v>
      </c>
      <c r="C81" t="s">
        <v>396</v>
      </c>
      <c r="D81" s="38">
        <f t="shared" si="5"/>
        <v>25101020</v>
      </c>
      <c r="E81" s="38">
        <f t="shared" si="6"/>
        <v>3</v>
      </c>
      <c r="F81" s="33" t="s">
        <v>338</v>
      </c>
      <c r="G81">
        <v>40</v>
      </c>
      <c r="H81">
        <v>65</v>
      </c>
      <c r="I81">
        <f t="shared" si="7"/>
        <v>55</v>
      </c>
      <c r="J81">
        <v>160</v>
      </c>
      <c r="K81">
        <v>8</v>
      </c>
      <c r="L81" s="45">
        <v>25101570</v>
      </c>
      <c r="M81">
        <v>3</v>
      </c>
    </row>
    <row r="82" spans="2:13" ht="15" x14ac:dyDescent="0.2">
      <c r="B82" s="28">
        <v>75</v>
      </c>
      <c r="C82" t="s">
        <v>397</v>
      </c>
      <c r="D82" s="38">
        <f t="shared" si="5"/>
        <v>25101021</v>
      </c>
      <c r="E82" s="38">
        <f t="shared" si="6"/>
        <v>4</v>
      </c>
      <c r="F82" s="36" t="s">
        <v>343</v>
      </c>
      <c r="G82">
        <v>100</v>
      </c>
      <c r="H82">
        <v>35</v>
      </c>
      <c r="I82">
        <f t="shared" si="7"/>
        <v>25</v>
      </c>
      <c r="J82">
        <v>160</v>
      </c>
      <c r="K82">
        <v>8</v>
      </c>
      <c r="L82" s="45">
        <v>25101575</v>
      </c>
      <c r="M82">
        <v>3</v>
      </c>
    </row>
    <row r="83" spans="2:13" ht="15" x14ac:dyDescent="0.2">
      <c r="B83" s="28">
        <v>76</v>
      </c>
      <c r="C83" t="s">
        <v>398</v>
      </c>
      <c r="D83" s="38">
        <f t="shared" si="5"/>
        <v>25101022</v>
      </c>
      <c r="E83" s="38">
        <f t="shared" si="6"/>
        <v>3</v>
      </c>
      <c r="F83" s="35" t="s">
        <v>344</v>
      </c>
      <c r="G83">
        <v>30</v>
      </c>
      <c r="H83">
        <v>75</v>
      </c>
      <c r="I83">
        <f t="shared" si="7"/>
        <v>65</v>
      </c>
      <c r="J83">
        <v>170</v>
      </c>
      <c r="K83">
        <v>9</v>
      </c>
      <c r="L83" s="45">
        <v>25101576</v>
      </c>
      <c r="M83">
        <v>3</v>
      </c>
    </row>
    <row r="84" spans="2:13" ht="15" x14ac:dyDescent="0.2">
      <c r="B84" s="28">
        <v>77</v>
      </c>
      <c r="C84" t="s">
        <v>399</v>
      </c>
      <c r="D84" s="38">
        <f t="shared" si="5"/>
        <v>25101023</v>
      </c>
      <c r="E84" s="38">
        <f t="shared" si="6"/>
        <v>3</v>
      </c>
      <c r="F84" s="35" t="s">
        <v>345</v>
      </c>
      <c r="G84">
        <v>75</v>
      </c>
      <c r="H84">
        <v>60</v>
      </c>
      <c r="I84">
        <f t="shared" si="7"/>
        <v>35</v>
      </c>
      <c r="J84">
        <v>170</v>
      </c>
      <c r="K84">
        <v>9</v>
      </c>
      <c r="L84" s="45">
        <v>25101577</v>
      </c>
      <c r="M84">
        <v>3</v>
      </c>
    </row>
    <row r="85" spans="2:13" ht="15" x14ac:dyDescent="0.2">
      <c r="B85" s="28">
        <v>80</v>
      </c>
      <c r="C85" t="s">
        <v>400</v>
      </c>
      <c r="D85" s="38">
        <f t="shared" si="5"/>
        <v>25101024</v>
      </c>
      <c r="E85" s="38">
        <f t="shared" si="6"/>
        <v>6</v>
      </c>
      <c r="F85" s="37" t="s">
        <v>348</v>
      </c>
      <c r="G85">
        <v>80</v>
      </c>
      <c r="H85">
        <v>80</v>
      </c>
      <c r="I85">
        <f t="shared" si="7"/>
        <v>10</v>
      </c>
      <c r="J85">
        <v>170</v>
      </c>
      <c r="K85">
        <v>9</v>
      </c>
      <c r="L85" s="46">
        <v>25101580</v>
      </c>
      <c r="M85">
        <v>3</v>
      </c>
    </row>
    <row r="86" spans="2:13" ht="15" x14ac:dyDescent="0.2">
      <c r="B86" s="28">
        <v>85</v>
      </c>
      <c r="C86" t="s">
        <v>401</v>
      </c>
      <c r="D86" s="38">
        <f t="shared" si="5"/>
        <v>25101025</v>
      </c>
      <c r="E86" s="38">
        <f t="shared" si="6"/>
        <v>2</v>
      </c>
      <c r="F86" s="33" t="s">
        <v>353</v>
      </c>
      <c r="G86">
        <v>10</v>
      </c>
      <c r="H86">
        <v>80</v>
      </c>
      <c r="I86">
        <f t="shared" si="7"/>
        <v>80</v>
      </c>
      <c r="J86">
        <v>170</v>
      </c>
      <c r="K86">
        <v>9</v>
      </c>
      <c r="L86" s="45">
        <v>25101585</v>
      </c>
      <c r="M86">
        <v>3</v>
      </c>
    </row>
    <row r="87" spans="2:13" ht="15" x14ac:dyDescent="0.2">
      <c r="B87" s="28">
        <v>87</v>
      </c>
      <c r="C87" t="s">
        <v>402</v>
      </c>
      <c r="D87" s="38">
        <f t="shared" si="5"/>
        <v>25101026</v>
      </c>
      <c r="E87" s="38">
        <f t="shared" si="6"/>
        <v>4</v>
      </c>
      <c r="F87" s="33" t="s">
        <v>355</v>
      </c>
      <c r="G87">
        <v>90</v>
      </c>
      <c r="H87">
        <v>10</v>
      </c>
      <c r="I87">
        <f t="shared" si="7"/>
        <v>80</v>
      </c>
      <c r="J87">
        <v>180</v>
      </c>
      <c r="K87">
        <v>9</v>
      </c>
      <c r="L87" s="45">
        <v>25101587</v>
      </c>
      <c r="M87">
        <v>3</v>
      </c>
    </row>
    <row r="88" spans="2:13" ht="15" x14ac:dyDescent="0.2">
      <c r="B88" s="28">
        <v>88</v>
      </c>
      <c r="C88" t="s">
        <v>403</v>
      </c>
      <c r="D88" s="38">
        <f t="shared" si="5"/>
        <v>25101027</v>
      </c>
      <c r="E88" s="38">
        <f t="shared" si="6"/>
        <v>3</v>
      </c>
      <c r="F88" s="33" t="s">
        <v>356</v>
      </c>
      <c r="G88">
        <v>105</v>
      </c>
      <c r="H88">
        <v>45</v>
      </c>
      <c r="I88">
        <f t="shared" si="7"/>
        <v>30</v>
      </c>
      <c r="J88">
        <v>180</v>
      </c>
      <c r="K88">
        <v>9</v>
      </c>
      <c r="L88" s="45">
        <v>25101588</v>
      </c>
      <c r="M88">
        <v>3</v>
      </c>
    </row>
    <row r="89" spans="2:13" ht="15" x14ac:dyDescent="0.2">
      <c r="B89" s="28">
        <v>91</v>
      </c>
      <c r="C89" t="s">
        <v>404</v>
      </c>
      <c r="D89" s="38">
        <f t="shared" si="5"/>
        <v>25101028</v>
      </c>
      <c r="E89" s="38">
        <f t="shared" si="6"/>
        <v>4</v>
      </c>
      <c r="F89" s="33" t="s">
        <v>359</v>
      </c>
      <c r="G89">
        <v>55</v>
      </c>
      <c r="H89">
        <v>20</v>
      </c>
      <c r="I89">
        <f t="shared" si="7"/>
        <v>105</v>
      </c>
      <c r="J89">
        <v>180</v>
      </c>
      <c r="K89">
        <v>10</v>
      </c>
      <c r="L89" s="45">
        <v>25101591</v>
      </c>
      <c r="M89">
        <v>3</v>
      </c>
    </row>
    <row r="90" spans="2:13" ht="15" x14ac:dyDescent="0.2">
      <c r="B90" s="28">
        <v>94</v>
      </c>
      <c r="C90" t="s">
        <v>405</v>
      </c>
      <c r="D90" s="38">
        <f t="shared" si="5"/>
        <v>25101029</v>
      </c>
      <c r="E90" s="38">
        <f t="shared" si="6"/>
        <v>3</v>
      </c>
      <c r="F90" s="33" t="s">
        <v>362</v>
      </c>
      <c r="G90">
        <v>35</v>
      </c>
      <c r="H90">
        <v>95</v>
      </c>
      <c r="I90">
        <f t="shared" si="7"/>
        <v>50</v>
      </c>
      <c r="J90">
        <v>180</v>
      </c>
      <c r="K90">
        <v>10</v>
      </c>
      <c r="L90" s="45">
        <v>25101594</v>
      </c>
      <c r="M90">
        <v>3</v>
      </c>
    </row>
    <row r="91" spans="2:13" ht="15" x14ac:dyDescent="0.2">
      <c r="B91" s="28">
        <v>97</v>
      </c>
      <c r="C91" t="s">
        <v>406</v>
      </c>
      <c r="D91" s="38">
        <f t="shared" si="5"/>
        <v>25101030</v>
      </c>
      <c r="E91" s="38">
        <f t="shared" si="6"/>
        <v>1</v>
      </c>
      <c r="F91" s="33" t="s">
        <v>365</v>
      </c>
      <c r="G91">
        <v>80</v>
      </c>
      <c r="H91">
        <v>80</v>
      </c>
      <c r="I91">
        <f t="shared" si="7"/>
        <v>30</v>
      </c>
      <c r="J91">
        <v>190</v>
      </c>
      <c r="K91">
        <v>10</v>
      </c>
      <c r="L91" s="45">
        <v>25101597</v>
      </c>
      <c r="M91">
        <v>3</v>
      </c>
    </row>
    <row r="92" spans="2:13" ht="15" x14ac:dyDescent="0.2">
      <c r="B92" s="28">
        <v>100</v>
      </c>
      <c r="C92" t="s">
        <v>407</v>
      </c>
      <c r="D92" s="38">
        <f t="shared" si="5"/>
        <v>25101031</v>
      </c>
      <c r="E92" s="38">
        <f t="shared" si="6"/>
        <v>3</v>
      </c>
      <c r="F92" s="33" t="s">
        <v>368</v>
      </c>
      <c r="G92">
        <v>35</v>
      </c>
      <c r="H92">
        <v>25</v>
      </c>
      <c r="I92">
        <f t="shared" si="7"/>
        <v>130</v>
      </c>
      <c r="J92">
        <v>190</v>
      </c>
      <c r="K92">
        <v>10</v>
      </c>
      <c r="L92" s="45">
        <v>25101600</v>
      </c>
      <c r="M92">
        <v>3</v>
      </c>
    </row>
    <row r="93" spans="2:13" ht="15" x14ac:dyDescent="0.2">
      <c r="B93" s="28">
        <v>103</v>
      </c>
      <c r="C93" t="s">
        <v>408</v>
      </c>
      <c r="D93" s="38">
        <f t="shared" si="5"/>
        <v>25101032</v>
      </c>
      <c r="E93" s="38">
        <f t="shared" si="6"/>
        <v>5</v>
      </c>
      <c r="F93" s="41" t="s">
        <v>371</v>
      </c>
      <c r="G93">
        <v>90</v>
      </c>
      <c r="H93">
        <v>20</v>
      </c>
      <c r="I93">
        <f t="shared" si="7"/>
        <v>80</v>
      </c>
      <c r="J93">
        <v>190</v>
      </c>
      <c r="K93">
        <v>10</v>
      </c>
      <c r="L93" s="44">
        <v>25101603</v>
      </c>
      <c r="M93">
        <v>3</v>
      </c>
    </row>
    <row r="94" spans="2:13" ht="15" x14ac:dyDescent="0.2">
      <c r="B94" s="28">
        <v>107</v>
      </c>
      <c r="C94" t="s">
        <v>409</v>
      </c>
      <c r="D94" s="38">
        <f t="shared" si="5"/>
        <v>25101033</v>
      </c>
      <c r="E94" s="38">
        <f t="shared" si="6"/>
        <v>2</v>
      </c>
      <c r="F94" s="41" t="s">
        <v>375</v>
      </c>
      <c r="G94">
        <v>80</v>
      </c>
      <c r="H94">
        <v>95</v>
      </c>
      <c r="I94">
        <f t="shared" si="7"/>
        <v>15</v>
      </c>
      <c r="J94">
        <v>190</v>
      </c>
      <c r="K94">
        <v>10</v>
      </c>
      <c r="L94" s="44">
        <v>25101607</v>
      </c>
      <c r="M94">
        <v>3</v>
      </c>
    </row>
    <row r="95" spans="2:13" ht="15" x14ac:dyDescent="0.2">
      <c r="B95" s="28">
        <v>4</v>
      </c>
      <c r="C95" s="38" t="s">
        <v>377</v>
      </c>
      <c r="D95" s="38">
        <f t="shared" si="5"/>
        <v>25101001</v>
      </c>
      <c r="E95" s="38">
        <f t="shared" si="6"/>
        <v>4</v>
      </c>
      <c r="F95" s="41" t="s">
        <v>272</v>
      </c>
      <c r="G95">
        <v>100</v>
      </c>
      <c r="H95">
        <v>70</v>
      </c>
      <c r="I95">
        <f t="shared" si="7"/>
        <v>30</v>
      </c>
      <c r="J95">
        <v>200</v>
      </c>
      <c r="K95">
        <v>11</v>
      </c>
      <c r="L95" s="44">
        <v>25101504</v>
      </c>
      <c r="M95">
        <v>4</v>
      </c>
    </row>
    <row r="96" spans="2:13" ht="15" x14ac:dyDescent="0.2">
      <c r="B96" s="28">
        <v>17</v>
      </c>
      <c r="C96" t="s">
        <v>381</v>
      </c>
      <c r="D96" s="38">
        <f t="shared" si="5"/>
        <v>25101005</v>
      </c>
      <c r="E96" s="38">
        <f t="shared" si="6"/>
        <v>1</v>
      </c>
      <c r="F96" s="33" t="s">
        <v>285</v>
      </c>
      <c r="G96">
        <v>65</v>
      </c>
      <c r="H96">
        <v>120</v>
      </c>
      <c r="I96">
        <f t="shared" si="7"/>
        <v>15</v>
      </c>
      <c r="J96">
        <v>200</v>
      </c>
      <c r="K96">
        <v>11</v>
      </c>
      <c r="L96" s="45">
        <v>25101517</v>
      </c>
      <c r="M96">
        <v>4</v>
      </c>
    </row>
    <row r="97" spans="2:13" ht="15" x14ac:dyDescent="0.2">
      <c r="B97" s="28">
        <v>32</v>
      </c>
      <c r="C97" t="s">
        <v>386</v>
      </c>
      <c r="D97" s="38">
        <f t="shared" si="5"/>
        <v>25101010</v>
      </c>
      <c r="E97" s="38">
        <f t="shared" si="6"/>
        <v>4</v>
      </c>
      <c r="F97" s="33" t="s">
        <v>300</v>
      </c>
      <c r="G97">
        <v>90</v>
      </c>
      <c r="H97">
        <v>25</v>
      </c>
      <c r="I97">
        <f t="shared" si="7"/>
        <v>85</v>
      </c>
      <c r="J97">
        <v>200</v>
      </c>
      <c r="K97">
        <v>11</v>
      </c>
      <c r="L97" s="45">
        <v>25101532</v>
      </c>
      <c r="M97">
        <v>4</v>
      </c>
    </row>
    <row r="98" spans="2:13" ht="15" x14ac:dyDescent="0.2">
      <c r="B98" s="28">
        <v>37</v>
      </c>
      <c r="C98" t="s">
        <v>387</v>
      </c>
      <c r="D98" s="38">
        <f t="shared" ref="D98:D112" si="8">VLOOKUP(C98,P:R,3,0)</f>
        <v>25101011</v>
      </c>
      <c r="E98" s="38">
        <f t="shared" ref="E98:E112" si="9">VLOOKUP(C98,P:R,2,0)</f>
        <v>4</v>
      </c>
      <c r="F98" s="43" t="s">
        <v>305</v>
      </c>
      <c r="G98">
        <v>45</v>
      </c>
      <c r="H98">
        <v>100</v>
      </c>
      <c r="I98">
        <f t="shared" si="7"/>
        <v>55</v>
      </c>
      <c r="J98">
        <v>200</v>
      </c>
      <c r="K98">
        <v>11</v>
      </c>
      <c r="L98" s="46">
        <v>25101537</v>
      </c>
      <c r="M98">
        <v>4</v>
      </c>
    </row>
    <row r="99" spans="2:13" ht="15" x14ac:dyDescent="0.2">
      <c r="B99" s="28">
        <v>41</v>
      </c>
      <c r="C99" t="s">
        <v>388</v>
      </c>
      <c r="D99" s="38">
        <f t="shared" si="8"/>
        <v>25101012</v>
      </c>
      <c r="E99" s="38">
        <f t="shared" si="9"/>
        <v>3</v>
      </c>
      <c r="F99" s="33" t="s">
        <v>309</v>
      </c>
      <c r="G99">
        <v>30</v>
      </c>
      <c r="H99">
        <v>45</v>
      </c>
      <c r="I99">
        <f t="shared" si="7"/>
        <v>135</v>
      </c>
      <c r="J99">
        <v>210</v>
      </c>
      <c r="K99">
        <v>11</v>
      </c>
      <c r="L99" s="45">
        <v>25101541</v>
      </c>
      <c r="M99">
        <v>4</v>
      </c>
    </row>
    <row r="100" spans="2:13" ht="15" x14ac:dyDescent="0.2">
      <c r="B100" s="28">
        <v>58</v>
      </c>
      <c r="C100" t="s">
        <v>393</v>
      </c>
      <c r="D100" s="38">
        <f t="shared" si="8"/>
        <v>25101017</v>
      </c>
      <c r="E100" s="38">
        <f t="shared" si="9"/>
        <v>5</v>
      </c>
      <c r="F100" s="33" t="s">
        <v>326</v>
      </c>
      <c r="G100">
        <v>50</v>
      </c>
      <c r="H100">
        <v>35</v>
      </c>
      <c r="I100">
        <f t="shared" si="7"/>
        <v>125</v>
      </c>
      <c r="J100">
        <v>210</v>
      </c>
      <c r="K100">
        <v>11</v>
      </c>
      <c r="L100" s="45">
        <v>25101558</v>
      </c>
      <c r="M100">
        <v>4</v>
      </c>
    </row>
    <row r="101" spans="2:13" ht="15" x14ac:dyDescent="0.2">
      <c r="B101" s="28">
        <v>63</v>
      </c>
      <c r="C101" t="s">
        <v>394</v>
      </c>
      <c r="D101" s="38">
        <f t="shared" si="8"/>
        <v>25101018</v>
      </c>
      <c r="E101" s="38">
        <f t="shared" si="9"/>
        <v>3</v>
      </c>
      <c r="F101" s="33" t="s">
        <v>331</v>
      </c>
      <c r="G101">
        <v>80</v>
      </c>
      <c r="H101">
        <v>85</v>
      </c>
      <c r="I101">
        <f t="shared" si="7"/>
        <v>45</v>
      </c>
      <c r="J101">
        <v>210</v>
      </c>
      <c r="K101">
        <v>12</v>
      </c>
      <c r="L101" s="45">
        <v>25101563</v>
      </c>
      <c r="M101">
        <v>4</v>
      </c>
    </row>
    <row r="102" spans="2:13" ht="15" x14ac:dyDescent="0.2">
      <c r="B102" s="28">
        <v>67</v>
      </c>
      <c r="C102" t="s">
        <v>395</v>
      </c>
      <c r="D102" s="38">
        <f t="shared" si="8"/>
        <v>25101019</v>
      </c>
      <c r="E102" s="38">
        <f t="shared" si="9"/>
        <v>4</v>
      </c>
      <c r="F102" s="33" t="s">
        <v>335</v>
      </c>
      <c r="G102">
        <v>45</v>
      </c>
      <c r="H102">
        <v>50</v>
      </c>
      <c r="I102">
        <f t="shared" si="7"/>
        <v>125</v>
      </c>
      <c r="J102">
        <v>220</v>
      </c>
      <c r="K102">
        <v>12</v>
      </c>
      <c r="L102" s="45">
        <v>25101567</v>
      </c>
      <c r="M102">
        <v>4</v>
      </c>
    </row>
    <row r="103" spans="2:13" ht="15" x14ac:dyDescent="0.2">
      <c r="B103" s="28">
        <v>71</v>
      </c>
      <c r="C103" t="s">
        <v>396</v>
      </c>
      <c r="D103" s="38">
        <f t="shared" si="8"/>
        <v>25101020</v>
      </c>
      <c r="E103" s="38">
        <f t="shared" si="9"/>
        <v>3</v>
      </c>
      <c r="F103" s="33" t="s">
        <v>339</v>
      </c>
      <c r="G103">
        <v>105</v>
      </c>
      <c r="H103">
        <v>65</v>
      </c>
      <c r="I103">
        <f t="shared" si="7"/>
        <v>50</v>
      </c>
      <c r="J103">
        <v>220</v>
      </c>
      <c r="K103">
        <v>12</v>
      </c>
      <c r="L103" s="45">
        <v>25101571</v>
      </c>
      <c r="M103">
        <v>4</v>
      </c>
    </row>
    <row r="104" spans="2:13" ht="15" x14ac:dyDescent="0.2">
      <c r="B104" s="28">
        <v>81</v>
      </c>
      <c r="C104" t="s">
        <v>400</v>
      </c>
      <c r="D104" s="38">
        <f t="shared" si="8"/>
        <v>25101024</v>
      </c>
      <c r="E104" s="38">
        <f t="shared" si="9"/>
        <v>6</v>
      </c>
      <c r="F104" s="42" t="s">
        <v>349</v>
      </c>
      <c r="G104">
        <v>110</v>
      </c>
      <c r="H104">
        <v>45</v>
      </c>
      <c r="I104">
        <f t="shared" si="7"/>
        <v>65</v>
      </c>
      <c r="J104">
        <v>220</v>
      </c>
      <c r="K104">
        <v>12</v>
      </c>
      <c r="L104" s="46">
        <v>25101581</v>
      </c>
      <c r="M104">
        <v>4</v>
      </c>
    </row>
    <row r="105" spans="2:13" ht="15" x14ac:dyDescent="0.2">
      <c r="B105" s="29">
        <v>95</v>
      </c>
      <c r="C105" t="s">
        <v>405</v>
      </c>
      <c r="D105" s="38">
        <f t="shared" si="8"/>
        <v>25101029</v>
      </c>
      <c r="E105" s="38">
        <f t="shared" si="9"/>
        <v>3</v>
      </c>
      <c r="F105" s="35" t="s">
        <v>363</v>
      </c>
      <c r="G105">
        <v>100</v>
      </c>
      <c r="H105">
        <v>40</v>
      </c>
      <c r="I105">
        <f t="shared" si="7"/>
        <v>90</v>
      </c>
      <c r="J105">
        <v>230</v>
      </c>
      <c r="K105">
        <v>12</v>
      </c>
      <c r="L105" s="45">
        <v>25101595</v>
      </c>
      <c r="M105">
        <v>4</v>
      </c>
    </row>
    <row r="106" spans="2:13" ht="15" x14ac:dyDescent="0.2">
      <c r="B106" s="29">
        <v>104</v>
      </c>
      <c r="C106" t="s">
        <v>408</v>
      </c>
      <c r="D106" s="38">
        <f t="shared" si="8"/>
        <v>25101032</v>
      </c>
      <c r="E106" s="38">
        <f t="shared" si="9"/>
        <v>5</v>
      </c>
      <c r="F106" s="30" t="s">
        <v>372</v>
      </c>
      <c r="G106">
        <v>15</v>
      </c>
      <c r="H106">
        <v>105</v>
      </c>
      <c r="I106">
        <f t="shared" si="7"/>
        <v>110</v>
      </c>
      <c r="J106">
        <v>230</v>
      </c>
      <c r="K106">
        <v>12</v>
      </c>
      <c r="L106" s="44">
        <v>25101604</v>
      </c>
      <c r="M106">
        <v>4</v>
      </c>
    </row>
    <row r="107" spans="2:13" ht="15" x14ac:dyDescent="0.2">
      <c r="B107" s="29">
        <v>108</v>
      </c>
      <c r="C107" t="s">
        <v>409</v>
      </c>
      <c r="D107" s="38">
        <f t="shared" si="8"/>
        <v>25101033</v>
      </c>
      <c r="E107" s="38">
        <f t="shared" si="9"/>
        <v>2</v>
      </c>
      <c r="F107" s="30" t="s">
        <v>376</v>
      </c>
      <c r="G107">
        <v>25</v>
      </c>
      <c r="H107">
        <v>45</v>
      </c>
      <c r="I107">
        <f t="shared" si="7"/>
        <v>160</v>
      </c>
      <c r="J107">
        <v>230</v>
      </c>
      <c r="K107">
        <v>13</v>
      </c>
      <c r="L107" s="44">
        <v>25101608</v>
      </c>
      <c r="M107">
        <v>4</v>
      </c>
    </row>
    <row r="108" spans="2:13" ht="15" x14ac:dyDescent="0.2">
      <c r="B108" s="29">
        <v>33</v>
      </c>
      <c r="C108" t="s">
        <v>386</v>
      </c>
      <c r="D108" s="38">
        <f t="shared" si="8"/>
        <v>25101010</v>
      </c>
      <c r="E108" s="38">
        <f t="shared" si="9"/>
        <v>4</v>
      </c>
      <c r="F108" s="34" t="s">
        <v>301</v>
      </c>
      <c r="G108">
        <v>160</v>
      </c>
      <c r="H108">
        <v>30</v>
      </c>
      <c r="I108">
        <f t="shared" si="7"/>
        <v>50</v>
      </c>
      <c r="J108">
        <v>240</v>
      </c>
      <c r="K108">
        <v>13</v>
      </c>
      <c r="L108" s="45">
        <v>25101533</v>
      </c>
      <c r="M108">
        <v>5</v>
      </c>
    </row>
    <row r="109" spans="2:13" ht="15" x14ac:dyDescent="0.2">
      <c r="B109" s="29">
        <v>42</v>
      </c>
      <c r="C109" t="s">
        <v>388</v>
      </c>
      <c r="D109" s="38">
        <f t="shared" si="8"/>
        <v>25101012</v>
      </c>
      <c r="E109" s="38">
        <f t="shared" si="9"/>
        <v>3</v>
      </c>
      <c r="F109" s="35" t="s">
        <v>310</v>
      </c>
      <c r="G109">
        <v>35</v>
      </c>
      <c r="H109">
        <v>155</v>
      </c>
      <c r="I109">
        <f t="shared" si="7"/>
        <v>50</v>
      </c>
      <c r="J109">
        <v>240</v>
      </c>
      <c r="K109">
        <v>13</v>
      </c>
      <c r="L109" s="45">
        <v>25101542</v>
      </c>
      <c r="M109">
        <v>5</v>
      </c>
    </row>
    <row r="110" spans="2:13" ht="15" x14ac:dyDescent="0.2">
      <c r="B110" s="29">
        <v>59</v>
      </c>
      <c r="C110" t="s">
        <v>393</v>
      </c>
      <c r="D110" s="38">
        <f t="shared" si="8"/>
        <v>25101017</v>
      </c>
      <c r="E110" s="38">
        <f t="shared" si="9"/>
        <v>5</v>
      </c>
      <c r="F110" s="35" t="s">
        <v>327</v>
      </c>
      <c r="G110">
        <v>45</v>
      </c>
      <c r="H110">
        <v>35</v>
      </c>
      <c r="I110">
        <f t="shared" si="7"/>
        <v>160</v>
      </c>
      <c r="J110">
        <v>240</v>
      </c>
      <c r="K110">
        <v>13</v>
      </c>
      <c r="L110" s="45">
        <v>25101559</v>
      </c>
      <c r="M110">
        <v>5</v>
      </c>
    </row>
    <row r="111" spans="2:13" ht="15" x14ac:dyDescent="0.2">
      <c r="B111" s="29">
        <v>72</v>
      </c>
      <c r="C111" t="s">
        <v>396</v>
      </c>
      <c r="D111" s="38">
        <f t="shared" si="8"/>
        <v>25101020</v>
      </c>
      <c r="E111" s="38">
        <f t="shared" si="9"/>
        <v>3</v>
      </c>
      <c r="F111" s="35" t="s">
        <v>340</v>
      </c>
      <c r="G111">
        <v>80</v>
      </c>
      <c r="H111">
        <v>80</v>
      </c>
      <c r="I111">
        <f t="shared" si="7"/>
        <v>80</v>
      </c>
      <c r="J111">
        <v>240</v>
      </c>
      <c r="K111">
        <v>13</v>
      </c>
      <c r="L111" s="45">
        <v>25101572</v>
      </c>
      <c r="M111">
        <v>5</v>
      </c>
    </row>
    <row r="112" spans="2:13" ht="15" x14ac:dyDescent="0.2">
      <c r="B112" s="29">
        <v>82</v>
      </c>
      <c r="C112" t="s">
        <v>400</v>
      </c>
      <c r="D112" s="38">
        <f t="shared" si="8"/>
        <v>25101024</v>
      </c>
      <c r="E112" s="38">
        <f t="shared" si="9"/>
        <v>6</v>
      </c>
      <c r="F112" s="35" t="s">
        <v>350</v>
      </c>
      <c r="G112">
        <v>85</v>
      </c>
      <c r="H112">
        <v>125</v>
      </c>
      <c r="I112">
        <f t="shared" si="7"/>
        <v>30</v>
      </c>
      <c r="J112">
        <v>240</v>
      </c>
      <c r="K112">
        <v>13</v>
      </c>
      <c r="L112" s="45">
        <v>25101582</v>
      </c>
      <c r="M112">
        <v>5</v>
      </c>
    </row>
  </sheetData>
  <sortState xmlns:xlrd2="http://schemas.microsoft.com/office/spreadsheetml/2017/richdata2" ref="B2:M113">
    <sortCondition ref="M2:M113"/>
  </sortState>
  <phoneticPr fontId="3" type="noConversion"/>
  <conditionalFormatting sqref="G1:I104857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export</vt:lpstr>
      <vt:lpstr>qc_info</vt:lpstr>
      <vt:lpstr>qc_character_pool</vt:lpstr>
      <vt:lpstr>qc_effect</vt:lpstr>
      <vt:lpstr>qc_quest_pool</vt:lpstr>
      <vt:lpstr>委托中转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</dc:creator>
  <cp:lastModifiedBy>晓楠 李</cp:lastModifiedBy>
  <dcterms:created xsi:type="dcterms:W3CDTF">2015-06-05T18:17:20Z</dcterms:created>
  <dcterms:modified xsi:type="dcterms:W3CDTF">2025-09-28T07:09:50Z</dcterms:modified>
</cp:coreProperties>
</file>